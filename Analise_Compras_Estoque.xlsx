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Parâmetros" sheetId="2" state="visible" r:id="rId4"/>
    <sheet name="Base" sheetId="3" state="visible" r:id="rId5"/>
    <sheet name="Curva ABC" sheetId="4" state="visible" r:id="rId6"/>
    <sheet name="Giro de Estoque" sheetId="5" state="visible" r:id="rId7"/>
    <sheet name="Estoque Parado" sheetId="6" state="visible" r:id="rId8"/>
    <sheet name="Mix e Canibalizacao" sheetId="7" state="visible" r:id="rId9"/>
    <sheet name="Custo Estoque Minimo" sheetId="8" state="visible" r:id="rId10"/>
    <sheet name="Resumo Executivo" sheetId="9" state="visible" r:id="rId11"/>
  </sheets>
  <definedNames>
    <definedName function="false" hidden="true" localSheetId="2" name="_xlnm._FilterDatabase" vbProcedure="false">Base!$A$1:$AA$2001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<sst xmlns="http://schemas.openxmlformats.org/spreadsheetml/2006/main" count="173" uniqueCount="155">
  <si>
    <t xml:space="preserve">Planilha de Análise de Compras e Estoque</t>
  </si>
  <si>
    <t xml:space="preserve">Curva ABC · Giro de Estoque · Mix de Produtos (canibalização) · Estoque &gt; 30 dias · Custo do Estoque Mínimo · Controle de Orçamento</t>
  </si>
  <si>
    <t xml:space="preserve">Como usar</t>
  </si>
  <si>
    <t xml:space="preserve">1. Vá até a aba 'Base' e cole sua base completa de estoque a partir da linha 2 (mantendo os mesmos cabeçalhos das colunas A a O).</t>
  </si>
  <si>
    <t xml:space="preserve">2. As colunas de P em diante são calculadas automaticamente — não precisa preencher, só a coluna 'Grupo (opcional)' se quiser mais precisão no mix de produtos.</t>
  </si>
  <si>
    <t xml:space="preserve">3. Ajuste os parâmetros na aba 'Parâmetros' (dias de cobertura alvo por curva, limite de estoque parado, orçamento do mês).</t>
  </si>
  <si>
    <t xml:space="preserve">4. As abas 'Curva ABC', 'Giro de Estoque', 'Estoque Parado', 'Mix e Canibalização' e 'Resumo Executivo' atualizam sozinhas.</t>
  </si>
  <si>
    <t xml:space="preserve">Legenda de cores</t>
  </si>
  <si>
    <t xml:space="preserve">Azul</t>
  </si>
  <si>
    <t xml:space="preserve">Valor de entrada (você preenche/cola)</t>
  </si>
  <si>
    <t xml:space="preserve">Preto</t>
  </si>
  <si>
    <t xml:space="preserve">Fórmula (não editar)</t>
  </si>
  <si>
    <t xml:space="preserve">Amarelo</t>
  </si>
  <si>
    <t xml:space="preserve">Parâmetro/premissa chave — revise antes de usar o relatório</t>
  </si>
  <si>
    <t xml:space="preserve">Premissas assumidas (ajuste na aba Parâmetros se necessário)</t>
  </si>
  <si>
    <t xml:space="preserve">• Estoque mínimo alvo = Venda Diária Média × Dias de Cobertura Alvo da Curva do produto (A=45d, B=30d, C=20d, D=15d, E=10d — política sugerida, edite livremente).</t>
  </si>
  <si>
    <t xml:space="preserve">• Venda Diária Média = Venda 90d ÷ 90.</t>
  </si>
  <si>
    <t xml:space="preserve">• Giro Anual (x/ano) = 360 ÷ Dias Cobertura (recalculado a partir do campo 'Dias Cobertura' que já vem pronto na sua base).</t>
  </si>
  <si>
    <t xml:space="preserve">• 'Estoque parado' = Dias Cobertura acima do limite definido em Parâmetros (padrão: 30 dias).</t>
  </si>
  <si>
    <t xml:space="preserve">• Mix/Canibalização: como a base ainda não traz um campo de Grupo/Categoria do Sankhya, a chave de agrupamento usa a 1ª palavra da Descrição por padrão.</t>
  </si>
  <si>
    <t xml:space="preserve">  Preencha a coluna 'Grupo (opcional)' na aba Base com o grupo real do Sankhya (quando tiver) para um resultado bem mais preciso — a fórmula usa o Grupo automaticamente quando preenchido.</t>
  </si>
  <si>
    <t xml:space="preserve">• Custo x Estoque é recalculado como Qtd Estoque × Custo Unit. para garantir consistência, mesmo que sua base já traga essa coluna pronta.</t>
  </si>
  <si>
    <t xml:space="preserve">Atenção aos dados de exemplo</t>
  </si>
  <si>
    <t xml:space="preserve">Na linha de exemplo (linha 2 da aba Base), os valores de Custo Unit. (R$) e Custo x Estoque (R$) vieram sem separador decimal visível na sua mensagem</t>
  </si>
  <si>
    <t xml:space="preserve">(33740 e 134960). Confira se o valor real é R$ 337,40 / R$ 1.349,60 (ou outra casa decimal) antes de colar a base completa, para o formato de moeda não ficar 100x maior que o real.</t>
  </si>
  <si>
    <t xml:space="preserve">Parâmetros do Modelo</t>
  </si>
  <si>
    <t xml:space="preserve">Dias de Cobertura Alvo por Curva (estoque mínimo desejado)</t>
  </si>
  <si>
    <t xml:space="preserve">Edite os dias-alvo por curva conforme a política da empresa.</t>
  </si>
  <si>
    <t xml:space="preserve">Curva</t>
  </si>
  <si>
    <t xml:space="preserve">Dias Alvo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</si>
  <si>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</si>
  <si>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</si>
  <si>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</si>
  <si>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</si>
  <si>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</si>
  <si>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Limite de Estoque Parado (dias)</t>
  </si>
  <si>
    <t xml:space="preserve">Dias acima disso = estoque parado</t>
  </si>
  <si>
    <t xml:space="preserve">Orçamento de Compras do Mês</t>
  </si>
  <si>
    <t xml:space="preserve">Mês/Ano</t>
  </si>
  <si>
    <t xml:space="preserve">09/2026</t>
  </si>
  <si>
    <t xml:space="preserve">Orçamento Total (R$)</t>
  </si>
  <si>
    <t xml:space="preserve">Valor Já Comprado no Mês (R$)</t>
  </si>
  <si>
    <t xml:space="preserve">% Consumido</t>
  </si>
  <si>
    <t xml:space="preserve">Status</t>
  </si>
  <si>
    <t xml:space="preserve">Cod Produto</t>
  </si>
  <si>
    <t xml:space="preserve">Descricao</t>
  </si>
  <si>
    <t xml:space="preserve">Empresa</t>
  </si>
  <si>
    <t xml:space="preserve">Marca</t>
  </si>
  <si>
    <t xml:space="preserve">Cod. Fabricante</t>
  </si>
  <si>
    <t xml:space="preserve">Qtd Estoque</t>
  </si>
  <si>
    <t xml:space="preserve">Venda 90d</t>
  </si>
  <si>
    <t xml:space="preserve">Venda Ano Ant.</t>
  </si>
  <si>
    <t xml:space="preserve">Dias Cobertura</t>
  </si>
  <si>
    <t xml:space="preserve">Custo Unit. (R$)</t>
  </si>
  <si>
    <t xml:space="preserve">Custo x Estoque (R$)</t>
  </si>
  <si>
    <t xml:space="preserve">Ultima Compra</t>
  </si>
  <si>
    <t xml:space="preserve">Fornecedor</t>
  </si>
  <si>
    <t xml:space="preserve">Situacao</t>
  </si>
  <si>
    <t xml:space="preserve">Venda Diaria Media</t>
  </si>
  <si>
    <t xml:space="preserve">Dias Cobertura Alvo</t>
  </si>
  <si>
    <t xml:space="preserve">Qtd Minima Alvo</t>
  </si>
  <si>
    <t xml:space="preserve">Qtd a Comprar (min)</t>
  </si>
  <si>
    <t xml:space="preserve">Custo a Comprar (min) (R$)</t>
  </si>
  <si>
    <t xml:space="preserve">Estoque &gt; 30 dias?</t>
  </si>
  <si>
    <t xml:space="preserve">Chave Mix (auto)</t>
  </si>
  <si>
    <t xml:space="preserve">Grupo (opcional)</t>
  </si>
  <si>
    <t xml:space="preserve">Chave Mix Final</t>
  </si>
  <si>
    <t xml:space="preserve">Possivel Canibalizacao</t>
  </si>
  <si>
    <t xml:space="preserve">Giro Anual (x/ano)</t>
  </si>
  <si>
    <t xml:space="preserve">Faixa de Giro</t>
  </si>
  <si>
    <t xml:space="preserve">12350</t>
  </si>
  <si>
    <t xml:space="preserve">MOTOR</t>
  </si>
  <si>
    <t xml:space="preserve">MMARRA - SERVICE RIBEIRAO PRETO (SP)</t>
  </si>
  <si>
    <t xml:space="preserve">SERVICE PECAS</t>
  </si>
  <si>
    <t xml:space="preserve">OFICINA MM</t>
  </si>
  <si>
    <t xml:space="preserve">512012</t>
  </si>
  <si>
    <t xml:space="preserve">Relatorio Curva ABC</t>
  </si>
  <si>
    <t xml:space="preserve">Qtd SKUs</t>
  </si>
  <si>
    <t xml:space="preserve">Valor em Estoque (R$)</t>
  </si>
  <si>
    <t xml:space="preserve">% do Estoque Total</t>
  </si>
  <si>
    <t xml:space="preserve">Custo p/ Repor Min. (R$)</t>
  </si>
  <si>
    <t xml:space="preserve">Giro Anual Medio</t>
  </si>
  <si>
    <t xml:space="preserve">Dias Cobertura Medio</t>
  </si>
  <si>
    <t xml:space="preserve">Total</t>
  </si>
  <si>
    <t xml:space="preserve">Curva ja vem classificada na sua base (coluna Curva). Esta aba consolida valor de estoque, custo para repor o minimo e giro por curva.</t>
  </si>
  <si>
    <t xml:space="preserve">Analise de Giro de Estoque</t>
  </si>
  <si>
    <t xml:space="preserve">Alto (&gt;12x/ano)</t>
  </si>
  <si>
    <t xml:space="preserve">Medio (4-12x/ano)</t>
  </si>
  <si>
    <t xml:space="preserve">Baixo (&lt;4x/ano)</t>
  </si>
  <si>
    <t xml:space="preserve">Parado (sem venda 90d)</t>
  </si>
  <si>
    <t xml:space="preserve">Giro Anual Medio da Rede (x/ano)</t>
  </si>
  <si>
    <t xml:space="preserve">Giro Anual = 360 / Dias Cobertura (a partir do campo Dias Cobertura da sua base). Parado = produtos sem nenhuma venda nos ultimos 90 dias.</t>
  </si>
  <si>
    <t xml:space="preserve">Estoque Acima do Limite de Cobertura (padrao: 30 dias)</t>
  </si>
  <si>
    <t xml:space="preserve">Valor Total em Estoque (R$)</t>
  </si>
  <si>
    <t xml:space="preserve">Valor em Estoque &gt; limite (R$)</t>
  </si>
  <si>
    <t xml:space="preserve">% do Estoque Total Parado</t>
  </si>
  <si>
    <t xml:space="preserve">Limite definido em Parametros (padrao 30 dias)</t>
  </si>
  <si>
    <t xml:space="preserve">Qtd de SKUs Parados</t>
  </si>
  <si>
    <t xml:space="preserve">Detalhamento por severidade</t>
  </si>
  <si>
    <t xml:space="preserve">Faixa de Dias em Estoque</t>
  </si>
  <si>
    <t xml:space="preserve">&gt;30 e &lt;=60 dias</t>
  </si>
  <si>
    <t xml:space="preserve">&gt;60 e &lt;=90 dias</t>
  </si>
  <si>
    <t xml:space="preserve">&gt;90 e &lt;=180 dias</t>
  </si>
  <si>
    <t xml:space="preserve">&gt;180 dias</t>
  </si>
  <si>
    <t xml:space="preserve">Mix de Produtos - Possivel Canibalizacao</t>
  </si>
  <si>
    <t xml:space="preserve">Qtd de SKUs sinalizados (mesmo grupo, outra marca, mesma empresa)</t>
  </si>
  <si>
    <t xml:space="preserve">Valor em Estoque nesses SKUs (R$)</t>
  </si>
  <si>
    <t xml:space="preserve">% do Estoque Total em risco de canibalizacao</t>
  </si>
  <si>
    <t xml:space="preserve">Como funciona</t>
  </si>
  <si>
    <t xml:space="preserve">Um SKU e sinalizado "SIM" quando existe, na mesma empresa/filial, outro produto com a mesma</t>
  </si>
  <si>
    <t xml:space="preserve">"Chave Mix" (coluna X da aba Base) mas de marca diferente - ou seja, dois ou mais fornecedores</t>
  </si>
  <si>
    <t xml:space="preserve">competindo pelo mesmo tipo de produto/aplicacao (possiveis itens canibais).</t>
  </si>
  <si>
    <t xml:space="preserve">A Chave Mix usa por padrao a 1a palavra da Descricao. Ela fica bem mais precisa se voce</t>
  </si>
  <si>
    <t xml:space="preserve">preencher a coluna 'Grupo (opcional)' na aba Base com o Grupo/Categoria real do Sankhya</t>
  </si>
  <si>
    <t xml:space="preserve">(a formula passa a usar o Grupo automaticamente assim que ele for preenchido).</t>
  </si>
  <si>
    <t xml:space="preserve">Para ver os grupos com canibalizacao um a um (ex: quais marcas competem em qual grupo,</t>
  </si>
  <si>
    <t xml:space="preserve">com valor de estoque parado de cada lado), monte uma Tabela Dinamica a partir da aba Base:</t>
  </si>
  <si>
    <t xml:space="preserve">Inserir &gt; Tabela Dinamica &gt; Linhas: Chave Mix Final (X) e Marca (D) &gt; Valores: Custo x Estoque (L),</t>
  </si>
  <si>
    <t xml:space="preserve">soma; e Contagem de Cod Produto (A). Assim voce ve, grupo a grupo, quanto capital esta parado</t>
  </si>
  <si>
    <t xml:space="preserve">competindo dentro do proprio mix.</t>
  </si>
  <si>
    <t xml:space="preserve">Quanto custaria comprar tudo o que falta para o Estoque Minimo</t>
  </si>
  <si>
    <t xml:space="preserve">Custo Total para Repor o Estoque Minimo (R$)</t>
  </si>
  <si>
    <t xml:space="preserve">Soma de (Qtd Minima Alvo - Qtd Estoque atual) x Custo Unit., so onde falta estoque</t>
  </si>
  <si>
    <t xml:space="preserve">Qtd de SKUs abaixo do minimo</t>
  </si>
  <si>
    <t xml:space="preserve">Valor Total em Estoque Atual (R$)</t>
  </si>
  <si>
    <t xml:space="preserve">Custo Repor Min. vs Orcamento do Mes</t>
  </si>
  <si>
    <t xml:space="preserve">Compara o valor necessario para repor o minimo com o orcamento de compras do mes (aba Parametros)</t>
  </si>
  <si>
    <t xml:space="preserve">Como e calculado</t>
  </si>
  <si>
    <t xml:space="preserve">Estoque Minimo Alvo (por produto) = Venda Diaria Media x Dias de Cobertura Alvo da Curva</t>
  </si>
  <si>
    <t xml:space="preserve">(dias-alvo por curva editaveis na aba Parametros).</t>
  </si>
  <si>
    <t xml:space="preserve">Se a Qtd Estoque atual for menor que o Estoque Minimo Alvo, a diferenca (coluna S da aba Base)</t>
  </si>
  <si>
    <t xml:space="preserve">e multiplicada pelo Custo Unit. do produto (coluna T da aba Base) e somada aqui.</t>
  </si>
  <si>
    <t xml:space="preserve">Produtos que ja estao no minimo ou acima nao entram na conta (nao gera compra negativa).</t>
  </si>
  <si>
    <t xml:space="preserve">Resumo Executivo - Analise Preliminar de Compras e Estoque</t>
  </si>
  <si>
    <t xml:space="preserve">Custo p/ Repor o Estoque Minimo (R$)</t>
  </si>
  <si>
    <t xml:space="preserve">Quanto falta investir para chegar no minimo ideal</t>
  </si>
  <si>
    <t xml:space="preserve">Custo Repor Minimo vs Orcamento do Mes</t>
  </si>
  <si>
    <t xml:space="preserve">% do Estoque Parado (&gt; limite de dias)</t>
  </si>
  <si>
    <t xml:space="preserve">Estoque 'ruim' que nao gira - capital preso</t>
  </si>
  <si>
    <t xml:space="preserve">Valor em Estoque Parado (R$)</t>
  </si>
  <si>
    <t xml:space="preserve">Valor em Risco de Canibalizacao de Mix (R$)</t>
  </si>
  <si>
    <t xml:space="preserve">% do Estoque em Risco de Canibalizacao</t>
  </si>
  <si>
    <t xml:space="preserve">Orcamento de Compras do Mes (R$)</t>
  </si>
  <si>
    <t xml:space="preserve">Valor Ja Comprado no Mes (R$)</t>
  </si>
  <si>
    <t xml:space="preserve">% do Orcamento Consumido</t>
  </si>
  <si>
    <t xml:space="preserve">Status do Orcamento</t>
  </si>
  <si>
    <t xml:space="preserve">Leitura sugerida para a reuniao</t>
  </si>
  <si>
    <t xml:space="preserve">1. Custo p/ Repor o Minimo alto + Orcamento apertado = priorize repor primeiro os SKUs</t>
  </si>
  <si>
    <t xml:space="preserve">   Curva A/B (aba Curva ABC) antes de qualquer compra fora do mix habitual.</t>
  </si>
  <si>
    <t xml:space="preserve">2. % Estoque Parado alto = boa parte dos R$ presos no estoque nao volta como caixa tao cedo;</t>
  </si>
  <si>
    <t xml:space="preserve">   avalie liquidacao/devolucao a fornecedor para as faixas &gt;90 e &gt;180 dias (aba Estoque Parado).</t>
  </si>
  <si>
    <t xml:space="preserve">3. Valor em Risco de Canibalizacao = capital duplicado comprando o mesmo tipo de produto de</t>
  </si>
  <si>
    <t xml:space="preserve">   marcas concorrentes; vale revisar politica de compras por grupo (aba Mix e Canibalizacao).</t>
  </si>
  <si>
    <t xml:space="preserve">4. Compras fora do mix habitual (produtos que a empresa normalmente nao comercializa) nao</t>
  </si>
  <si>
    <t xml:space="preserve">   aparecem automaticamente aqui - filtre a coluna Situacao/Fornecedor na aba Base para mapear.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</si>
</sst>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"/>
    <numFmt numFmtId="166" formatCode="0.0%"/>
    <numFmt numFmtId="167" formatCode="dd/mm/yyyy"/>
    <numFmt numFmtId="168" formatCode="General"/>
    <numFmt numFmtId="169" formatCode="0.0"/>
    <numFmt numFmtId="170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i val="true"/>
      <sz val="11"/>
      <color rgb="FF595959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sz val="11"/>
      <color rgb="FFC0000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1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5"/>
    <col collapsed="false" customWidth="true" hidden="false" outlineLevel="0" max="3" min="3" style="1" width="90"/>
  </cols>
  <sheetData>
    <row r="2" customFormat="false" ht="17.2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</row>
    <row r="6" customFormat="false" ht="15" hidden="false" customHeight="true" outlineLevel="0" collapsed="false">
      <c r="B6" s="5" t="s">
        <v>3</v>
      </c>
    </row>
    <row r="7" customFormat="false" ht="15" hidden="false" customHeight="true" outlineLevel="0" collapsed="false">
      <c r="B7" s="5" t="s">
        <v>4</v>
      </c>
    </row>
    <row r="8" customFormat="false" ht="15" hidden="false" customHeight="true" outlineLevel="0" collapsed="false">
      <c r="B8" s="5" t="s">
        <v>5</v>
      </c>
    </row>
    <row r="9" customFormat="false" ht="15" hidden="false" customHeight="true" outlineLevel="0" collapsed="false">
      <c r="B9" s="5" t="s">
        <v>6</v>
      </c>
    </row>
    <row r="11" customFormat="false" ht="15" hidden="false" customHeight="true" outlineLevel="0" collapsed="false">
      <c r="B11" s="4" t="s">
        <v>7</v>
      </c>
    </row>
    <row r="12" customFormat="false" ht="15" hidden="false" customHeight="true" outlineLevel="0" collapsed="false">
      <c r="B12" s="6" t="s">
        <v>8</v>
      </c>
      <c r="C12" s="1" t="s">
        <v>9</v>
      </c>
    </row>
    <row r="13" customFormat="false" ht="15" hidden="false" customHeight="true" outlineLevel="0" collapsed="false">
      <c r="B13" s="5" t="s">
        <v>10</v>
      </c>
      <c r="C13" s="1" t="s">
        <v>11</v>
      </c>
    </row>
    <row r="14" customFormat="false" ht="15" hidden="false" customHeight="true" outlineLevel="0" collapsed="false">
      <c r="B14" s="7" t="s">
        <v>12</v>
      </c>
      <c r="C14" s="1" t="s">
        <v>13</v>
      </c>
    </row>
    <row r="16" customFormat="false" ht="15" hidden="false" customHeight="true" outlineLevel="0" collapsed="false">
      <c r="B16" s="4" t="s">
        <v>14</v>
      </c>
    </row>
    <row r="17" customFormat="false" ht="15" hidden="false" customHeight="true" outlineLevel="0" collapsed="false">
      <c r="B17" s="5" t="s">
        <v>15</v>
      </c>
    </row>
    <row r="18" customFormat="false" ht="15" hidden="false" customHeight="true" outlineLevel="0" collapsed="false">
      <c r="B18" s="5" t="s">
        <v>16</v>
      </c>
    </row>
    <row r="19" customFormat="false" ht="15" hidden="false" customHeight="true" outlineLevel="0" collapsed="false">
      <c r="B19" s="5" t="s">
        <v>17</v>
      </c>
    </row>
    <row r="20" customFormat="false" ht="15" hidden="false" customHeight="true" outlineLevel="0" collapsed="false">
      <c r="B20" s="5" t="s">
        <v>18</v>
      </c>
    </row>
    <row r="21" customFormat="false" ht="15" hidden="false" customHeight="true" outlineLevel="0" collapsed="false">
      <c r="B21" s="5" t="s">
        <v>19</v>
      </c>
    </row>
    <row r="22" customFormat="false" ht="15" hidden="false" customHeight="true" outlineLevel="0" collapsed="false">
      <c r="B22" s="5" t="s">
        <v>20</v>
      </c>
    </row>
    <row r="23" customFormat="false" ht="15" hidden="false" customHeight="true" outlineLevel="0" collapsed="false">
      <c r="B23" s="5" t="s">
        <v>21</v>
      </c>
    </row>
    <row r="25" customFormat="false" ht="15" hidden="false" customHeight="true" outlineLevel="0" collapsed="false">
      <c r="B25" s="8" t="s">
        <v>22</v>
      </c>
    </row>
    <row r="26" customFormat="false" ht="15" hidden="false" customHeight="true" outlineLevel="0" collapsed="false">
      <c r="B26" s="9" t="s">
        <v>23</v>
      </c>
    </row>
    <row r="27" customFormat="false" ht="15" hidden="false" customHeight="true" outlineLevel="0" collapsed="false">
      <c r="B27" s="9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3" min="3" style="1" width="20"/>
    <col collapsed="false" customWidth="true" hidden="false" outlineLevel="0" max="4" min="4" style="1" width="45"/>
  </cols>
  <sheetData>
    <row r="2" customFormat="false" ht="17.25" hidden="false" customHeight="true" outlineLevel="0" collapsed="false">
      <c r="B2" s="2" t="s">
        <v>25</v>
      </c>
    </row>
    <row r="4" customFormat="false" ht="15" hidden="false" customHeight="true" outlineLevel="0" collapsed="false">
      <c r="B4" s="10" t="s">
        <v>26</v>
      </c>
      <c r="D4" s="11" t="s">
        <v>27</v>
      </c>
    </row>
    <row r="5" customFormat="false" ht="18" hidden="false" customHeight="true" outlineLevel="0" collapsed="false">
      <c r="B5" s="12" t="s">
        <v>28</v>
      </c>
      <c r="C5" s="12" t="s">
        <v>29</v>
      </c>
    </row>
    <row r="6" customFormat="false" ht="15" hidden="false" customHeight="true" outlineLevel="0" collapsed="false">
      <c r="B6" s="13" t="s">
        <v>30</v>
      </c>
      <c r="C6" s="14" t="n">
        <v>45</v>
      </c>
    </row>
    <row r="7" customFormat="false" ht="15" hidden="false" customHeight="true" outlineLevel="0" collapsed="false">
      <c r="B7" s="13" t="s">
        <v>31</v>
      </c>
      <c r="C7" s="14" t="n">
        <v>30</v>
      </c>
    </row>
    <row r="8" customFormat="false" ht="15" hidden="false" customHeight="true" outlineLevel="0" collapsed="false">
      <c r="B8" s="13" t="s">
        <v>32</v>
      </c>
      <c r="C8" s="14" t="n">
        <v>20</v>
      </c>
    </row>
    <row r="9" customFormat="false" ht="15" hidden="false" customHeight="true" outlineLevel="0" collapsed="false">
      <c r="B9" s="13" t="s">
        <v>33</v>
      </c>
      <c r="C9" s="14" t="n">
        <v>15</v>
      </c>
    </row>
    <row r="10" customFormat="false" ht="15" hidden="false" customHeight="true" outlineLevel="0" collapsed="false">
      <c r="B10" s="13" t="s">
        <v>34</v>
      </c>
      <c r="C10" s="14" t="n">
        <v>10</v>
      </c>
    </row>
    <row r="13" customFormat="false" ht="15" hidden="false" customHeight="true" outlineLevel="0" collapsed="false">
      <c r="B13" s="10" t="s">
        <v>35</v>
      </c>
    </row>
    <row r="14" customFormat="false" ht="15" hidden="false" customHeight="true" outlineLevel="0" collapsed="false">
      <c r="B14" s="1" t="s">
        <v>36</v>
      </c>
      <c r="C14" s="15" t="n">
        <v>30</v>
      </c>
    </row>
    <row r="17" customFormat="false" ht="15" hidden="false" customHeight="true" outlineLevel="0" collapsed="false">
      <c r="B17" s="10" t="s">
        <v>37</v>
      </c>
    </row>
    <row r="18" customFormat="false" ht="15" hidden="false" customHeight="true" outlineLevel="0" collapsed="false">
      <c r="B18" s="10" t="s">
        <v>38</v>
      </c>
      <c r="C18" s="15" t="s">
        <v>39</v>
      </c>
    </row>
    <row r="19" customFormat="false" ht="15" hidden="false" customHeight="true" outlineLevel="0" collapsed="false">
      <c r="B19" s="10" t="s">
        <v>40</v>
      </c>
      <c r="C19" s="16" t="n">
        <v>0</v>
      </c>
    </row>
    <row r="20" customFormat="false" ht="15" hidden="false" customHeight="true" outlineLevel="0" collapsed="false">
      <c r="B20" s="10" t="s">
        <v>41</v>
      </c>
      <c r="C20" s="16" t="n">
        <v>0</v>
      </c>
    </row>
    <row r="21" customFormat="false" ht="15" hidden="false" customHeight="true" outlineLevel="0" collapsed="false">
      <c r="B21" s="10" t="s">
        <v>42</v>
      </c>
      <c r="C21" s="17" t="str">
        <f aca="false">IF(C19=0,"",C20/C19)</f>
        <v/>
      </c>
    </row>
    <row r="22" customFormat="false" ht="15" hidden="false" customHeight="true" outlineLevel="0" collapsed="false">
      <c r="B22" s="10" t="s">
        <v>43</v>
      </c>
      <c r="C22" s="5" t="str">
        <f aca="false">IF(C19=0,"",IF(C21&gt;=1,"TRAVADO (100% do orçamento)",IF(C21&gt;=0.7,"ALERTA (&gt;= 70% do orçamento)","OK")))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2"/>
    <col collapsed="false" customWidth="true" hidden="false" outlineLevel="0" max="3" min="3" style="1" width="30"/>
    <col collapsed="false" customWidth="true" hidden="false" outlineLevel="0" max="4" min="4" style="1" width="20"/>
    <col collapsed="false" customWidth="true" hidden="false" outlineLevel="0" max="5" min="5" style="1" width="16"/>
    <col collapsed="false" customWidth="true" hidden="false" outlineLevel="0" max="6" min="6" style="1" width="8"/>
    <col collapsed="false" customWidth="true" hidden="false" outlineLevel="0" max="7" min="7" style="1" width="11"/>
    <col collapsed="false" customWidth="true" hidden="false" outlineLevel="0" max="8" min="8" style="1" width="10"/>
    <col collapsed="false" customWidth="true" hidden="false" outlineLevel="0" max="10" min="9" style="1" width="12"/>
    <col collapsed="false" customWidth="true" hidden="false" outlineLevel="0" max="11" min="11" style="1" width="14"/>
    <col collapsed="false" customWidth="true" hidden="false" outlineLevel="0" max="12" min="12" style="1" width="16"/>
    <col collapsed="false" customWidth="true" hidden="false" outlineLevel="0" max="14" min="13" style="1" width="12"/>
    <col collapsed="false" customWidth="true" hidden="false" outlineLevel="0" max="17" min="15" style="1" width="14"/>
    <col collapsed="false" customWidth="true" hidden="false" outlineLevel="0" max="18" min="18" style="1" width="13"/>
    <col collapsed="false" customWidth="true" hidden="false" outlineLevel="0" max="19" min="19" style="1" width="14"/>
    <col collapsed="false" customWidth="true" hidden="false" outlineLevel="0" max="20" min="20" style="1" width="16"/>
    <col collapsed="false" customWidth="true" hidden="false" outlineLevel="0" max="21" min="21" style="1" width="14"/>
    <col collapsed="false" customWidth="true" hidden="false" outlineLevel="0" max="22" min="22" style="1" width="18"/>
    <col collapsed="false" customWidth="true" hidden="false" outlineLevel="0" max="23" min="23" style="1" width="16"/>
    <col collapsed="false" customWidth="true" hidden="false" outlineLevel="0" max="25" min="24" style="1" width="18"/>
    <col collapsed="false" customWidth="true" hidden="false" outlineLevel="0" max="26" min="26" style="1" width="14"/>
    <col collapsed="false" customWidth="true" hidden="false" outlineLevel="0" max="27" min="27" style="1" width="20"/>
  </cols>
  <sheetData>
    <row r="1" customFormat="false" ht="31.5" hidden="false" customHeight="true" outlineLevel="0" collapsed="false">
      <c r="A1" s="12" t="s">
        <v>44</v>
      </c>
      <c r="B1" s="12" t="s">
        <v>45</v>
      </c>
      <c r="C1" s="12" t="s">
        <v>46</v>
      </c>
      <c r="D1" s="12" t="s">
        <v>47</v>
      </c>
      <c r="E1" s="12" t="s">
        <v>48</v>
      </c>
      <c r="F1" s="12" t="s">
        <v>28</v>
      </c>
      <c r="G1" s="12" t="s">
        <v>49</v>
      </c>
      <c r="H1" s="12" t="s">
        <v>50</v>
      </c>
      <c r="I1" s="12" t="s">
        <v>51</v>
      </c>
      <c r="J1" s="12" t="s">
        <v>52</v>
      </c>
      <c r="K1" s="12" t="s">
        <v>53</v>
      </c>
      <c r="L1" s="12" t="s">
        <v>54</v>
      </c>
      <c r="M1" s="12" t="s">
        <v>55</v>
      </c>
      <c r="N1" s="12" t="s">
        <v>56</v>
      </c>
      <c r="O1" s="12" t="s">
        <v>57</v>
      </c>
      <c r="P1" s="12" t="s">
        <v>58</v>
      </c>
      <c r="Q1" s="12" t="s">
        <v>59</v>
      </c>
      <c r="R1" s="12" t="s">
        <v>60</v>
      </c>
      <c r="S1" s="12" t="s">
        <v>61</v>
      </c>
      <c r="T1" s="12" t="s">
        <v>62</v>
      </c>
      <c r="U1" s="12" t="s">
        <v>63</v>
      </c>
      <c r="V1" s="12" t="s">
        <v>64</v>
      </c>
      <c r="W1" s="12" t="s">
        <v>65</v>
      </c>
      <c r="X1" s="12" t="s">
        <v>66</v>
      </c>
      <c r="Y1" s="12" t="s">
        <v>67</v>
      </c>
      <c r="Z1" s="12" t="s">
        <v>68</v>
      </c>
      <c r="AA1" s="12" t="s">
        <v>69</v>
      </c>
    </row>
    <row r="2" customFormat="false" ht="15" hidden="false" customHeight="true" outlineLevel="0" collapsed="false">
      <c r="A2" s="6" t="s">
        <v>70</v>
      </c>
      <c r="B2" s="6" t="s">
        <v>71</v>
      </c>
      <c r="C2" s="6" t="s">
        <v>72</v>
      </c>
      <c r="D2" s="6" t="s">
        <v>73</v>
      </c>
      <c r="E2" s="6" t="s">
        <v>74</v>
      </c>
      <c r="F2" s="6" t="s">
        <v>34</v>
      </c>
      <c r="G2" s="6" t="n">
        <v>4</v>
      </c>
      <c r="H2" s="6" t="n">
        <v>2</v>
      </c>
      <c r="I2" s="6" t="n">
        <v>0</v>
      </c>
      <c r="J2" s="6" t="n">
        <v>180</v>
      </c>
      <c r="K2" s="18" t="n">
        <v>33740</v>
      </c>
      <c r="L2" s="19" t="n">
        <f aca="false">IF(A2="","",G2*K2)</f>
        <v>134960</v>
      </c>
      <c r="M2" s="20" t="n">
        <v>46262</v>
      </c>
      <c r="N2" s="6" t="s">
        <v>75</v>
      </c>
      <c r="O2" s="6"/>
      <c r="P2" s="5" t="n">
        <f aca="false">IF(A2="","",H2/90)</f>
        <v>0.0222222222222222</v>
      </c>
      <c r="Q2" s="5" t="n">
        <f aca="false">IF(A2="","",IFERROR(INDEX(Parâmetros!$C$6:$C$10,MATCH(F2,Parâmetros!$B$6:$B$10,0)),""))</f>
        <v>10</v>
      </c>
      <c r="R2" s="5" t="n">
        <f aca="false">IF(OR(A2="",P2="",Q2=""),"",P2*Q2)</f>
        <v>0.222222222222222</v>
      </c>
      <c r="S2" s="5" t="n">
        <f aca="false">IF(R2="","",MAX(0,R2-G2))</f>
        <v>0</v>
      </c>
      <c r="T2" s="21" t="n">
        <f aca="false">IF(S2="","",S2*K2)</f>
        <v>0</v>
      </c>
      <c r="U2" s="5" t="str">
        <f aca="false">IF(A2="","",IF(J2&gt;Parâmetros!$C$14,"SIM","NAO"))</f>
        <v>SIM</v>
      </c>
      <c r="V2" s="5" t="str">
        <f aca="false">IF(B2="","",TRIM(LEFT(B2,IFERROR(FIND(" ",B2)-1,LEN(B2)))))</f>
        <v>MOTOR</v>
      </c>
      <c r="W2" s="22"/>
      <c r="X2" s="5" t="str">
        <f aca="false">IF(A2="","",IF(W2&lt;&gt;"",W2,V2))</f>
        <v>MOTOR</v>
      </c>
      <c r="Y2" s="5" t="str">
        <f aca="false">IF(A2="","",IF(COUNTIFS($X$2:$X$2001,X2,$D$2:$D$2001,"&lt;&gt;"&amp;D2,$C$2:$C$2001,C2)&gt;0,"SIM","NAO"))</f>
        <v>NAO</v>
      </c>
      <c r="Z2" s="5" t="n">
        <f aca="false">IF(A2="","",IF(J2="","",IFERROR(360/J2,"")))</f>
        <v>2</v>
      </c>
      <c r="AA2" s="5" t="str">
        <f aca="false">IF(A2="","",IF(H2=0,"Parado (sem venda 90d)",IF(Z2&gt;12,"Alto (&gt;12x/ano)",IF(Z2&gt;=4,"Medio (4-12x/ano)","Baixo (&lt;4x/ano)"))))</f>
        <v>Baixo (&lt;4x/ano)</v>
      </c>
    </row>
    <row r="3" customFormat="false" ht="15" hidden="false" customHeight="tru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18"/>
      <c r="L3" s="19" t="str">
        <f aca="false">IF(A3="","",G3*K3)</f>
        <v/>
      </c>
      <c r="M3" s="20"/>
      <c r="N3" s="6"/>
      <c r="O3" s="6"/>
      <c r="P3" s="5" t="str">
        <f aca="false">IF(A3="","",H3/90)</f>
        <v/>
      </c>
      <c r="Q3" s="5" t="str">
        <f aca="false">IF(A3="","",IFERROR(INDEX(Parâmetros!$C$6:$C$10,MATCH(F3,Parâmetros!$B$6:$B$10,0)),""))</f>
        <v/>
      </c>
      <c r="R3" s="5" t="str">
        <f aca="false">IF(OR(A3="",P3="",Q3=""),"",P3*Q3)</f>
        <v/>
      </c>
      <c r="S3" s="5" t="str">
        <f aca="false">IF(R3="","",MAX(0,R3-G3))</f>
        <v/>
      </c>
      <c r="T3" s="21" t="str">
        <f aca="false">IF(S3="","",S3*K3)</f>
        <v/>
      </c>
      <c r="U3" s="5" t="str">
        <f aca="false">IF(A3="","",IF(J3&gt;Parâmetros!$C$14,"SIM","NAO"))</f>
        <v/>
      </c>
      <c r="V3" s="5" t="str">
        <f aca="false">IF(B3="","",TRIM(LEFT(B3,IFERROR(FIND(" ",B3)-1,LEN(B3)))))</f>
        <v/>
      </c>
      <c r="W3" s="22"/>
      <c r="X3" s="5" t="str">
        <f aca="false">IF(A3="","",IF(W3&lt;&gt;"",W3,V3))</f>
        <v/>
      </c>
      <c r="Y3" s="5" t="str">
        <f aca="false">IF(A3="","",IF(COUNTIFS($X$2:$X$2001,X3,$D$2:$D$2001,"&lt;&gt;"&amp;D3,$C$2:$C$2001,C3)&gt;0,"SIM","NAO"))</f>
        <v/>
      </c>
      <c r="Z3" s="5" t="str">
        <f aca="false">IF(A3="","",IF(J3="","",IFERROR(360/J3,"")))</f>
        <v/>
      </c>
      <c r="AA3" s="5" t="str">
        <f aca="false">IF(A3="","",IF(H3=0,"Parado (sem venda 90d)",IF(Z3&gt;12,"Alto (&gt;12x/ano)",IF(Z3&gt;=4,"Medio (4-12x/ano)","Baixo (&lt;4x/ano)"))))</f>
        <v/>
      </c>
    </row>
    <row r="4" customFormat="false" ht="15" hidden="false" customHeight="tru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18"/>
      <c r="L4" s="19" t="str">
        <f aca="false">IF(A4="","",G4*K4)</f>
        <v/>
      </c>
      <c r="M4" s="20"/>
      <c r="N4" s="6"/>
      <c r="O4" s="6"/>
      <c r="P4" s="5" t="str">
        <f aca="false">IF(A4="","",H4/90)</f>
        <v/>
      </c>
      <c r="Q4" s="5" t="str">
        <f aca="false">IF(A4="","",IFERROR(INDEX(Parâmetros!$C$6:$C$10,MATCH(F4,Parâmetros!$B$6:$B$10,0)),""))</f>
        <v/>
      </c>
      <c r="R4" s="5" t="str">
        <f aca="false">IF(OR(A4="",P4="",Q4=""),"",P4*Q4)</f>
        <v/>
      </c>
      <c r="S4" s="5" t="str">
        <f aca="false">IF(R4="","",MAX(0,R4-G4))</f>
        <v/>
      </c>
      <c r="T4" s="21" t="str">
        <f aca="false">IF(S4="","",S4*K4)</f>
        <v/>
      </c>
      <c r="U4" s="5" t="str">
        <f aca="false">IF(A4="","",IF(J4&gt;Parâmetros!$C$14,"SIM","NAO"))</f>
        <v/>
      </c>
      <c r="V4" s="5" t="str">
        <f aca="false">IF(B4="","",TRIM(LEFT(B4,IFERROR(FIND(" ",B4)-1,LEN(B4)))))</f>
        <v/>
      </c>
      <c r="W4" s="22"/>
      <c r="X4" s="5" t="str">
        <f aca="false">IF(A4="","",IF(W4&lt;&gt;"",W4,V4))</f>
        <v/>
      </c>
      <c r="Y4" s="5" t="str">
        <f aca="false">IF(A4="","",IF(COUNTIFS($X$2:$X$2001,X4,$D$2:$D$2001,"&lt;&gt;"&amp;D4,$C$2:$C$2001,C4)&gt;0,"SIM","NAO"))</f>
        <v/>
      </c>
      <c r="Z4" s="5" t="str">
        <f aca="false">IF(A4="","",IF(J4="","",IFERROR(360/J4,"")))</f>
        <v/>
      </c>
      <c r="AA4" s="5" t="str">
        <f aca="false">IF(A4="","",IF(H4=0,"Parado (sem venda 90d)",IF(Z4&gt;12,"Alto (&gt;12x/ano)",IF(Z4&gt;=4,"Medio (4-12x/ano)","Baixo (&lt;4x/ano)"))))</f>
        <v/>
      </c>
    </row>
    <row r="5" customFormat="false" ht="15" hidden="false" customHeight="tru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18"/>
      <c r="L5" s="19" t="str">
        <f aca="false">IF(A5="","",G5*K5)</f>
        <v/>
      </c>
      <c r="M5" s="20"/>
      <c r="N5" s="6"/>
      <c r="O5" s="6"/>
      <c r="P5" s="5" t="str">
        <f aca="false">IF(A5="","",H5/90)</f>
        <v/>
      </c>
      <c r="Q5" s="5" t="str">
        <f aca="false">IF(A5="","",IFERROR(INDEX(Parâmetros!$C$6:$C$10,MATCH(F5,Parâmetros!$B$6:$B$10,0)),""))</f>
        <v/>
      </c>
      <c r="R5" s="5" t="str">
        <f aca="false">IF(OR(A5="",P5="",Q5=""),"",P5*Q5)</f>
        <v/>
      </c>
      <c r="S5" s="5" t="str">
        <f aca="false">IF(R5="","",MAX(0,R5-G5))</f>
        <v/>
      </c>
      <c r="T5" s="21" t="str">
        <f aca="false">IF(S5="","",S5*K5)</f>
        <v/>
      </c>
      <c r="U5" s="5" t="str">
        <f aca="false">IF(A5="","",IF(J5&gt;Parâmetros!$C$14,"SIM","NAO"))</f>
        <v/>
      </c>
      <c r="V5" s="5" t="str">
        <f aca="false">IF(B5="","",TRIM(LEFT(B5,IFERROR(FIND(" ",B5)-1,LEN(B5)))))</f>
        <v/>
      </c>
      <c r="W5" s="22"/>
      <c r="X5" s="5" t="str">
        <f aca="false">IF(A5="","",IF(W5&lt;&gt;"",W5,V5))</f>
        <v/>
      </c>
      <c r="Y5" s="5" t="str">
        <f aca="false">IF(A5="","",IF(COUNTIFS($X$2:$X$2001,X5,$D$2:$D$2001,"&lt;&gt;"&amp;D5,$C$2:$C$2001,C5)&gt;0,"SIM","NAO"))</f>
        <v/>
      </c>
      <c r="Z5" s="5" t="str">
        <f aca="false">IF(A5="","",IF(J5="","",IFERROR(360/J5,"")))</f>
        <v/>
      </c>
      <c r="AA5" s="5" t="str">
        <f aca="false">IF(A5="","",IF(H5=0,"Parado (sem venda 90d)",IF(Z5&gt;12,"Alto (&gt;12x/ano)",IF(Z5&gt;=4,"Medio (4-12x/ano)","Baixo (&lt;4x/ano)"))))</f>
        <v/>
      </c>
    </row>
    <row r="6" customFormat="false" ht="15" hidden="false" customHeight="tru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18"/>
      <c r="L6" s="19" t="str">
        <f aca="false">IF(A6="","",G6*K6)</f>
        <v/>
      </c>
      <c r="M6" s="20"/>
      <c r="N6" s="6"/>
      <c r="O6" s="6"/>
      <c r="P6" s="5" t="str">
        <f aca="false">IF(A6="","",H6/90)</f>
        <v/>
      </c>
      <c r="Q6" s="5" t="str">
        <f aca="false">IF(A6="","",IFERROR(INDEX(Parâmetros!$C$6:$C$10,MATCH(F6,Parâmetros!$B$6:$B$10,0)),""))</f>
        <v/>
      </c>
      <c r="R6" s="5" t="str">
        <f aca="false">IF(OR(A6="",P6="",Q6=""),"",P6*Q6)</f>
        <v/>
      </c>
      <c r="S6" s="5" t="str">
        <f aca="false">IF(R6="","",MAX(0,R6-G6))</f>
        <v/>
      </c>
      <c r="T6" s="21" t="str">
        <f aca="false">IF(S6="","",S6*K6)</f>
        <v/>
      </c>
      <c r="U6" s="5" t="str">
        <f aca="false">IF(A6="","",IF(J6&gt;Parâmetros!$C$14,"SIM","NAO"))</f>
        <v/>
      </c>
      <c r="V6" s="5" t="str">
        <f aca="false">IF(B6="","",TRIM(LEFT(B6,IFERROR(FIND(" ",B6)-1,LEN(B6)))))</f>
        <v/>
      </c>
      <c r="W6" s="22"/>
      <c r="X6" s="5" t="str">
        <f aca="false">IF(A6="","",IF(W6&lt;&gt;"",W6,V6))</f>
        <v/>
      </c>
      <c r="Y6" s="5" t="str">
        <f aca="false">IF(A6="","",IF(COUNTIFS($X$2:$X$2001,X6,$D$2:$D$2001,"&lt;&gt;"&amp;D6,$C$2:$C$2001,C6)&gt;0,"SIM","NAO"))</f>
        <v/>
      </c>
      <c r="Z6" s="5" t="str">
        <f aca="false">IF(A6="","",IF(J6="","",IFERROR(360/J6,"")))</f>
        <v/>
      </c>
      <c r="AA6" s="5" t="str">
        <f aca="false">IF(A6="","",IF(H6=0,"Parado (sem venda 90d)",IF(Z6&gt;12,"Alto (&gt;12x/ano)",IF(Z6&gt;=4,"Medio (4-12x/ano)","Baixo (&lt;4x/ano)"))))</f>
        <v/>
      </c>
    </row>
    <row r="7" customFormat="false" ht="15" hidden="false" customHeight="tru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  <c r="K7" s="18"/>
      <c r="L7" s="19" t="str">
        <f aca="false">IF(A7="","",G7*K7)</f>
        <v/>
      </c>
      <c r="M7" s="20"/>
      <c r="N7" s="6"/>
      <c r="O7" s="6"/>
      <c r="P7" s="5" t="str">
        <f aca="false">IF(A7="","",H7/90)</f>
        <v/>
      </c>
      <c r="Q7" s="5" t="str">
        <f aca="false">IF(A7="","",IFERROR(INDEX(Parâmetros!$C$6:$C$10,MATCH(F7,Parâmetros!$B$6:$B$10,0)),""))</f>
        <v/>
      </c>
      <c r="R7" s="5" t="str">
        <f aca="false">IF(OR(A7="",P7="",Q7=""),"",P7*Q7)</f>
        <v/>
      </c>
      <c r="S7" s="5" t="str">
        <f aca="false">IF(R7="","",MAX(0,R7-G7))</f>
        <v/>
      </c>
      <c r="T7" s="21" t="str">
        <f aca="false">IF(S7="","",S7*K7)</f>
        <v/>
      </c>
      <c r="U7" s="5" t="str">
        <f aca="false">IF(A7="","",IF(J7&gt;Parâmetros!$C$14,"SIM","NAO"))</f>
        <v/>
      </c>
      <c r="V7" s="5" t="str">
        <f aca="false">IF(B7="","",TRIM(LEFT(B7,IFERROR(FIND(" ",B7)-1,LEN(B7)))))</f>
        <v/>
      </c>
      <c r="W7" s="22"/>
      <c r="X7" s="5" t="str">
        <f aca="false">IF(A7="","",IF(W7&lt;&gt;"",W7,V7))</f>
        <v/>
      </c>
      <c r="Y7" s="5" t="str">
        <f aca="false">IF(A7="","",IF(COUNTIFS($X$2:$X$2001,X7,$D$2:$D$2001,"&lt;&gt;"&amp;D7,$C$2:$C$2001,C7)&gt;0,"SIM","NAO"))</f>
        <v/>
      </c>
      <c r="Z7" s="5" t="str">
        <f aca="false">IF(A7="","",IF(J7="","",IFERROR(360/J7,"")))</f>
        <v/>
      </c>
      <c r="AA7" s="5" t="str">
        <f aca="false">IF(A7="","",IF(H7=0,"Parado (sem venda 90d)",IF(Z7&gt;12,"Alto (&gt;12x/ano)",IF(Z7&gt;=4,"Medio (4-12x/ano)","Baixo (&lt;4x/ano)"))))</f>
        <v/>
      </c>
    </row>
    <row r="8" customFormat="false" ht="15" hidden="false" customHeight="tru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18"/>
      <c r="L8" s="19" t="str">
        <f aca="false">IF(A8="","",G8*K8)</f>
        <v/>
      </c>
      <c r="M8" s="20"/>
      <c r="N8" s="6"/>
      <c r="O8" s="6"/>
      <c r="P8" s="5" t="str">
        <f aca="false">IF(A8="","",H8/90)</f>
        <v/>
      </c>
      <c r="Q8" s="5" t="str">
        <f aca="false">IF(A8="","",IFERROR(INDEX(Parâmetros!$C$6:$C$10,MATCH(F8,Parâmetros!$B$6:$B$10,0)),""))</f>
        <v/>
      </c>
      <c r="R8" s="5" t="str">
        <f aca="false">IF(OR(A8="",P8="",Q8=""),"",P8*Q8)</f>
        <v/>
      </c>
      <c r="S8" s="5" t="str">
        <f aca="false">IF(R8="","",MAX(0,R8-G8))</f>
        <v/>
      </c>
      <c r="T8" s="21" t="str">
        <f aca="false">IF(S8="","",S8*K8)</f>
        <v/>
      </c>
      <c r="U8" s="5" t="str">
        <f aca="false">IF(A8="","",IF(J8&gt;Parâmetros!$C$14,"SIM","NAO"))</f>
        <v/>
      </c>
      <c r="V8" s="5" t="str">
        <f aca="false">IF(B8="","",TRIM(LEFT(B8,IFERROR(FIND(" ",B8)-1,LEN(B8)))))</f>
        <v/>
      </c>
      <c r="W8" s="22"/>
      <c r="X8" s="5" t="str">
        <f aca="false">IF(A8="","",IF(W8&lt;&gt;"",W8,V8))</f>
        <v/>
      </c>
      <c r="Y8" s="5" t="str">
        <f aca="false">IF(A8="","",IF(COUNTIFS($X$2:$X$2001,X8,$D$2:$D$2001,"&lt;&gt;"&amp;D8,$C$2:$C$2001,C8)&gt;0,"SIM","NAO"))</f>
        <v/>
      </c>
      <c r="Z8" s="5" t="str">
        <f aca="false">IF(A8="","",IF(J8="","",IFERROR(360/J8,"")))</f>
        <v/>
      </c>
      <c r="AA8" s="5" t="str">
        <f aca="false">IF(A8="","",IF(H8=0,"Parado (sem venda 90d)",IF(Z8&gt;12,"Alto (&gt;12x/ano)",IF(Z8&gt;=4,"Medio (4-12x/ano)","Baixo (&lt;4x/ano)"))))</f>
        <v/>
      </c>
    </row>
    <row r="9" customFormat="false" ht="15" hidden="false" customHeight="tru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18"/>
      <c r="L9" s="19" t="str">
        <f aca="false">IF(A9="","",G9*K9)</f>
        <v/>
      </c>
      <c r="M9" s="20"/>
      <c r="N9" s="6"/>
      <c r="O9" s="6"/>
      <c r="P9" s="5" t="str">
        <f aca="false">IF(A9="","",H9/90)</f>
        <v/>
      </c>
      <c r="Q9" s="5" t="str">
        <f aca="false">IF(A9="","",IFERROR(INDEX(Parâmetros!$C$6:$C$10,MATCH(F9,Parâmetros!$B$6:$B$10,0)),""))</f>
        <v/>
      </c>
      <c r="R9" s="5" t="str">
        <f aca="false">IF(OR(A9="",P9="",Q9=""),"",P9*Q9)</f>
        <v/>
      </c>
      <c r="S9" s="5" t="str">
        <f aca="false">IF(R9="","",MAX(0,R9-G9))</f>
        <v/>
      </c>
      <c r="T9" s="21" t="str">
        <f aca="false">IF(S9="","",S9*K9)</f>
        <v/>
      </c>
      <c r="U9" s="5" t="str">
        <f aca="false">IF(A9="","",IF(J9&gt;Parâmetros!$C$14,"SIM","NAO"))</f>
        <v/>
      </c>
      <c r="V9" s="5" t="str">
        <f aca="false">IF(B9="","",TRIM(LEFT(B9,IFERROR(FIND(" ",B9)-1,LEN(B9)))))</f>
        <v/>
      </c>
      <c r="W9" s="22"/>
      <c r="X9" s="5" t="str">
        <f aca="false">IF(A9="","",IF(W9&lt;&gt;"",W9,V9))</f>
        <v/>
      </c>
      <c r="Y9" s="5" t="str">
        <f aca="false">IF(A9="","",IF(COUNTIFS($X$2:$X$2001,X9,$D$2:$D$2001,"&lt;&gt;"&amp;D9,$C$2:$C$2001,C9)&gt;0,"SIM","NAO"))</f>
        <v/>
      </c>
      <c r="Z9" s="5" t="str">
        <f aca="false">IF(A9="","",IF(J9="","",IFERROR(360/J9,"")))</f>
        <v/>
      </c>
      <c r="AA9" s="5" t="str">
        <f aca="false">IF(A9="","",IF(H9=0,"Parado (sem venda 90d)",IF(Z9&gt;12,"Alto (&gt;12x/ano)",IF(Z9&gt;=4,"Medio (4-12x/ano)","Baixo (&lt;4x/ano)"))))</f>
        <v/>
      </c>
    </row>
    <row r="10" customFormat="false" ht="15" hidden="false" customHeight="tru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18"/>
      <c r="L10" s="19" t="str">
        <f aca="false">IF(A10="","",G10*K10)</f>
        <v/>
      </c>
      <c r="M10" s="20"/>
      <c r="N10" s="6"/>
      <c r="O10" s="6"/>
      <c r="P10" s="5" t="str">
        <f aca="false">IF(A10="","",H10/90)</f>
        <v/>
      </c>
      <c r="Q10" s="5" t="str">
        <f aca="false">IF(A10="","",IFERROR(INDEX(Parâmetros!$C$6:$C$10,MATCH(F10,Parâmetros!$B$6:$B$10,0)),""))</f>
        <v/>
      </c>
      <c r="R10" s="5" t="str">
        <f aca="false">IF(OR(A10="",P10="",Q10=""),"",P10*Q10)</f>
        <v/>
      </c>
      <c r="S10" s="5" t="str">
        <f aca="false">IF(R10="","",MAX(0,R10-G10))</f>
        <v/>
      </c>
      <c r="T10" s="21" t="str">
        <f aca="false">IF(S10="","",S10*K10)</f>
        <v/>
      </c>
      <c r="U10" s="5" t="str">
        <f aca="false">IF(A10="","",IF(J10&gt;Parâmetros!$C$14,"SIM","NAO"))</f>
        <v/>
      </c>
      <c r="V10" s="5" t="str">
        <f aca="false">IF(B10="","",TRIM(LEFT(B10,IFERROR(FIND(" ",B10)-1,LEN(B10)))))</f>
        <v/>
      </c>
      <c r="W10" s="22"/>
      <c r="X10" s="5" t="str">
        <f aca="false">IF(A10="","",IF(W10&lt;&gt;"",W10,V10))</f>
        <v/>
      </c>
      <c r="Y10" s="5" t="str">
        <f aca="false">IF(A10="","",IF(COUNTIFS($X$2:$X$2001,X10,$D$2:$D$2001,"&lt;&gt;"&amp;D10,$C$2:$C$2001,C10)&gt;0,"SIM","NAO"))</f>
        <v/>
      </c>
      <c r="Z10" s="5" t="str">
        <f aca="false">IF(A10="","",IF(J10="","",IFERROR(360/J10,"")))</f>
        <v/>
      </c>
      <c r="AA10" s="5" t="str">
        <f aca="false">IF(A10="","",IF(H10=0,"Parado (sem venda 90d)",IF(Z10&gt;12,"Alto (&gt;12x/ano)",IF(Z10&gt;=4,"Medio (4-12x/ano)","Baixo (&lt;4x/ano)"))))</f>
        <v/>
      </c>
    </row>
    <row r="11" customFormat="false" ht="15" hidden="false" customHeight="tru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18"/>
      <c r="L11" s="19" t="str">
        <f aca="false">IF(A11="","",G11*K11)</f>
        <v/>
      </c>
      <c r="M11" s="20"/>
      <c r="N11" s="6"/>
      <c r="O11" s="6"/>
      <c r="P11" s="5" t="str">
        <f aca="false">IF(A11="","",H11/90)</f>
        <v/>
      </c>
      <c r="Q11" s="5" t="str">
        <f aca="false">IF(A11="","",IFERROR(INDEX(Parâmetros!$C$6:$C$10,MATCH(F11,Parâmetros!$B$6:$B$10,0)),""))</f>
        <v/>
      </c>
      <c r="R11" s="5" t="str">
        <f aca="false">IF(OR(A11="",P11="",Q11=""),"",P11*Q11)</f>
        <v/>
      </c>
      <c r="S11" s="5" t="str">
        <f aca="false">IF(R11="","",MAX(0,R11-G11))</f>
        <v/>
      </c>
      <c r="T11" s="21" t="str">
        <f aca="false">IF(S11="","",S11*K11)</f>
        <v/>
      </c>
      <c r="U11" s="5" t="str">
        <f aca="false">IF(A11="","",IF(J11&gt;Parâmetros!$C$14,"SIM","NAO"))</f>
        <v/>
      </c>
      <c r="V11" s="5" t="str">
        <f aca="false">IF(B11="","",TRIM(LEFT(B11,IFERROR(FIND(" ",B11)-1,LEN(B11)))))</f>
        <v/>
      </c>
      <c r="W11" s="22"/>
      <c r="X11" s="5" t="str">
        <f aca="false">IF(A11="","",IF(W11&lt;&gt;"",W11,V11))</f>
        <v/>
      </c>
      <c r="Y11" s="5" t="str">
        <f aca="false">IF(A11="","",IF(COUNTIFS($X$2:$X$2001,X11,$D$2:$D$2001,"&lt;&gt;"&amp;D11,$C$2:$C$2001,C11)&gt;0,"SIM","NAO"))</f>
        <v/>
      </c>
      <c r="Z11" s="5" t="str">
        <f aca="false">IF(A11="","",IF(J11="","",IFERROR(360/J11,"")))</f>
        <v/>
      </c>
      <c r="AA11" s="5" t="str">
        <f aca="false">IF(A11="","",IF(H11=0,"Parado (sem venda 90d)",IF(Z11&gt;12,"Alto (&gt;12x/ano)",IF(Z11&gt;=4,"Medio (4-12x/ano)","Baixo (&lt;4x/ano)"))))</f>
        <v/>
      </c>
    </row>
    <row r="12" customFormat="false" ht="15" hidden="false" customHeight="tru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18"/>
      <c r="L12" s="19" t="str">
        <f aca="false">IF(A12="","",G12*K12)</f>
        <v/>
      </c>
      <c r="M12" s="20"/>
      <c r="N12" s="6"/>
      <c r="O12" s="6"/>
      <c r="P12" s="5" t="str">
        <f aca="false">IF(A12="","",H12/90)</f>
        <v/>
      </c>
      <c r="Q12" s="5" t="str">
        <f aca="false">IF(A12="","",IFERROR(INDEX(Parâmetros!$C$6:$C$10,MATCH(F12,Parâmetros!$B$6:$B$10,0)),""))</f>
        <v/>
      </c>
      <c r="R12" s="5" t="str">
        <f aca="false">IF(OR(A12="",P12="",Q12=""),"",P12*Q12)</f>
        <v/>
      </c>
      <c r="S12" s="5" t="str">
        <f aca="false">IF(R12="","",MAX(0,R12-G12))</f>
        <v/>
      </c>
      <c r="T12" s="21" t="str">
        <f aca="false">IF(S12="","",S12*K12)</f>
        <v/>
      </c>
      <c r="U12" s="5" t="str">
        <f aca="false">IF(A12="","",IF(J12&gt;Parâmetros!$C$14,"SIM","NAO"))</f>
        <v/>
      </c>
      <c r="V12" s="5" t="str">
        <f aca="false">IF(B12="","",TRIM(LEFT(B12,IFERROR(FIND(" ",B12)-1,LEN(B12)))))</f>
        <v/>
      </c>
      <c r="W12" s="22"/>
      <c r="X12" s="5" t="str">
        <f aca="false">IF(A12="","",IF(W12&lt;&gt;"",W12,V12))</f>
        <v/>
      </c>
      <c r="Y12" s="5" t="str">
        <f aca="false">IF(A12="","",IF(COUNTIFS($X$2:$X$2001,X12,$D$2:$D$2001,"&lt;&gt;"&amp;D12,$C$2:$C$2001,C12)&gt;0,"SIM","NAO"))</f>
        <v/>
      </c>
      <c r="Z12" s="5" t="str">
        <f aca="false">IF(A12="","",IF(J12="","",IFERROR(360/J12,"")))</f>
        <v/>
      </c>
      <c r="AA12" s="5" t="str">
        <f aca="false">IF(A12="","",IF(H12=0,"Parado (sem venda 90d)",IF(Z12&gt;12,"Alto (&gt;12x/ano)",IF(Z12&gt;=4,"Medio (4-12x/ano)","Baixo (&lt;4x/ano)"))))</f>
        <v/>
      </c>
    </row>
    <row r="13" customFormat="false" ht="15" hidden="false" customHeight="tru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18"/>
      <c r="L13" s="19" t="str">
        <f aca="false">IF(A13="","",G13*K13)</f>
        <v/>
      </c>
      <c r="M13" s="20"/>
      <c r="N13" s="6"/>
      <c r="O13" s="6"/>
      <c r="P13" s="5" t="str">
        <f aca="false">IF(A13="","",H13/90)</f>
        <v/>
      </c>
      <c r="Q13" s="5" t="str">
        <f aca="false">IF(A13="","",IFERROR(INDEX(Parâmetros!$C$6:$C$10,MATCH(F13,Parâmetros!$B$6:$B$10,0)),""))</f>
        <v/>
      </c>
      <c r="R13" s="5" t="str">
        <f aca="false">IF(OR(A13="",P13="",Q13=""),"",P13*Q13)</f>
        <v/>
      </c>
      <c r="S13" s="5" t="str">
        <f aca="false">IF(R13="","",MAX(0,R13-G13))</f>
        <v/>
      </c>
      <c r="T13" s="21" t="str">
        <f aca="false">IF(S13="","",S13*K13)</f>
        <v/>
      </c>
      <c r="U13" s="5" t="str">
        <f aca="false">IF(A13="","",IF(J13&gt;Parâmetros!$C$14,"SIM","NAO"))</f>
        <v/>
      </c>
      <c r="V13" s="5" t="str">
        <f aca="false">IF(B13="","",TRIM(LEFT(B13,IFERROR(FIND(" ",B13)-1,LEN(B13)))))</f>
        <v/>
      </c>
      <c r="W13" s="22"/>
      <c r="X13" s="5" t="str">
        <f aca="false">IF(A13="","",IF(W13&lt;&gt;"",W13,V13))</f>
        <v/>
      </c>
      <c r="Y13" s="5" t="str">
        <f aca="false">IF(A13="","",IF(COUNTIFS($X$2:$X$2001,X13,$D$2:$D$2001,"&lt;&gt;"&amp;D13,$C$2:$C$2001,C13)&gt;0,"SIM","NAO"))</f>
        <v/>
      </c>
      <c r="Z13" s="5" t="str">
        <f aca="false">IF(A13="","",IF(J13="","",IFERROR(360/J13,"")))</f>
        <v/>
      </c>
      <c r="AA13" s="5" t="str">
        <f aca="false">IF(A13="","",IF(H13=0,"Parado (sem venda 90d)",IF(Z13&gt;12,"Alto (&gt;12x/ano)",IF(Z13&gt;=4,"Medio (4-12x/ano)","Baixo (&lt;4x/ano)"))))</f>
        <v/>
      </c>
    </row>
    <row r="14" customFormat="false" ht="15" hidden="false" customHeight="tru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18"/>
      <c r="L14" s="19" t="str">
        <f aca="false">IF(A14="","",G14*K14)</f>
        <v/>
      </c>
      <c r="M14" s="20"/>
      <c r="N14" s="6"/>
      <c r="O14" s="6"/>
      <c r="P14" s="5" t="str">
        <f aca="false">IF(A14="","",H14/90)</f>
        <v/>
      </c>
      <c r="Q14" s="5" t="str">
        <f aca="false">IF(A14="","",IFERROR(INDEX(Parâmetros!$C$6:$C$10,MATCH(F14,Parâmetros!$B$6:$B$10,0)),""))</f>
        <v/>
      </c>
      <c r="R14" s="5" t="str">
        <f aca="false">IF(OR(A14="",P14="",Q14=""),"",P14*Q14)</f>
        <v/>
      </c>
      <c r="S14" s="5" t="str">
        <f aca="false">IF(R14="","",MAX(0,R14-G14))</f>
        <v/>
      </c>
      <c r="T14" s="21" t="str">
        <f aca="false">IF(S14="","",S14*K14)</f>
        <v/>
      </c>
      <c r="U14" s="5" t="str">
        <f aca="false">IF(A14="","",IF(J14&gt;Parâmetros!$C$14,"SIM","NAO"))</f>
        <v/>
      </c>
      <c r="V14" s="5" t="str">
        <f aca="false">IF(B14="","",TRIM(LEFT(B14,IFERROR(FIND(" ",B14)-1,LEN(B14)))))</f>
        <v/>
      </c>
      <c r="W14" s="22"/>
      <c r="X14" s="5" t="str">
        <f aca="false">IF(A14="","",IF(W14&lt;&gt;"",W14,V14))</f>
        <v/>
      </c>
      <c r="Y14" s="5" t="str">
        <f aca="false">IF(A14="","",IF(COUNTIFS($X$2:$X$2001,X14,$D$2:$D$2001,"&lt;&gt;"&amp;D14,$C$2:$C$2001,C14)&gt;0,"SIM","NAO"))</f>
        <v/>
      </c>
      <c r="Z14" s="5" t="str">
        <f aca="false">IF(A14="","",IF(J14="","",IFERROR(360/J14,"")))</f>
        <v/>
      </c>
      <c r="AA14" s="5" t="str">
        <f aca="false">IF(A14="","",IF(H14=0,"Parado (sem venda 90d)",IF(Z14&gt;12,"Alto (&gt;12x/ano)",IF(Z14&gt;=4,"Medio (4-12x/ano)","Baixo (&lt;4x/ano)"))))</f>
        <v/>
      </c>
    </row>
    <row r="15" customFormat="false" ht="15" hidden="false" customHeight="tru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18"/>
      <c r="L15" s="19" t="str">
        <f aca="false">IF(A15="","",G15*K15)</f>
        <v/>
      </c>
      <c r="M15" s="20"/>
      <c r="N15" s="6"/>
      <c r="O15" s="6"/>
      <c r="P15" s="5" t="str">
        <f aca="false">IF(A15="","",H15/90)</f>
        <v/>
      </c>
      <c r="Q15" s="5" t="str">
        <f aca="false">IF(A15="","",IFERROR(INDEX(Parâmetros!$C$6:$C$10,MATCH(F15,Parâmetros!$B$6:$B$10,0)),""))</f>
        <v/>
      </c>
      <c r="R15" s="5" t="str">
        <f aca="false">IF(OR(A15="",P15="",Q15=""),"",P15*Q15)</f>
        <v/>
      </c>
      <c r="S15" s="5" t="str">
        <f aca="false">IF(R15="","",MAX(0,R15-G15))</f>
        <v/>
      </c>
      <c r="T15" s="21" t="str">
        <f aca="false">IF(S15="","",S15*K15)</f>
        <v/>
      </c>
      <c r="U15" s="5" t="str">
        <f aca="false">IF(A15="","",IF(J15&gt;Parâmetros!$C$14,"SIM","NAO"))</f>
        <v/>
      </c>
      <c r="V15" s="5" t="str">
        <f aca="false">IF(B15="","",TRIM(LEFT(B15,IFERROR(FIND(" ",B15)-1,LEN(B15)))))</f>
        <v/>
      </c>
      <c r="W15" s="22"/>
      <c r="X15" s="5" t="str">
        <f aca="false">IF(A15="","",IF(W15&lt;&gt;"",W15,V15))</f>
        <v/>
      </c>
      <c r="Y15" s="5" t="str">
        <f aca="false">IF(A15="","",IF(COUNTIFS($X$2:$X$2001,X15,$D$2:$D$2001,"&lt;&gt;"&amp;D15,$C$2:$C$2001,C15)&gt;0,"SIM","NAO"))</f>
        <v/>
      </c>
      <c r="Z15" s="5" t="str">
        <f aca="false">IF(A15="","",IF(J15="","",IFERROR(360/J15,"")))</f>
        <v/>
      </c>
      <c r="AA15" s="5" t="str">
        <f aca="false">IF(A15="","",IF(H15=0,"Parado (sem venda 90d)",IF(Z15&gt;12,"Alto (&gt;12x/ano)",IF(Z15&gt;=4,"Medio (4-12x/ano)","Baixo (&lt;4x/ano)"))))</f>
        <v/>
      </c>
    </row>
    <row r="16" customFormat="false" ht="15" hidden="false" customHeight="tru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18"/>
      <c r="L16" s="19" t="str">
        <f aca="false">IF(A16="","",G16*K16)</f>
        <v/>
      </c>
      <c r="M16" s="20"/>
      <c r="N16" s="6"/>
      <c r="O16" s="6"/>
      <c r="P16" s="5" t="str">
        <f aca="false">IF(A16="","",H16/90)</f>
        <v/>
      </c>
      <c r="Q16" s="5" t="str">
        <f aca="false">IF(A16="","",IFERROR(INDEX(Parâmetros!$C$6:$C$10,MATCH(F16,Parâmetros!$B$6:$B$10,0)),""))</f>
        <v/>
      </c>
      <c r="R16" s="5" t="str">
        <f aca="false">IF(OR(A16="",P16="",Q16=""),"",P16*Q16)</f>
        <v/>
      </c>
      <c r="S16" s="5" t="str">
        <f aca="false">IF(R16="","",MAX(0,R16-G16))</f>
        <v/>
      </c>
      <c r="T16" s="21" t="str">
        <f aca="false">IF(S16="","",S16*K16)</f>
        <v/>
      </c>
      <c r="U16" s="5" t="str">
        <f aca="false">IF(A16="","",IF(J16&gt;Parâmetros!$C$14,"SIM","NAO"))</f>
        <v/>
      </c>
      <c r="V16" s="5" t="str">
        <f aca="false">IF(B16="","",TRIM(LEFT(B16,IFERROR(FIND(" ",B16)-1,LEN(B16)))))</f>
        <v/>
      </c>
      <c r="W16" s="22"/>
      <c r="X16" s="5" t="str">
        <f aca="false">IF(A16="","",IF(W16&lt;&gt;"",W16,V16))</f>
        <v/>
      </c>
      <c r="Y16" s="5" t="str">
        <f aca="false">IF(A16="","",IF(COUNTIFS($X$2:$X$2001,X16,$D$2:$D$2001,"&lt;&gt;"&amp;D16,$C$2:$C$2001,C16)&gt;0,"SIM","NAO"))</f>
        <v/>
      </c>
      <c r="Z16" s="5" t="str">
        <f aca="false">IF(A16="","",IF(J16="","",IFERROR(360/J16,"")))</f>
        <v/>
      </c>
      <c r="AA16" s="5" t="str">
        <f aca="false">IF(A16="","",IF(H16=0,"Parado (sem venda 90d)",IF(Z16&gt;12,"Alto (&gt;12x/ano)",IF(Z16&gt;=4,"Medio (4-12x/ano)","Baixo (&lt;4x/ano)"))))</f>
        <v/>
      </c>
    </row>
    <row r="17" customFormat="false" ht="15" hidden="false" customHeight="tru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18"/>
      <c r="L17" s="19" t="str">
        <f aca="false">IF(A17="","",G17*K17)</f>
        <v/>
      </c>
      <c r="M17" s="20"/>
      <c r="N17" s="6"/>
      <c r="O17" s="6"/>
      <c r="P17" s="5" t="str">
        <f aca="false">IF(A17="","",H17/90)</f>
        <v/>
      </c>
      <c r="Q17" s="5" t="str">
        <f aca="false">IF(A17="","",IFERROR(INDEX(Parâmetros!$C$6:$C$10,MATCH(F17,Parâmetros!$B$6:$B$10,0)),""))</f>
        <v/>
      </c>
      <c r="R17" s="5" t="str">
        <f aca="false">IF(OR(A17="",P17="",Q17=""),"",P17*Q17)</f>
        <v/>
      </c>
      <c r="S17" s="5" t="str">
        <f aca="false">IF(R17="","",MAX(0,R17-G17))</f>
        <v/>
      </c>
      <c r="T17" s="21" t="str">
        <f aca="false">IF(S17="","",S17*K17)</f>
        <v/>
      </c>
      <c r="U17" s="5" t="str">
        <f aca="false">IF(A17="","",IF(J17&gt;Parâmetros!$C$14,"SIM","NAO"))</f>
        <v/>
      </c>
      <c r="V17" s="5" t="str">
        <f aca="false">IF(B17="","",TRIM(LEFT(B17,IFERROR(FIND(" ",B17)-1,LEN(B17)))))</f>
        <v/>
      </c>
      <c r="W17" s="22"/>
      <c r="X17" s="5" t="str">
        <f aca="false">IF(A17="","",IF(W17&lt;&gt;"",W17,V17))</f>
        <v/>
      </c>
      <c r="Y17" s="5" t="str">
        <f aca="false">IF(A17="","",IF(COUNTIFS($X$2:$X$2001,X17,$D$2:$D$2001,"&lt;&gt;"&amp;D17,$C$2:$C$2001,C17)&gt;0,"SIM","NAO"))</f>
        <v/>
      </c>
      <c r="Z17" s="5" t="str">
        <f aca="false">IF(A17="","",IF(J17="","",IFERROR(360/J17,"")))</f>
        <v/>
      </c>
      <c r="AA17" s="5" t="str">
        <f aca="false">IF(A17="","",IF(H17=0,"Parado (sem venda 90d)",IF(Z17&gt;12,"Alto (&gt;12x/ano)",IF(Z17&gt;=4,"Medio (4-12x/ano)","Baixo (&lt;4x/ano)"))))</f>
        <v/>
      </c>
    </row>
    <row r="18" customFormat="false" ht="15" hidden="false" customHeight="tru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18"/>
      <c r="L18" s="19" t="str">
        <f aca="false">IF(A18="","",G18*K18)</f>
        <v/>
      </c>
      <c r="M18" s="20"/>
      <c r="N18" s="6"/>
      <c r="O18" s="6"/>
      <c r="P18" s="5" t="str">
        <f aca="false">IF(A18="","",H18/90)</f>
        <v/>
      </c>
      <c r="Q18" s="5" t="str">
        <f aca="false">IF(A18="","",IFERROR(INDEX(Parâmetros!$C$6:$C$10,MATCH(F18,Parâmetros!$B$6:$B$10,0)),""))</f>
        <v/>
      </c>
      <c r="R18" s="5" t="str">
        <f aca="false">IF(OR(A18="",P18="",Q18=""),"",P18*Q18)</f>
        <v/>
      </c>
      <c r="S18" s="5" t="str">
        <f aca="false">IF(R18="","",MAX(0,R18-G18))</f>
        <v/>
      </c>
      <c r="T18" s="21" t="str">
        <f aca="false">IF(S18="","",S18*K18)</f>
        <v/>
      </c>
      <c r="U18" s="5" t="str">
        <f aca="false">IF(A18="","",IF(J18&gt;Parâmetros!$C$14,"SIM","NAO"))</f>
        <v/>
      </c>
      <c r="V18" s="5" t="str">
        <f aca="false">IF(B18="","",TRIM(LEFT(B18,IFERROR(FIND(" ",B18)-1,LEN(B18)))))</f>
        <v/>
      </c>
      <c r="W18" s="22"/>
      <c r="X18" s="5" t="str">
        <f aca="false">IF(A18="","",IF(W18&lt;&gt;"",W18,V18))</f>
        <v/>
      </c>
      <c r="Y18" s="5" t="str">
        <f aca="false">IF(A18="","",IF(COUNTIFS($X$2:$X$2001,X18,$D$2:$D$2001,"&lt;&gt;"&amp;D18,$C$2:$C$2001,C18)&gt;0,"SIM","NAO"))</f>
        <v/>
      </c>
      <c r="Z18" s="5" t="str">
        <f aca="false">IF(A18="","",IF(J18="","",IFERROR(360/J18,"")))</f>
        <v/>
      </c>
      <c r="AA18" s="5" t="str">
        <f aca="false">IF(A18="","",IF(H18=0,"Parado (sem venda 90d)",IF(Z18&gt;12,"Alto (&gt;12x/ano)",IF(Z18&gt;=4,"Medio (4-12x/ano)","Baixo (&lt;4x/ano)"))))</f>
        <v/>
      </c>
    </row>
    <row r="19" customFormat="false" ht="15" hidden="false" customHeight="tru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18"/>
      <c r="L19" s="19" t="str">
        <f aca="false">IF(A19="","",G19*K19)</f>
        <v/>
      </c>
      <c r="M19" s="20"/>
      <c r="N19" s="6"/>
      <c r="O19" s="6"/>
      <c r="P19" s="5" t="str">
        <f aca="false">IF(A19="","",H19/90)</f>
        <v/>
      </c>
      <c r="Q19" s="5" t="str">
        <f aca="false">IF(A19="","",IFERROR(INDEX(Parâmetros!$C$6:$C$10,MATCH(F19,Parâmetros!$B$6:$B$10,0)),""))</f>
        <v/>
      </c>
      <c r="R19" s="5" t="str">
        <f aca="false">IF(OR(A19="",P19="",Q19=""),"",P19*Q19)</f>
        <v/>
      </c>
      <c r="S19" s="5" t="str">
        <f aca="false">IF(R19="","",MAX(0,R19-G19))</f>
        <v/>
      </c>
      <c r="T19" s="21" t="str">
        <f aca="false">IF(S19="","",S19*K19)</f>
        <v/>
      </c>
      <c r="U19" s="5" t="str">
        <f aca="false">IF(A19="","",IF(J19&gt;Parâmetros!$C$14,"SIM","NAO"))</f>
        <v/>
      </c>
      <c r="V19" s="5" t="str">
        <f aca="false">IF(B19="","",TRIM(LEFT(B19,IFERROR(FIND(" ",B19)-1,LEN(B19)))))</f>
        <v/>
      </c>
      <c r="W19" s="22"/>
      <c r="X19" s="5" t="str">
        <f aca="false">IF(A19="","",IF(W19&lt;&gt;"",W19,V19))</f>
        <v/>
      </c>
      <c r="Y19" s="5" t="str">
        <f aca="false">IF(A19="","",IF(COUNTIFS($X$2:$X$2001,X19,$D$2:$D$2001,"&lt;&gt;"&amp;D19,$C$2:$C$2001,C19)&gt;0,"SIM","NAO"))</f>
        <v/>
      </c>
      <c r="Z19" s="5" t="str">
        <f aca="false">IF(A19="","",IF(J19="","",IFERROR(360/J19,"")))</f>
        <v/>
      </c>
      <c r="AA19" s="5" t="str">
        <f aca="false">IF(A19="","",IF(H19=0,"Parado (sem venda 90d)",IF(Z19&gt;12,"Alto (&gt;12x/ano)",IF(Z19&gt;=4,"Medio (4-12x/ano)","Baixo (&lt;4x/ano)"))))</f>
        <v/>
      </c>
    </row>
    <row r="20" customFormat="false" ht="15" hidden="false" customHeight="tru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18"/>
      <c r="L20" s="19" t="str">
        <f aca="false">IF(A20="","",G20*K20)</f>
        <v/>
      </c>
      <c r="M20" s="20"/>
      <c r="N20" s="6"/>
      <c r="O20" s="6"/>
      <c r="P20" s="5" t="str">
        <f aca="false">IF(A20="","",H20/90)</f>
        <v/>
      </c>
      <c r="Q20" s="5" t="str">
        <f aca="false">IF(A20="","",IFERROR(INDEX(Parâmetros!$C$6:$C$10,MATCH(F20,Parâmetros!$B$6:$B$10,0)),""))</f>
        <v/>
      </c>
      <c r="R20" s="5" t="str">
        <f aca="false">IF(OR(A20="",P20="",Q20=""),"",P20*Q20)</f>
        <v/>
      </c>
      <c r="S20" s="5" t="str">
        <f aca="false">IF(R20="","",MAX(0,R20-G20))</f>
        <v/>
      </c>
      <c r="T20" s="21" t="str">
        <f aca="false">IF(S20="","",S20*K20)</f>
        <v/>
      </c>
      <c r="U20" s="5" t="str">
        <f aca="false">IF(A20="","",IF(J20&gt;Parâmetros!$C$14,"SIM","NAO"))</f>
        <v/>
      </c>
      <c r="V20" s="5" t="str">
        <f aca="false">IF(B20="","",TRIM(LEFT(B20,IFERROR(FIND(" ",B20)-1,LEN(B20)))))</f>
        <v/>
      </c>
      <c r="W20" s="22"/>
      <c r="X20" s="5" t="str">
        <f aca="false">IF(A20="","",IF(W20&lt;&gt;"",W20,V20))</f>
        <v/>
      </c>
      <c r="Y20" s="5" t="str">
        <f aca="false">IF(A20="","",IF(COUNTIFS($X$2:$X$2001,X20,$D$2:$D$2001,"&lt;&gt;"&amp;D20,$C$2:$C$2001,C20)&gt;0,"SIM","NAO"))</f>
        <v/>
      </c>
      <c r="Z20" s="5" t="str">
        <f aca="false">IF(A20="","",IF(J20="","",IFERROR(360/J20,"")))</f>
        <v/>
      </c>
      <c r="AA20" s="5" t="str">
        <f aca="false">IF(A20="","",IF(H20=0,"Parado (sem venda 90d)",IF(Z20&gt;12,"Alto (&gt;12x/ano)",IF(Z20&gt;=4,"Medio (4-12x/ano)","Baixo (&lt;4x/ano)"))))</f>
        <v/>
      </c>
    </row>
    <row r="21" customFormat="false" ht="15" hidden="false" customHeight="tru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18"/>
      <c r="L21" s="19" t="str">
        <f aca="false">IF(A21="","",G21*K21)</f>
        <v/>
      </c>
      <c r="M21" s="20"/>
      <c r="N21" s="6"/>
      <c r="O21" s="6"/>
      <c r="P21" s="5" t="str">
        <f aca="false">IF(A21="","",H21/90)</f>
        <v/>
      </c>
      <c r="Q21" s="5" t="str">
        <f aca="false">IF(A21="","",IFERROR(INDEX(Parâmetros!$C$6:$C$10,MATCH(F21,Parâmetros!$B$6:$B$10,0)),""))</f>
        <v/>
      </c>
      <c r="R21" s="5" t="str">
        <f aca="false">IF(OR(A21="",P21="",Q21=""),"",P21*Q21)</f>
        <v/>
      </c>
      <c r="S21" s="5" t="str">
        <f aca="false">IF(R21="","",MAX(0,R21-G21))</f>
        <v/>
      </c>
      <c r="T21" s="21" t="str">
        <f aca="false">IF(S21="","",S21*K21)</f>
        <v/>
      </c>
      <c r="U21" s="5" t="str">
        <f aca="false">IF(A21="","",IF(J21&gt;Parâmetros!$C$14,"SIM","NAO"))</f>
        <v/>
      </c>
      <c r="V21" s="5" t="str">
        <f aca="false">IF(B21="","",TRIM(LEFT(B21,IFERROR(FIND(" ",B21)-1,LEN(B21)))))</f>
        <v/>
      </c>
      <c r="W21" s="22"/>
      <c r="X21" s="5" t="str">
        <f aca="false">IF(A21="","",IF(W21&lt;&gt;"",W21,V21))</f>
        <v/>
      </c>
      <c r="Y21" s="5" t="str">
        <f aca="false">IF(A21="","",IF(COUNTIFS($X$2:$X$2001,X21,$D$2:$D$2001,"&lt;&gt;"&amp;D21,$C$2:$C$2001,C21)&gt;0,"SIM","NAO"))</f>
        <v/>
      </c>
      <c r="Z21" s="5" t="str">
        <f aca="false">IF(A21="","",IF(J21="","",IFERROR(360/J21,"")))</f>
        <v/>
      </c>
      <c r="AA21" s="5" t="str">
        <f aca="false">IF(A21="","",IF(H21=0,"Parado (sem venda 90d)",IF(Z21&gt;12,"Alto (&gt;12x/ano)",IF(Z21&gt;=4,"Medio (4-12x/ano)","Baixo (&lt;4x/ano)"))))</f>
        <v/>
      </c>
    </row>
    <row r="22" customFormat="false" ht="15" hidden="false" customHeight="tru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18"/>
      <c r="L22" s="19" t="str">
        <f aca="false">IF(A22="","",G22*K22)</f>
        <v/>
      </c>
      <c r="M22" s="20"/>
      <c r="N22" s="6"/>
      <c r="O22" s="6"/>
      <c r="P22" s="5" t="str">
        <f aca="false">IF(A22="","",H22/90)</f>
        <v/>
      </c>
      <c r="Q22" s="5" t="str">
        <f aca="false">IF(A22="","",IFERROR(INDEX(Parâmetros!$C$6:$C$10,MATCH(F22,Parâmetros!$B$6:$B$10,0)),""))</f>
        <v/>
      </c>
      <c r="R22" s="5" t="str">
        <f aca="false">IF(OR(A22="",P22="",Q22=""),"",P22*Q22)</f>
        <v/>
      </c>
      <c r="S22" s="5" t="str">
        <f aca="false">IF(R22="","",MAX(0,R22-G22))</f>
        <v/>
      </c>
      <c r="T22" s="21" t="str">
        <f aca="false">IF(S22="","",S22*K22)</f>
        <v/>
      </c>
      <c r="U22" s="5" t="str">
        <f aca="false">IF(A22="","",IF(J22&gt;Parâmetros!$C$14,"SIM","NAO"))</f>
        <v/>
      </c>
      <c r="V22" s="5" t="str">
        <f aca="false">IF(B22="","",TRIM(LEFT(B22,IFERROR(FIND(" ",B22)-1,LEN(B22)))))</f>
        <v/>
      </c>
      <c r="W22" s="22"/>
      <c r="X22" s="5" t="str">
        <f aca="false">IF(A22="","",IF(W22&lt;&gt;"",W22,V22))</f>
        <v/>
      </c>
      <c r="Y22" s="5" t="str">
        <f aca="false">IF(A22="","",IF(COUNTIFS($X$2:$X$2001,X22,$D$2:$D$2001,"&lt;&gt;"&amp;D22,$C$2:$C$2001,C22)&gt;0,"SIM","NAO"))</f>
        <v/>
      </c>
      <c r="Z22" s="5" t="str">
        <f aca="false">IF(A22="","",IF(J22="","",IFERROR(360/J22,"")))</f>
        <v/>
      </c>
      <c r="AA22" s="5" t="str">
        <f aca="false">IF(A22="","",IF(H22=0,"Parado (sem venda 90d)",IF(Z22&gt;12,"Alto (&gt;12x/ano)",IF(Z22&gt;=4,"Medio (4-12x/ano)","Baixo (&lt;4x/ano)"))))</f>
        <v/>
      </c>
    </row>
    <row r="23" customFormat="false" ht="15" hidden="false" customHeight="tru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18"/>
      <c r="L23" s="19" t="str">
        <f aca="false">IF(A23="","",G23*K23)</f>
        <v/>
      </c>
      <c r="M23" s="20"/>
      <c r="N23" s="6"/>
      <c r="O23" s="6"/>
      <c r="P23" s="5" t="str">
        <f aca="false">IF(A23="","",H23/90)</f>
        <v/>
      </c>
      <c r="Q23" s="5" t="str">
        <f aca="false">IF(A23="","",IFERROR(INDEX(Parâmetros!$C$6:$C$10,MATCH(F23,Parâmetros!$B$6:$B$10,0)),""))</f>
        <v/>
      </c>
      <c r="R23" s="5" t="str">
        <f aca="false">IF(OR(A23="",P23="",Q23=""),"",P23*Q23)</f>
        <v/>
      </c>
      <c r="S23" s="5" t="str">
        <f aca="false">IF(R23="","",MAX(0,R23-G23))</f>
        <v/>
      </c>
      <c r="T23" s="21" t="str">
        <f aca="false">IF(S23="","",S23*K23)</f>
        <v/>
      </c>
      <c r="U23" s="5" t="str">
        <f aca="false">IF(A23="","",IF(J23&gt;Parâmetros!$C$14,"SIM","NAO"))</f>
        <v/>
      </c>
      <c r="V23" s="5" t="str">
        <f aca="false">IF(B23="","",TRIM(LEFT(B23,IFERROR(FIND(" ",B23)-1,LEN(B23)))))</f>
        <v/>
      </c>
      <c r="W23" s="22"/>
      <c r="X23" s="5" t="str">
        <f aca="false">IF(A23="","",IF(W23&lt;&gt;"",W23,V23))</f>
        <v/>
      </c>
      <c r="Y23" s="5" t="str">
        <f aca="false">IF(A23="","",IF(COUNTIFS($X$2:$X$2001,X23,$D$2:$D$2001,"&lt;&gt;"&amp;D23,$C$2:$C$2001,C23)&gt;0,"SIM","NAO"))</f>
        <v/>
      </c>
      <c r="Z23" s="5" t="str">
        <f aca="false">IF(A23="","",IF(J23="","",IFERROR(360/J23,"")))</f>
        <v/>
      </c>
      <c r="AA23" s="5" t="str">
        <f aca="false">IF(A23="","",IF(H23=0,"Parado (sem venda 90d)",IF(Z23&gt;12,"Alto (&gt;12x/ano)",IF(Z23&gt;=4,"Medio (4-12x/ano)","Baixo (&lt;4x/ano)"))))</f>
        <v/>
      </c>
    </row>
    <row r="24" customFormat="false" ht="15" hidden="false" customHeight="tru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18"/>
      <c r="L24" s="19" t="str">
        <f aca="false">IF(A24="","",G24*K24)</f>
        <v/>
      </c>
      <c r="M24" s="20"/>
      <c r="N24" s="6"/>
      <c r="O24" s="6"/>
      <c r="P24" s="5" t="str">
        <f aca="false">IF(A24="","",H24/90)</f>
        <v/>
      </c>
      <c r="Q24" s="5" t="str">
        <f aca="false">IF(A24="","",IFERROR(INDEX(Parâmetros!$C$6:$C$10,MATCH(F24,Parâmetros!$B$6:$B$10,0)),""))</f>
        <v/>
      </c>
      <c r="R24" s="5" t="str">
        <f aca="false">IF(OR(A24="",P24="",Q24=""),"",P24*Q24)</f>
        <v/>
      </c>
      <c r="S24" s="5" t="str">
        <f aca="false">IF(R24="","",MAX(0,R24-G24))</f>
        <v/>
      </c>
      <c r="T24" s="21" t="str">
        <f aca="false">IF(S24="","",S24*K24)</f>
        <v/>
      </c>
      <c r="U24" s="5" t="str">
        <f aca="false">IF(A24="","",IF(J24&gt;Parâmetros!$C$14,"SIM","NAO"))</f>
        <v/>
      </c>
      <c r="V24" s="5" t="str">
        <f aca="false">IF(B24="","",TRIM(LEFT(B24,IFERROR(FIND(" ",B24)-1,LEN(B24)))))</f>
        <v/>
      </c>
      <c r="W24" s="22"/>
      <c r="X24" s="5" t="str">
        <f aca="false">IF(A24="","",IF(W24&lt;&gt;"",W24,V24))</f>
        <v/>
      </c>
      <c r="Y24" s="5" t="str">
        <f aca="false">IF(A24="","",IF(COUNTIFS($X$2:$X$2001,X24,$D$2:$D$2001,"&lt;&gt;"&amp;D24,$C$2:$C$2001,C24)&gt;0,"SIM","NAO"))</f>
        <v/>
      </c>
      <c r="Z24" s="5" t="str">
        <f aca="false">IF(A24="","",IF(J24="","",IFERROR(360/J24,"")))</f>
        <v/>
      </c>
      <c r="AA24" s="5" t="str">
        <f aca="false">IF(A24="","",IF(H24=0,"Parado (sem venda 90d)",IF(Z24&gt;12,"Alto (&gt;12x/ano)",IF(Z24&gt;=4,"Medio (4-12x/ano)","Baixo (&lt;4x/ano)"))))</f>
        <v/>
      </c>
    </row>
    <row r="25" customFormat="false" ht="15" hidden="false" customHeight="tru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18"/>
      <c r="L25" s="19" t="str">
        <f aca="false">IF(A25="","",G25*K25)</f>
        <v/>
      </c>
      <c r="M25" s="20"/>
      <c r="N25" s="6"/>
      <c r="O25" s="6"/>
      <c r="P25" s="5" t="str">
        <f aca="false">IF(A25="","",H25/90)</f>
        <v/>
      </c>
      <c r="Q25" s="5" t="str">
        <f aca="false">IF(A25="","",IFERROR(INDEX(Parâmetros!$C$6:$C$10,MATCH(F25,Parâmetros!$B$6:$B$10,0)),""))</f>
        <v/>
      </c>
      <c r="R25" s="5" t="str">
        <f aca="false">IF(OR(A25="",P25="",Q25=""),"",P25*Q25)</f>
        <v/>
      </c>
      <c r="S25" s="5" t="str">
        <f aca="false">IF(R25="","",MAX(0,R25-G25))</f>
        <v/>
      </c>
      <c r="T25" s="21" t="str">
        <f aca="false">IF(S25="","",S25*K25)</f>
        <v/>
      </c>
      <c r="U25" s="5" t="str">
        <f aca="false">IF(A25="","",IF(J25&gt;Parâmetros!$C$14,"SIM","NAO"))</f>
        <v/>
      </c>
      <c r="V25" s="5" t="str">
        <f aca="false">IF(B25="","",TRIM(LEFT(B25,IFERROR(FIND(" ",B25)-1,LEN(B25)))))</f>
        <v/>
      </c>
      <c r="W25" s="22"/>
      <c r="X25" s="5" t="str">
        <f aca="false">IF(A25="","",IF(W25&lt;&gt;"",W25,V25))</f>
        <v/>
      </c>
      <c r="Y25" s="5" t="str">
        <f aca="false">IF(A25="","",IF(COUNTIFS($X$2:$X$2001,X25,$D$2:$D$2001,"&lt;&gt;"&amp;D25,$C$2:$C$2001,C25)&gt;0,"SIM","NAO"))</f>
        <v/>
      </c>
      <c r="Z25" s="5" t="str">
        <f aca="false">IF(A25="","",IF(J25="","",IFERROR(360/J25,"")))</f>
        <v/>
      </c>
      <c r="AA25" s="5" t="str">
        <f aca="false">IF(A25="","",IF(H25=0,"Parado (sem venda 90d)",IF(Z25&gt;12,"Alto (&gt;12x/ano)",IF(Z25&gt;=4,"Medio (4-12x/ano)","Baixo (&lt;4x/ano)"))))</f>
        <v/>
      </c>
    </row>
    <row r="26" customFormat="false" ht="15" hidden="false" customHeight="tru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18"/>
      <c r="L26" s="19" t="str">
        <f aca="false">IF(A26="","",G26*K26)</f>
        <v/>
      </c>
      <c r="M26" s="20"/>
      <c r="N26" s="6"/>
      <c r="O26" s="6"/>
      <c r="P26" s="5" t="str">
        <f aca="false">IF(A26="","",H26/90)</f>
        <v/>
      </c>
      <c r="Q26" s="5" t="str">
        <f aca="false">IF(A26="","",IFERROR(INDEX(Parâmetros!$C$6:$C$10,MATCH(F26,Parâmetros!$B$6:$B$10,0)),""))</f>
        <v/>
      </c>
      <c r="R26" s="5" t="str">
        <f aca="false">IF(OR(A26="",P26="",Q26=""),"",P26*Q26)</f>
        <v/>
      </c>
      <c r="S26" s="5" t="str">
        <f aca="false">IF(R26="","",MAX(0,R26-G26))</f>
        <v/>
      </c>
      <c r="T26" s="21" t="str">
        <f aca="false">IF(S26="","",S26*K26)</f>
        <v/>
      </c>
      <c r="U26" s="5" t="str">
        <f aca="false">IF(A26="","",IF(J26&gt;Parâmetros!$C$14,"SIM","NAO"))</f>
        <v/>
      </c>
      <c r="V26" s="5" t="str">
        <f aca="false">IF(B26="","",TRIM(LEFT(B26,IFERROR(FIND(" ",B26)-1,LEN(B26)))))</f>
        <v/>
      </c>
      <c r="W26" s="22"/>
      <c r="X26" s="5" t="str">
        <f aca="false">IF(A26="","",IF(W26&lt;&gt;"",W26,V26))</f>
        <v/>
      </c>
      <c r="Y26" s="5" t="str">
        <f aca="false">IF(A26="","",IF(COUNTIFS($X$2:$X$2001,X26,$D$2:$D$2001,"&lt;&gt;"&amp;D26,$C$2:$C$2001,C26)&gt;0,"SIM","NAO"))</f>
        <v/>
      </c>
      <c r="Z26" s="5" t="str">
        <f aca="false">IF(A26="","",IF(J26="","",IFERROR(360/J26,"")))</f>
        <v/>
      </c>
      <c r="AA26" s="5" t="str">
        <f aca="false">IF(A26="","",IF(H26=0,"Parado (sem venda 90d)",IF(Z26&gt;12,"Alto (&gt;12x/ano)",IF(Z26&gt;=4,"Medio (4-12x/ano)","Baixo (&lt;4x/ano)"))))</f>
        <v/>
      </c>
    </row>
    <row r="27" customFormat="false" ht="15" hidden="false" customHeight="tru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18"/>
      <c r="L27" s="19" t="str">
        <f aca="false">IF(A27="","",G27*K27)</f>
        <v/>
      </c>
      <c r="M27" s="20"/>
      <c r="N27" s="6"/>
      <c r="O27" s="6"/>
      <c r="P27" s="5" t="str">
        <f aca="false">IF(A27="","",H27/90)</f>
        <v/>
      </c>
      <c r="Q27" s="5" t="str">
        <f aca="false">IF(A27="","",IFERROR(INDEX(Parâmetros!$C$6:$C$10,MATCH(F27,Parâmetros!$B$6:$B$10,0)),""))</f>
        <v/>
      </c>
      <c r="R27" s="5" t="str">
        <f aca="false">IF(OR(A27="",P27="",Q27=""),"",P27*Q27)</f>
        <v/>
      </c>
      <c r="S27" s="5" t="str">
        <f aca="false">IF(R27="","",MAX(0,R27-G27))</f>
        <v/>
      </c>
      <c r="T27" s="21" t="str">
        <f aca="false">IF(S27="","",S27*K27)</f>
        <v/>
      </c>
      <c r="U27" s="5" t="str">
        <f aca="false">IF(A27="","",IF(J27&gt;Parâmetros!$C$14,"SIM","NAO"))</f>
        <v/>
      </c>
      <c r="V27" s="5" t="str">
        <f aca="false">IF(B27="","",TRIM(LEFT(B27,IFERROR(FIND(" ",B27)-1,LEN(B27)))))</f>
        <v/>
      </c>
      <c r="W27" s="22"/>
      <c r="X27" s="5" t="str">
        <f aca="false">IF(A27="","",IF(W27&lt;&gt;"",W27,V27))</f>
        <v/>
      </c>
      <c r="Y27" s="5" t="str">
        <f aca="false">IF(A27="","",IF(COUNTIFS($X$2:$X$2001,X27,$D$2:$D$2001,"&lt;&gt;"&amp;D27,$C$2:$C$2001,C27)&gt;0,"SIM","NAO"))</f>
        <v/>
      </c>
      <c r="Z27" s="5" t="str">
        <f aca="false">IF(A27="","",IF(J27="","",IFERROR(360/J27,"")))</f>
        <v/>
      </c>
      <c r="AA27" s="5" t="str">
        <f aca="false">IF(A27="","",IF(H27=0,"Parado (sem venda 90d)",IF(Z27&gt;12,"Alto (&gt;12x/ano)",IF(Z27&gt;=4,"Medio (4-12x/ano)","Baixo (&lt;4x/ano)"))))</f>
        <v/>
      </c>
    </row>
    <row r="28" customFormat="false" ht="15" hidden="false" customHeight="tru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18"/>
      <c r="L28" s="19" t="str">
        <f aca="false">IF(A28="","",G28*K28)</f>
        <v/>
      </c>
      <c r="M28" s="20"/>
      <c r="N28" s="6"/>
      <c r="O28" s="6"/>
      <c r="P28" s="5" t="str">
        <f aca="false">IF(A28="","",H28/90)</f>
        <v/>
      </c>
      <c r="Q28" s="5" t="str">
        <f aca="false">IF(A28="","",IFERROR(INDEX(Parâmetros!$C$6:$C$10,MATCH(F28,Parâmetros!$B$6:$B$10,0)),""))</f>
        <v/>
      </c>
      <c r="R28" s="5" t="str">
        <f aca="false">IF(OR(A28="",P28="",Q28=""),"",P28*Q28)</f>
        <v/>
      </c>
      <c r="S28" s="5" t="str">
        <f aca="false">IF(R28="","",MAX(0,R28-G28))</f>
        <v/>
      </c>
      <c r="T28" s="21" t="str">
        <f aca="false">IF(S28="","",S28*K28)</f>
        <v/>
      </c>
      <c r="U28" s="5" t="str">
        <f aca="false">IF(A28="","",IF(J28&gt;Parâmetros!$C$14,"SIM","NAO"))</f>
        <v/>
      </c>
      <c r="V28" s="5" t="str">
        <f aca="false">IF(B28="","",TRIM(LEFT(B28,IFERROR(FIND(" ",B28)-1,LEN(B28)))))</f>
        <v/>
      </c>
      <c r="W28" s="22"/>
      <c r="X28" s="5" t="str">
        <f aca="false">IF(A28="","",IF(W28&lt;&gt;"",W28,V28))</f>
        <v/>
      </c>
      <c r="Y28" s="5" t="str">
        <f aca="false">IF(A28="","",IF(COUNTIFS($X$2:$X$2001,X28,$D$2:$D$2001,"&lt;&gt;"&amp;D28,$C$2:$C$2001,C28)&gt;0,"SIM","NAO"))</f>
        <v/>
      </c>
      <c r="Z28" s="5" t="str">
        <f aca="false">IF(A28="","",IF(J28="","",IFERROR(360/J28,"")))</f>
        <v/>
      </c>
      <c r="AA28" s="5" t="str">
        <f aca="false">IF(A28="","",IF(H28=0,"Parado (sem venda 90d)",IF(Z28&gt;12,"Alto (&gt;12x/ano)",IF(Z28&gt;=4,"Medio (4-12x/ano)","Baixo (&lt;4x/ano)"))))</f>
        <v/>
      </c>
    </row>
    <row r="29" customFormat="false" ht="15" hidden="false" customHeight="tru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18"/>
      <c r="L29" s="19" t="str">
        <f aca="false">IF(A29="","",G29*K29)</f>
        <v/>
      </c>
      <c r="M29" s="20"/>
      <c r="N29" s="6"/>
      <c r="O29" s="6"/>
      <c r="P29" s="5" t="str">
        <f aca="false">IF(A29="","",H29/90)</f>
        <v/>
      </c>
      <c r="Q29" s="5" t="str">
        <f aca="false">IF(A29="","",IFERROR(INDEX(Parâmetros!$C$6:$C$10,MATCH(F29,Parâmetros!$B$6:$B$10,0)),""))</f>
        <v/>
      </c>
      <c r="R29" s="5" t="str">
        <f aca="false">IF(OR(A29="",P29="",Q29=""),"",P29*Q29)</f>
        <v/>
      </c>
      <c r="S29" s="5" t="str">
        <f aca="false">IF(R29="","",MAX(0,R29-G29))</f>
        <v/>
      </c>
      <c r="T29" s="21" t="str">
        <f aca="false">IF(S29="","",S29*K29)</f>
        <v/>
      </c>
      <c r="U29" s="5" t="str">
        <f aca="false">IF(A29="","",IF(J29&gt;Parâmetros!$C$14,"SIM","NAO"))</f>
        <v/>
      </c>
      <c r="V29" s="5" t="str">
        <f aca="false">IF(B29="","",TRIM(LEFT(B29,IFERROR(FIND(" ",B29)-1,LEN(B29)))))</f>
        <v/>
      </c>
      <c r="W29" s="22"/>
      <c r="X29" s="5" t="str">
        <f aca="false">IF(A29="","",IF(W29&lt;&gt;"",W29,V29))</f>
        <v/>
      </c>
      <c r="Y29" s="5" t="str">
        <f aca="false">IF(A29="","",IF(COUNTIFS($X$2:$X$2001,X29,$D$2:$D$2001,"&lt;&gt;"&amp;D29,$C$2:$C$2001,C29)&gt;0,"SIM","NAO"))</f>
        <v/>
      </c>
      <c r="Z29" s="5" t="str">
        <f aca="false">IF(A29="","",IF(J29="","",IFERROR(360/J29,"")))</f>
        <v/>
      </c>
      <c r="AA29" s="5" t="str">
        <f aca="false">IF(A29="","",IF(H29=0,"Parado (sem venda 90d)",IF(Z29&gt;12,"Alto (&gt;12x/ano)",IF(Z29&gt;=4,"Medio (4-12x/ano)","Baixo (&lt;4x/ano)"))))</f>
        <v/>
      </c>
    </row>
    <row r="30" customFormat="false" ht="15" hidden="false" customHeight="tru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18"/>
      <c r="L30" s="19" t="str">
        <f aca="false">IF(A30="","",G30*K30)</f>
        <v/>
      </c>
      <c r="M30" s="20"/>
      <c r="N30" s="6"/>
      <c r="O30" s="6"/>
      <c r="P30" s="5" t="str">
        <f aca="false">IF(A30="","",H30/90)</f>
        <v/>
      </c>
      <c r="Q30" s="5" t="str">
        <f aca="false">IF(A30="","",IFERROR(INDEX(Parâmetros!$C$6:$C$10,MATCH(F30,Parâmetros!$B$6:$B$10,0)),""))</f>
        <v/>
      </c>
      <c r="R30" s="5" t="str">
        <f aca="false">IF(OR(A30="",P30="",Q30=""),"",P30*Q30)</f>
        <v/>
      </c>
      <c r="S30" s="5" t="str">
        <f aca="false">IF(R30="","",MAX(0,R30-G30))</f>
        <v/>
      </c>
      <c r="T30" s="21" t="str">
        <f aca="false">IF(S30="","",S30*K30)</f>
        <v/>
      </c>
      <c r="U30" s="5" t="str">
        <f aca="false">IF(A30="","",IF(J30&gt;Parâmetros!$C$14,"SIM","NAO"))</f>
        <v/>
      </c>
      <c r="V30" s="5" t="str">
        <f aca="false">IF(B30="","",TRIM(LEFT(B30,IFERROR(FIND(" ",B30)-1,LEN(B30)))))</f>
        <v/>
      </c>
      <c r="W30" s="22"/>
      <c r="X30" s="5" t="str">
        <f aca="false">IF(A30="","",IF(W30&lt;&gt;"",W30,V30))</f>
        <v/>
      </c>
      <c r="Y30" s="5" t="str">
        <f aca="false">IF(A30="","",IF(COUNTIFS($X$2:$X$2001,X30,$D$2:$D$2001,"&lt;&gt;"&amp;D30,$C$2:$C$2001,C30)&gt;0,"SIM","NAO"))</f>
        <v/>
      </c>
      <c r="Z30" s="5" t="str">
        <f aca="false">IF(A30="","",IF(J30="","",IFERROR(360/J30,"")))</f>
        <v/>
      </c>
      <c r="AA30" s="5" t="str">
        <f aca="false">IF(A30="","",IF(H30=0,"Parado (sem venda 90d)",IF(Z30&gt;12,"Alto (&gt;12x/ano)",IF(Z30&gt;=4,"Medio (4-12x/ano)","Baixo (&lt;4x/ano)"))))</f>
        <v/>
      </c>
    </row>
    <row r="31" customFormat="false" ht="15" hidden="false" customHeight="tru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18"/>
      <c r="L31" s="19" t="str">
        <f aca="false">IF(A31="","",G31*K31)</f>
        <v/>
      </c>
      <c r="M31" s="20"/>
      <c r="N31" s="6"/>
      <c r="O31" s="6"/>
      <c r="P31" s="5" t="str">
        <f aca="false">IF(A31="","",H31/90)</f>
        <v/>
      </c>
      <c r="Q31" s="5" t="str">
        <f aca="false">IF(A31="","",IFERROR(INDEX(Parâmetros!$C$6:$C$10,MATCH(F31,Parâmetros!$B$6:$B$10,0)),""))</f>
        <v/>
      </c>
      <c r="R31" s="5" t="str">
        <f aca="false">IF(OR(A31="",P31="",Q31=""),"",P31*Q31)</f>
        <v/>
      </c>
      <c r="S31" s="5" t="str">
        <f aca="false">IF(R31="","",MAX(0,R31-G31))</f>
        <v/>
      </c>
      <c r="T31" s="21" t="str">
        <f aca="false">IF(S31="","",S31*K31)</f>
        <v/>
      </c>
      <c r="U31" s="5" t="str">
        <f aca="false">IF(A31="","",IF(J31&gt;Parâmetros!$C$14,"SIM","NAO"))</f>
        <v/>
      </c>
      <c r="V31" s="5" t="str">
        <f aca="false">IF(B31="","",TRIM(LEFT(B31,IFERROR(FIND(" ",B31)-1,LEN(B31)))))</f>
        <v/>
      </c>
      <c r="W31" s="22"/>
      <c r="X31" s="5" t="str">
        <f aca="false">IF(A31="","",IF(W31&lt;&gt;"",W31,V31))</f>
        <v/>
      </c>
      <c r="Y31" s="5" t="str">
        <f aca="false">IF(A31="","",IF(COUNTIFS($X$2:$X$2001,X31,$D$2:$D$2001,"&lt;&gt;"&amp;D31,$C$2:$C$2001,C31)&gt;0,"SIM","NAO"))</f>
        <v/>
      </c>
      <c r="Z31" s="5" t="str">
        <f aca="false">IF(A31="","",IF(J31="","",IFERROR(360/J31,"")))</f>
        <v/>
      </c>
      <c r="AA31" s="5" t="str">
        <f aca="false">IF(A31="","",IF(H31=0,"Parado (sem venda 90d)",IF(Z31&gt;12,"Alto (&gt;12x/ano)",IF(Z31&gt;=4,"Medio (4-12x/ano)","Baixo (&lt;4x/ano)"))))</f>
        <v/>
      </c>
    </row>
    <row r="32" customFormat="false" ht="15" hidden="false" customHeight="tru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18"/>
      <c r="L32" s="19" t="str">
        <f aca="false">IF(A32="","",G32*K32)</f>
        <v/>
      </c>
      <c r="M32" s="20"/>
      <c r="N32" s="6"/>
      <c r="O32" s="6"/>
      <c r="P32" s="5" t="str">
        <f aca="false">IF(A32="","",H32/90)</f>
        <v/>
      </c>
      <c r="Q32" s="5" t="str">
        <f aca="false">IF(A32="","",IFERROR(INDEX(Parâmetros!$C$6:$C$10,MATCH(F32,Parâmetros!$B$6:$B$10,0)),""))</f>
        <v/>
      </c>
      <c r="R32" s="5" t="str">
        <f aca="false">IF(OR(A32="",P32="",Q32=""),"",P32*Q32)</f>
        <v/>
      </c>
      <c r="S32" s="5" t="str">
        <f aca="false">IF(R32="","",MAX(0,R32-G32))</f>
        <v/>
      </c>
      <c r="T32" s="21" t="str">
        <f aca="false">IF(S32="","",S32*K32)</f>
        <v/>
      </c>
      <c r="U32" s="5" t="str">
        <f aca="false">IF(A32="","",IF(J32&gt;Parâmetros!$C$14,"SIM","NAO"))</f>
        <v/>
      </c>
      <c r="V32" s="5" t="str">
        <f aca="false">IF(B32="","",TRIM(LEFT(B32,IFERROR(FIND(" ",B32)-1,LEN(B32)))))</f>
        <v/>
      </c>
      <c r="W32" s="22"/>
      <c r="X32" s="5" t="str">
        <f aca="false">IF(A32="","",IF(W32&lt;&gt;"",W32,V32))</f>
        <v/>
      </c>
      <c r="Y32" s="5" t="str">
        <f aca="false">IF(A32="","",IF(COUNTIFS($X$2:$X$2001,X32,$D$2:$D$2001,"&lt;&gt;"&amp;D32,$C$2:$C$2001,C32)&gt;0,"SIM","NAO"))</f>
        <v/>
      </c>
      <c r="Z32" s="5" t="str">
        <f aca="false">IF(A32="","",IF(J32="","",IFERROR(360/J32,"")))</f>
        <v/>
      </c>
      <c r="AA32" s="5" t="str">
        <f aca="false">IF(A32="","",IF(H32=0,"Parado (sem venda 90d)",IF(Z32&gt;12,"Alto (&gt;12x/ano)",IF(Z32&gt;=4,"Medio (4-12x/ano)","Baixo (&lt;4x/ano)"))))</f>
        <v/>
      </c>
    </row>
    <row r="33" customFormat="false" ht="15" hidden="false" customHeight="tru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18"/>
      <c r="L33" s="19" t="str">
        <f aca="false">IF(A33="","",G33*K33)</f>
        <v/>
      </c>
      <c r="M33" s="20"/>
      <c r="N33" s="6"/>
      <c r="O33" s="6"/>
      <c r="P33" s="5" t="str">
        <f aca="false">IF(A33="","",H33/90)</f>
        <v/>
      </c>
      <c r="Q33" s="5" t="str">
        <f aca="false">IF(A33="","",IFERROR(INDEX(Parâmetros!$C$6:$C$10,MATCH(F33,Parâmetros!$B$6:$B$10,0)),""))</f>
        <v/>
      </c>
      <c r="R33" s="5" t="str">
        <f aca="false">IF(OR(A33="",P33="",Q33=""),"",P33*Q33)</f>
        <v/>
      </c>
      <c r="S33" s="5" t="str">
        <f aca="false">IF(R33="","",MAX(0,R33-G33))</f>
        <v/>
      </c>
      <c r="T33" s="21" t="str">
        <f aca="false">IF(S33="","",S33*K33)</f>
        <v/>
      </c>
      <c r="U33" s="5" t="str">
        <f aca="false">IF(A33="","",IF(J33&gt;Parâmetros!$C$14,"SIM","NAO"))</f>
        <v/>
      </c>
      <c r="V33" s="5" t="str">
        <f aca="false">IF(B33="","",TRIM(LEFT(B33,IFERROR(FIND(" ",B33)-1,LEN(B33)))))</f>
        <v/>
      </c>
      <c r="W33" s="22"/>
      <c r="X33" s="5" t="str">
        <f aca="false">IF(A33="","",IF(W33&lt;&gt;"",W33,V33))</f>
        <v/>
      </c>
      <c r="Y33" s="5" t="str">
        <f aca="false">IF(A33="","",IF(COUNTIFS($X$2:$X$2001,X33,$D$2:$D$2001,"&lt;&gt;"&amp;D33,$C$2:$C$2001,C33)&gt;0,"SIM","NAO"))</f>
        <v/>
      </c>
      <c r="Z33" s="5" t="str">
        <f aca="false">IF(A33="","",IF(J33="","",IFERROR(360/J33,"")))</f>
        <v/>
      </c>
      <c r="AA33" s="5" t="str">
        <f aca="false">IF(A33="","",IF(H33=0,"Parado (sem venda 90d)",IF(Z33&gt;12,"Alto (&gt;12x/ano)",IF(Z33&gt;=4,"Medio (4-12x/ano)","Baixo (&lt;4x/ano)"))))</f>
        <v/>
      </c>
    </row>
    <row r="34" customFormat="false" ht="15" hidden="false" customHeight="tru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18"/>
      <c r="L34" s="19" t="str">
        <f aca="false">IF(A34="","",G34*K34)</f>
        <v/>
      </c>
      <c r="M34" s="20"/>
      <c r="N34" s="6"/>
      <c r="O34" s="6"/>
      <c r="P34" s="5" t="str">
        <f aca="false">IF(A34="","",H34/90)</f>
        <v/>
      </c>
      <c r="Q34" s="5" t="str">
        <f aca="false">IF(A34="","",IFERROR(INDEX(Parâmetros!$C$6:$C$10,MATCH(F34,Parâmetros!$B$6:$B$10,0)),""))</f>
        <v/>
      </c>
      <c r="R34" s="5" t="str">
        <f aca="false">IF(OR(A34="",P34="",Q34=""),"",P34*Q34)</f>
        <v/>
      </c>
      <c r="S34" s="5" t="str">
        <f aca="false">IF(R34="","",MAX(0,R34-G34))</f>
        <v/>
      </c>
      <c r="T34" s="21" t="str">
        <f aca="false">IF(S34="","",S34*K34)</f>
        <v/>
      </c>
      <c r="U34" s="5" t="str">
        <f aca="false">IF(A34="","",IF(J34&gt;Parâmetros!$C$14,"SIM","NAO"))</f>
        <v/>
      </c>
      <c r="V34" s="5" t="str">
        <f aca="false">IF(B34="","",TRIM(LEFT(B34,IFERROR(FIND(" ",B34)-1,LEN(B34)))))</f>
        <v/>
      </c>
      <c r="W34" s="22"/>
      <c r="X34" s="5" t="str">
        <f aca="false">IF(A34="","",IF(W34&lt;&gt;"",W34,V34))</f>
        <v/>
      </c>
      <c r="Y34" s="5" t="str">
        <f aca="false">IF(A34="","",IF(COUNTIFS($X$2:$X$2001,X34,$D$2:$D$2001,"&lt;&gt;"&amp;D34,$C$2:$C$2001,C34)&gt;0,"SIM","NAO"))</f>
        <v/>
      </c>
      <c r="Z34" s="5" t="str">
        <f aca="false">IF(A34="","",IF(J34="","",IFERROR(360/J34,"")))</f>
        <v/>
      </c>
      <c r="AA34" s="5" t="str">
        <f aca="false">IF(A34="","",IF(H34=0,"Parado (sem venda 90d)",IF(Z34&gt;12,"Alto (&gt;12x/ano)",IF(Z34&gt;=4,"Medio (4-12x/ano)","Baixo (&lt;4x/ano)"))))</f>
        <v/>
      </c>
    </row>
    <row r="35" customFormat="false" ht="15" hidden="false" customHeight="tru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18"/>
      <c r="L35" s="19" t="str">
        <f aca="false">IF(A35="","",G35*K35)</f>
        <v/>
      </c>
      <c r="M35" s="20"/>
      <c r="N35" s="6"/>
      <c r="O35" s="6"/>
      <c r="P35" s="5" t="str">
        <f aca="false">IF(A35="","",H35/90)</f>
        <v/>
      </c>
      <c r="Q35" s="5" t="str">
        <f aca="false">IF(A35="","",IFERROR(INDEX(Parâmetros!$C$6:$C$10,MATCH(F35,Parâmetros!$B$6:$B$10,0)),""))</f>
        <v/>
      </c>
      <c r="R35" s="5" t="str">
        <f aca="false">IF(OR(A35="",P35="",Q35=""),"",P35*Q35)</f>
        <v/>
      </c>
      <c r="S35" s="5" t="str">
        <f aca="false">IF(R35="","",MAX(0,R35-G35))</f>
        <v/>
      </c>
      <c r="T35" s="21" t="str">
        <f aca="false">IF(S35="","",S35*K35)</f>
        <v/>
      </c>
      <c r="U35" s="5" t="str">
        <f aca="false">IF(A35="","",IF(J35&gt;Parâmetros!$C$14,"SIM","NAO"))</f>
        <v/>
      </c>
      <c r="V35" s="5" t="str">
        <f aca="false">IF(B35="","",TRIM(LEFT(B35,IFERROR(FIND(" ",B35)-1,LEN(B35)))))</f>
        <v/>
      </c>
      <c r="W35" s="22"/>
      <c r="X35" s="5" t="str">
        <f aca="false">IF(A35="","",IF(W35&lt;&gt;"",W35,V35))</f>
        <v/>
      </c>
      <c r="Y35" s="5" t="str">
        <f aca="false">IF(A35="","",IF(COUNTIFS($X$2:$X$2001,X35,$D$2:$D$2001,"&lt;&gt;"&amp;D35,$C$2:$C$2001,C35)&gt;0,"SIM","NAO"))</f>
        <v/>
      </c>
      <c r="Z35" s="5" t="str">
        <f aca="false">IF(A35="","",IF(J35="","",IFERROR(360/J35,"")))</f>
        <v/>
      </c>
      <c r="AA35" s="5" t="str">
        <f aca="false">IF(A35="","",IF(H35=0,"Parado (sem venda 90d)",IF(Z35&gt;12,"Alto (&gt;12x/ano)",IF(Z35&gt;=4,"Medio (4-12x/ano)","Baixo (&lt;4x/ano)"))))</f>
        <v/>
      </c>
    </row>
    <row r="36" customFormat="false" ht="15" hidden="false" customHeight="tru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18"/>
      <c r="L36" s="19" t="str">
        <f aca="false">IF(A36="","",G36*K36)</f>
        <v/>
      </c>
      <c r="M36" s="20"/>
      <c r="N36" s="6"/>
      <c r="O36" s="6"/>
      <c r="P36" s="5" t="str">
        <f aca="false">IF(A36="","",H36/90)</f>
        <v/>
      </c>
      <c r="Q36" s="5" t="str">
        <f aca="false">IF(A36="","",IFERROR(INDEX(Parâmetros!$C$6:$C$10,MATCH(F36,Parâmetros!$B$6:$B$10,0)),""))</f>
        <v/>
      </c>
      <c r="R36" s="5" t="str">
        <f aca="false">IF(OR(A36="",P36="",Q36=""),"",P36*Q36)</f>
        <v/>
      </c>
      <c r="S36" s="5" t="str">
        <f aca="false">IF(R36="","",MAX(0,R36-G36))</f>
        <v/>
      </c>
      <c r="T36" s="21" t="str">
        <f aca="false">IF(S36="","",S36*K36)</f>
        <v/>
      </c>
      <c r="U36" s="5" t="str">
        <f aca="false">IF(A36="","",IF(J36&gt;Parâmetros!$C$14,"SIM","NAO"))</f>
        <v/>
      </c>
      <c r="V36" s="5" t="str">
        <f aca="false">IF(B36="","",TRIM(LEFT(B36,IFERROR(FIND(" ",B36)-1,LEN(B36)))))</f>
        <v/>
      </c>
      <c r="W36" s="22"/>
      <c r="X36" s="5" t="str">
        <f aca="false">IF(A36="","",IF(W36&lt;&gt;"",W36,V36))</f>
        <v/>
      </c>
      <c r="Y36" s="5" t="str">
        <f aca="false">IF(A36="","",IF(COUNTIFS($X$2:$X$2001,X36,$D$2:$D$2001,"&lt;&gt;"&amp;D36,$C$2:$C$2001,C36)&gt;0,"SIM","NAO"))</f>
        <v/>
      </c>
      <c r="Z36" s="5" t="str">
        <f aca="false">IF(A36="","",IF(J36="","",IFERROR(360/J36,"")))</f>
        <v/>
      </c>
      <c r="AA36" s="5" t="str">
        <f aca="false">IF(A36="","",IF(H36=0,"Parado (sem venda 90d)",IF(Z36&gt;12,"Alto (&gt;12x/ano)",IF(Z36&gt;=4,"Medio (4-12x/ano)","Baixo (&lt;4x/ano)"))))</f>
        <v/>
      </c>
    </row>
    <row r="37" customFormat="false" ht="15" hidden="false" customHeight="tru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18"/>
      <c r="L37" s="19" t="str">
        <f aca="false">IF(A37="","",G37*K37)</f>
        <v/>
      </c>
      <c r="M37" s="20"/>
      <c r="N37" s="6"/>
      <c r="O37" s="6"/>
      <c r="P37" s="5" t="str">
        <f aca="false">IF(A37="","",H37/90)</f>
        <v/>
      </c>
      <c r="Q37" s="5" t="str">
        <f aca="false">IF(A37="","",IFERROR(INDEX(Parâmetros!$C$6:$C$10,MATCH(F37,Parâmetros!$B$6:$B$10,0)),""))</f>
        <v/>
      </c>
      <c r="R37" s="5" t="str">
        <f aca="false">IF(OR(A37="",P37="",Q37=""),"",P37*Q37)</f>
        <v/>
      </c>
      <c r="S37" s="5" t="str">
        <f aca="false">IF(R37="","",MAX(0,R37-G37))</f>
        <v/>
      </c>
      <c r="T37" s="21" t="str">
        <f aca="false">IF(S37="","",S37*K37)</f>
        <v/>
      </c>
      <c r="U37" s="5" t="str">
        <f aca="false">IF(A37="","",IF(J37&gt;Parâmetros!$C$14,"SIM","NAO"))</f>
        <v/>
      </c>
      <c r="V37" s="5" t="str">
        <f aca="false">IF(B37="","",TRIM(LEFT(B37,IFERROR(FIND(" ",B37)-1,LEN(B37)))))</f>
        <v/>
      </c>
      <c r="W37" s="22"/>
      <c r="X37" s="5" t="str">
        <f aca="false">IF(A37="","",IF(W37&lt;&gt;"",W37,V37))</f>
        <v/>
      </c>
      <c r="Y37" s="5" t="str">
        <f aca="false">IF(A37="","",IF(COUNTIFS($X$2:$X$2001,X37,$D$2:$D$2001,"&lt;&gt;"&amp;D37,$C$2:$C$2001,C37)&gt;0,"SIM","NAO"))</f>
        <v/>
      </c>
      <c r="Z37" s="5" t="str">
        <f aca="false">IF(A37="","",IF(J37="","",IFERROR(360/J37,"")))</f>
        <v/>
      </c>
      <c r="AA37" s="5" t="str">
        <f aca="false">IF(A37="","",IF(H37=0,"Parado (sem venda 90d)",IF(Z37&gt;12,"Alto (&gt;12x/ano)",IF(Z37&gt;=4,"Medio (4-12x/ano)","Baixo (&lt;4x/ano)"))))</f>
        <v/>
      </c>
    </row>
    <row r="38" customFormat="false" ht="15" hidden="false" customHeight="tru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18"/>
      <c r="L38" s="19" t="str">
        <f aca="false">IF(A38="","",G38*K38)</f>
        <v/>
      </c>
      <c r="M38" s="20"/>
      <c r="N38" s="6"/>
      <c r="O38" s="6"/>
      <c r="P38" s="5" t="str">
        <f aca="false">IF(A38="","",H38/90)</f>
        <v/>
      </c>
      <c r="Q38" s="5" t="str">
        <f aca="false">IF(A38="","",IFERROR(INDEX(Parâmetros!$C$6:$C$10,MATCH(F38,Parâmetros!$B$6:$B$10,0)),""))</f>
        <v/>
      </c>
      <c r="R38" s="5" t="str">
        <f aca="false">IF(OR(A38="",P38="",Q38=""),"",P38*Q38)</f>
        <v/>
      </c>
      <c r="S38" s="5" t="str">
        <f aca="false">IF(R38="","",MAX(0,R38-G38))</f>
        <v/>
      </c>
      <c r="T38" s="21" t="str">
        <f aca="false">IF(S38="","",S38*K38)</f>
        <v/>
      </c>
      <c r="U38" s="5" t="str">
        <f aca="false">IF(A38="","",IF(J38&gt;Parâmetros!$C$14,"SIM","NAO"))</f>
        <v/>
      </c>
      <c r="V38" s="5" t="str">
        <f aca="false">IF(B38="","",TRIM(LEFT(B38,IFERROR(FIND(" ",B38)-1,LEN(B38)))))</f>
        <v/>
      </c>
      <c r="W38" s="22"/>
      <c r="X38" s="5" t="str">
        <f aca="false">IF(A38="","",IF(W38&lt;&gt;"",W38,V38))</f>
        <v/>
      </c>
      <c r="Y38" s="5" t="str">
        <f aca="false">IF(A38="","",IF(COUNTIFS($X$2:$X$2001,X38,$D$2:$D$2001,"&lt;&gt;"&amp;D38,$C$2:$C$2001,C38)&gt;0,"SIM","NAO"))</f>
        <v/>
      </c>
      <c r="Z38" s="5" t="str">
        <f aca="false">IF(A38="","",IF(J38="","",IFERROR(360/J38,"")))</f>
        <v/>
      </c>
      <c r="AA38" s="5" t="str">
        <f aca="false">IF(A38="","",IF(H38=0,"Parado (sem venda 90d)",IF(Z38&gt;12,"Alto (&gt;12x/ano)",IF(Z38&gt;=4,"Medio (4-12x/ano)","Baixo (&lt;4x/ano)"))))</f>
        <v/>
      </c>
    </row>
    <row r="39" customFormat="false" ht="15" hidden="false" customHeight="tru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18"/>
      <c r="L39" s="19" t="str">
        <f aca="false">IF(A39="","",G39*K39)</f>
        <v/>
      </c>
      <c r="M39" s="20"/>
      <c r="N39" s="6"/>
      <c r="O39" s="6"/>
      <c r="P39" s="5" t="str">
        <f aca="false">IF(A39="","",H39/90)</f>
        <v/>
      </c>
      <c r="Q39" s="5" t="str">
        <f aca="false">IF(A39="","",IFERROR(INDEX(Parâmetros!$C$6:$C$10,MATCH(F39,Parâmetros!$B$6:$B$10,0)),""))</f>
        <v/>
      </c>
      <c r="R39" s="5" t="str">
        <f aca="false">IF(OR(A39="",P39="",Q39=""),"",P39*Q39)</f>
        <v/>
      </c>
      <c r="S39" s="5" t="str">
        <f aca="false">IF(R39="","",MAX(0,R39-G39))</f>
        <v/>
      </c>
      <c r="T39" s="21" t="str">
        <f aca="false">IF(S39="","",S39*K39)</f>
        <v/>
      </c>
      <c r="U39" s="5" t="str">
        <f aca="false">IF(A39="","",IF(J39&gt;Parâmetros!$C$14,"SIM","NAO"))</f>
        <v/>
      </c>
      <c r="V39" s="5" t="str">
        <f aca="false">IF(B39="","",TRIM(LEFT(B39,IFERROR(FIND(" ",B39)-1,LEN(B39)))))</f>
        <v/>
      </c>
      <c r="W39" s="22"/>
      <c r="X39" s="5" t="str">
        <f aca="false">IF(A39="","",IF(W39&lt;&gt;"",W39,V39))</f>
        <v/>
      </c>
      <c r="Y39" s="5" t="str">
        <f aca="false">IF(A39="","",IF(COUNTIFS($X$2:$X$2001,X39,$D$2:$D$2001,"&lt;&gt;"&amp;D39,$C$2:$C$2001,C39)&gt;0,"SIM","NAO"))</f>
        <v/>
      </c>
      <c r="Z39" s="5" t="str">
        <f aca="false">IF(A39="","",IF(J39="","",IFERROR(360/J39,"")))</f>
        <v/>
      </c>
      <c r="AA39" s="5" t="str">
        <f aca="false">IF(A39="","",IF(H39=0,"Parado (sem venda 90d)",IF(Z39&gt;12,"Alto (&gt;12x/ano)",IF(Z39&gt;=4,"Medio (4-12x/ano)","Baixo (&lt;4x/ano)"))))</f>
        <v/>
      </c>
    </row>
    <row r="40" customFormat="false" ht="15" hidden="false" customHeight="tru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18"/>
      <c r="L40" s="19" t="str">
        <f aca="false">IF(A40="","",G40*K40)</f>
        <v/>
      </c>
      <c r="M40" s="20"/>
      <c r="N40" s="6"/>
      <c r="O40" s="6"/>
      <c r="P40" s="5" t="str">
        <f aca="false">IF(A40="","",H40/90)</f>
        <v/>
      </c>
      <c r="Q40" s="5" t="str">
        <f aca="false">IF(A40="","",IFERROR(INDEX(Parâmetros!$C$6:$C$10,MATCH(F40,Parâmetros!$B$6:$B$10,0)),""))</f>
        <v/>
      </c>
      <c r="R40" s="5" t="str">
        <f aca="false">IF(OR(A40="",P40="",Q40=""),"",P40*Q40)</f>
        <v/>
      </c>
      <c r="S40" s="5" t="str">
        <f aca="false">IF(R40="","",MAX(0,R40-G40))</f>
        <v/>
      </c>
      <c r="T40" s="21" t="str">
        <f aca="false">IF(S40="","",S40*K40)</f>
        <v/>
      </c>
      <c r="U40" s="5" t="str">
        <f aca="false">IF(A40="","",IF(J40&gt;Parâmetros!$C$14,"SIM","NAO"))</f>
        <v/>
      </c>
      <c r="V40" s="5" t="str">
        <f aca="false">IF(B40="","",TRIM(LEFT(B40,IFERROR(FIND(" ",B40)-1,LEN(B40)))))</f>
        <v/>
      </c>
      <c r="W40" s="22"/>
      <c r="X40" s="5" t="str">
        <f aca="false">IF(A40="","",IF(W40&lt;&gt;"",W40,V40))</f>
        <v/>
      </c>
      <c r="Y40" s="5" t="str">
        <f aca="false">IF(A40="","",IF(COUNTIFS($X$2:$X$2001,X40,$D$2:$D$2001,"&lt;&gt;"&amp;D40,$C$2:$C$2001,C40)&gt;0,"SIM","NAO"))</f>
        <v/>
      </c>
      <c r="Z40" s="5" t="str">
        <f aca="false">IF(A40="","",IF(J40="","",IFERROR(360/J40,"")))</f>
        <v/>
      </c>
      <c r="AA40" s="5" t="str">
        <f aca="false">IF(A40="","",IF(H40=0,"Parado (sem venda 90d)",IF(Z40&gt;12,"Alto (&gt;12x/ano)",IF(Z40&gt;=4,"Medio (4-12x/ano)","Baixo (&lt;4x/ano)"))))</f>
        <v/>
      </c>
    </row>
    <row r="41" customFormat="false" ht="15" hidden="false" customHeight="tru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18"/>
      <c r="L41" s="19" t="str">
        <f aca="false">IF(A41="","",G41*K41)</f>
        <v/>
      </c>
      <c r="M41" s="20"/>
      <c r="N41" s="6"/>
      <c r="O41" s="6"/>
      <c r="P41" s="5" t="str">
        <f aca="false">IF(A41="","",H41/90)</f>
        <v/>
      </c>
      <c r="Q41" s="5" t="str">
        <f aca="false">IF(A41="","",IFERROR(INDEX(Parâmetros!$C$6:$C$10,MATCH(F41,Parâmetros!$B$6:$B$10,0)),""))</f>
        <v/>
      </c>
      <c r="R41" s="5" t="str">
        <f aca="false">IF(OR(A41="",P41="",Q41=""),"",P41*Q41)</f>
        <v/>
      </c>
      <c r="S41" s="5" t="str">
        <f aca="false">IF(R41="","",MAX(0,R41-G41))</f>
        <v/>
      </c>
      <c r="T41" s="21" t="str">
        <f aca="false">IF(S41="","",S41*K41)</f>
        <v/>
      </c>
      <c r="U41" s="5" t="str">
        <f aca="false">IF(A41="","",IF(J41&gt;Parâmetros!$C$14,"SIM","NAO"))</f>
        <v/>
      </c>
      <c r="V41" s="5" t="str">
        <f aca="false">IF(B41="","",TRIM(LEFT(B41,IFERROR(FIND(" ",B41)-1,LEN(B41)))))</f>
        <v/>
      </c>
      <c r="W41" s="22"/>
      <c r="X41" s="5" t="str">
        <f aca="false">IF(A41="","",IF(W41&lt;&gt;"",W41,V41))</f>
        <v/>
      </c>
      <c r="Y41" s="5" t="str">
        <f aca="false">IF(A41="","",IF(COUNTIFS($X$2:$X$2001,X41,$D$2:$D$2001,"&lt;&gt;"&amp;D41,$C$2:$C$2001,C41)&gt;0,"SIM","NAO"))</f>
        <v/>
      </c>
      <c r="Z41" s="5" t="str">
        <f aca="false">IF(A41="","",IF(J41="","",IFERROR(360/J41,"")))</f>
        <v/>
      </c>
      <c r="AA41" s="5" t="str">
        <f aca="false">IF(A41="","",IF(H41=0,"Parado (sem venda 90d)",IF(Z41&gt;12,"Alto (&gt;12x/ano)",IF(Z41&gt;=4,"Medio (4-12x/ano)","Baixo (&lt;4x/ano)"))))</f>
        <v/>
      </c>
    </row>
    <row r="42" customFormat="false" ht="15" hidden="false" customHeight="tru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18"/>
      <c r="L42" s="19" t="str">
        <f aca="false">IF(A42="","",G42*K42)</f>
        <v/>
      </c>
      <c r="M42" s="20"/>
      <c r="N42" s="6"/>
      <c r="O42" s="6"/>
      <c r="P42" s="5" t="str">
        <f aca="false">IF(A42="","",H42/90)</f>
        <v/>
      </c>
      <c r="Q42" s="5" t="str">
        <f aca="false">IF(A42="","",IFERROR(INDEX(Parâmetros!$C$6:$C$10,MATCH(F42,Parâmetros!$B$6:$B$10,0)),""))</f>
        <v/>
      </c>
      <c r="R42" s="5" t="str">
        <f aca="false">IF(OR(A42="",P42="",Q42=""),"",P42*Q42)</f>
        <v/>
      </c>
      <c r="S42" s="5" t="str">
        <f aca="false">IF(R42="","",MAX(0,R42-G42))</f>
        <v/>
      </c>
      <c r="T42" s="21" t="str">
        <f aca="false">IF(S42="","",S42*K42)</f>
        <v/>
      </c>
      <c r="U42" s="5" t="str">
        <f aca="false">IF(A42="","",IF(J42&gt;Parâmetros!$C$14,"SIM","NAO"))</f>
        <v/>
      </c>
      <c r="V42" s="5" t="str">
        <f aca="false">IF(B42="","",TRIM(LEFT(B42,IFERROR(FIND(" ",B42)-1,LEN(B42)))))</f>
        <v/>
      </c>
      <c r="W42" s="22"/>
      <c r="X42" s="5" t="str">
        <f aca="false">IF(A42="","",IF(W42&lt;&gt;"",W42,V42))</f>
        <v/>
      </c>
      <c r="Y42" s="5" t="str">
        <f aca="false">IF(A42="","",IF(COUNTIFS($X$2:$X$2001,X42,$D$2:$D$2001,"&lt;&gt;"&amp;D42,$C$2:$C$2001,C42)&gt;0,"SIM","NAO"))</f>
        <v/>
      </c>
      <c r="Z42" s="5" t="str">
        <f aca="false">IF(A42="","",IF(J42="","",IFERROR(360/J42,"")))</f>
        <v/>
      </c>
      <c r="AA42" s="5" t="str">
        <f aca="false">IF(A42="","",IF(H42=0,"Parado (sem venda 90d)",IF(Z42&gt;12,"Alto (&gt;12x/ano)",IF(Z42&gt;=4,"Medio (4-12x/ano)","Baixo (&lt;4x/ano)"))))</f>
        <v/>
      </c>
    </row>
    <row r="43" customFormat="false" ht="15" hidden="false" customHeight="tru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  <c r="K43" s="18"/>
      <c r="L43" s="19" t="str">
        <f aca="false">IF(A43="","",G43*K43)</f>
        <v/>
      </c>
      <c r="M43" s="20"/>
      <c r="N43" s="6"/>
      <c r="O43" s="6"/>
      <c r="P43" s="5" t="str">
        <f aca="false">IF(A43="","",H43/90)</f>
        <v/>
      </c>
      <c r="Q43" s="5" t="str">
        <f aca="false">IF(A43="","",IFERROR(INDEX(Parâmetros!$C$6:$C$10,MATCH(F43,Parâmetros!$B$6:$B$10,0)),""))</f>
        <v/>
      </c>
      <c r="R43" s="5" t="str">
        <f aca="false">IF(OR(A43="",P43="",Q43=""),"",P43*Q43)</f>
        <v/>
      </c>
      <c r="S43" s="5" t="str">
        <f aca="false">IF(R43="","",MAX(0,R43-G43))</f>
        <v/>
      </c>
      <c r="T43" s="21" t="str">
        <f aca="false">IF(S43="","",S43*K43)</f>
        <v/>
      </c>
      <c r="U43" s="5" t="str">
        <f aca="false">IF(A43="","",IF(J43&gt;Parâmetros!$C$14,"SIM","NAO"))</f>
        <v/>
      </c>
      <c r="V43" s="5" t="str">
        <f aca="false">IF(B43="","",TRIM(LEFT(B43,IFERROR(FIND(" ",B43)-1,LEN(B43)))))</f>
        <v/>
      </c>
      <c r="W43" s="22"/>
      <c r="X43" s="5" t="str">
        <f aca="false">IF(A43="","",IF(W43&lt;&gt;"",W43,V43))</f>
        <v/>
      </c>
      <c r="Y43" s="5" t="str">
        <f aca="false">IF(A43="","",IF(COUNTIFS($X$2:$X$2001,X43,$D$2:$D$2001,"&lt;&gt;"&amp;D43,$C$2:$C$2001,C43)&gt;0,"SIM","NAO"))</f>
        <v/>
      </c>
      <c r="Z43" s="5" t="str">
        <f aca="false">IF(A43="","",IF(J43="","",IFERROR(360/J43,"")))</f>
        <v/>
      </c>
      <c r="AA43" s="5" t="str">
        <f aca="false">IF(A43="","",IF(H43=0,"Parado (sem venda 90d)",IF(Z43&gt;12,"Alto (&gt;12x/ano)",IF(Z43&gt;=4,"Medio (4-12x/ano)","Baixo (&lt;4x/ano)"))))</f>
        <v/>
      </c>
    </row>
    <row r="44" customFormat="false" ht="15" hidden="false" customHeight="tru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18"/>
      <c r="L44" s="19" t="str">
        <f aca="false">IF(A44="","",G44*K44)</f>
        <v/>
      </c>
      <c r="M44" s="20"/>
      <c r="N44" s="6"/>
      <c r="O44" s="6"/>
      <c r="P44" s="5" t="str">
        <f aca="false">IF(A44="","",H44/90)</f>
        <v/>
      </c>
      <c r="Q44" s="5" t="str">
        <f aca="false">IF(A44="","",IFERROR(INDEX(Parâmetros!$C$6:$C$10,MATCH(F44,Parâmetros!$B$6:$B$10,0)),""))</f>
        <v/>
      </c>
      <c r="R44" s="5" t="str">
        <f aca="false">IF(OR(A44="",P44="",Q44=""),"",P44*Q44)</f>
        <v/>
      </c>
      <c r="S44" s="5" t="str">
        <f aca="false">IF(R44="","",MAX(0,R44-G44))</f>
        <v/>
      </c>
      <c r="T44" s="21" t="str">
        <f aca="false">IF(S44="","",S44*K44)</f>
        <v/>
      </c>
      <c r="U44" s="5" t="str">
        <f aca="false">IF(A44="","",IF(J44&gt;Parâmetros!$C$14,"SIM","NAO"))</f>
        <v/>
      </c>
      <c r="V44" s="5" t="str">
        <f aca="false">IF(B44="","",TRIM(LEFT(B44,IFERROR(FIND(" ",B44)-1,LEN(B44)))))</f>
        <v/>
      </c>
      <c r="W44" s="22"/>
      <c r="X44" s="5" t="str">
        <f aca="false">IF(A44="","",IF(W44&lt;&gt;"",W44,V44))</f>
        <v/>
      </c>
      <c r="Y44" s="5" t="str">
        <f aca="false">IF(A44="","",IF(COUNTIFS($X$2:$X$2001,X44,$D$2:$D$2001,"&lt;&gt;"&amp;D44,$C$2:$C$2001,C44)&gt;0,"SIM","NAO"))</f>
        <v/>
      </c>
      <c r="Z44" s="5" t="str">
        <f aca="false">IF(A44="","",IF(J44="","",IFERROR(360/J44,"")))</f>
        <v/>
      </c>
      <c r="AA44" s="5" t="str">
        <f aca="false">IF(A44="","",IF(H44=0,"Parado (sem venda 90d)",IF(Z44&gt;12,"Alto (&gt;12x/ano)",IF(Z44&gt;=4,"Medio (4-12x/ano)","Baixo (&lt;4x/ano)"))))</f>
        <v/>
      </c>
    </row>
    <row r="45" customFormat="false" ht="15" hidden="false" customHeight="tru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18"/>
      <c r="L45" s="19" t="str">
        <f aca="false">IF(A45="","",G45*K45)</f>
        <v/>
      </c>
      <c r="M45" s="20"/>
      <c r="N45" s="6"/>
      <c r="O45" s="6"/>
      <c r="P45" s="5" t="str">
        <f aca="false">IF(A45="","",H45/90)</f>
        <v/>
      </c>
      <c r="Q45" s="5" t="str">
        <f aca="false">IF(A45="","",IFERROR(INDEX(Parâmetros!$C$6:$C$10,MATCH(F45,Parâmetros!$B$6:$B$10,0)),""))</f>
        <v/>
      </c>
      <c r="R45" s="5" t="str">
        <f aca="false">IF(OR(A45="",P45="",Q45=""),"",P45*Q45)</f>
        <v/>
      </c>
      <c r="S45" s="5" t="str">
        <f aca="false">IF(R45="","",MAX(0,R45-G45))</f>
        <v/>
      </c>
      <c r="T45" s="21" t="str">
        <f aca="false">IF(S45="","",S45*K45)</f>
        <v/>
      </c>
      <c r="U45" s="5" t="str">
        <f aca="false">IF(A45="","",IF(J45&gt;Parâmetros!$C$14,"SIM","NAO"))</f>
        <v/>
      </c>
      <c r="V45" s="5" t="str">
        <f aca="false">IF(B45="","",TRIM(LEFT(B45,IFERROR(FIND(" ",B45)-1,LEN(B45)))))</f>
        <v/>
      </c>
      <c r="W45" s="22"/>
      <c r="X45" s="5" t="str">
        <f aca="false">IF(A45="","",IF(W45&lt;&gt;"",W45,V45))</f>
        <v/>
      </c>
      <c r="Y45" s="5" t="str">
        <f aca="false">IF(A45="","",IF(COUNTIFS($X$2:$X$2001,X45,$D$2:$D$2001,"&lt;&gt;"&amp;D45,$C$2:$C$2001,C45)&gt;0,"SIM","NAO"))</f>
        <v/>
      </c>
      <c r="Z45" s="5" t="str">
        <f aca="false">IF(A45="","",IF(J45="","",IFERROR(360/J45,"")))</f>
        <v/>
      </c>
      <c r="AA45" s="5" t="str">
        <f aca="false">IF(A45="","",IF(H45=0,"Parado (sem venda 90d)",IF(Z45&gt;12,"Alto (&gt;12x/ano)",IF(Z45&gt;=4,"Medio (4-12x/ano)","Baixo (&lt;4x/ano)"))))</f>
        <v/>
      </c>
    </row>
    <row r="46" customFormat="false" ht="15" hidden="false" customHeight="tru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18"/>
      <c r="L46" s="19" t="str">
        <f aca="false">IF(A46="","",G46*K46)</f>
        <v/>
      </c>
      <c r="M46" s="20"/>
      <c r="N46" s="6"/>
      <c r="O46" s="6"/>
      <c r="P46" s="5" t="str">
        <f aca="false">IF(A46="","",H46/90)</f>
        <v/>
      </c>
      <c r="Q46" s="5" t="str">
        <f aca="false">IF(A46="","",IFERROR(INDEX(Parâmetros!$C$6:$C$10,MATCH(F46,Parâmetros!$B$6:$B$10,0)),""))</f>
        <v/>
      </c>
      <c r="R46" s="5" t="str">
        <f aca="false">IF(OR(A46="",P46="",Q46=""),"",P46*Q46)</f>
        <v/>
      </c>
      <c r="S46" s="5" t="str">
        <f aca="false">IF(R46="","",MAX(0,R46-G46))</f>
        <v/>
      </c>
      <c r="T46" s="21" t="str">
        <f aca="false">IF(S46="","",S46*K46)</f>
        <v/>
      </c>
      <c r="U46" s="5" t="str">
        <f aca="false">IF(A46="","",IF(J46&gt;Parâmetros!$C$14,"SIM","NAO"))</f>
        <v/>
      </c>
      <c r="V46" s="5" t="str">
        <f aca="false">IF(B46="","",TRIM(LEFT(B46,IFERROR(FIND(" ",B46)-1,LEN(B46)))))</f>
        <v/>
      </c>
      <c r="W46" s="22"/>
      <c r="X46" s="5" t="str">
        <f aca="false">IF(A46="","",IF(W46&lt;&gt;"",W46,V46))</f>
        <v/>
      </c>
      <c r="Y46" s="5" t="str">
        <f aca="false">IF(A46="","",IF(COUNTIFS($X$2:$X$2001,X46,$D$2:$D$2001,"&lt;&gt;"&amp;D46,$C$2:$C$2001,C46)&gt;0,"SIM","NAO"))</f>
        <v/>
      </c>
      <c r="Z46" s="5" t="str">
        <f aca="false">IF(A46="","",IF(J46="","",IFERROR(360/J46,"")))</f>
        <v/>
      </c>
      <c r="AA46" s="5" t="str">
        <f aca="false">IF(A46="","",IF(H46=0,"Parado (sem venda 90d)",IF(Z46&gt;12,"Alto (&gt;12x/ano)",IF(Z46&gt;=4,"Medio (4-12x/ano)","Baixo (&lt;4x/ano)"))))</f>
        <v/>
      </c>
    </row>
    <row r="47" customFormat="false" ht="15" hidden="false" customHeight="tru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18"/>
      <c r="L47" s="19" t="str">
        <f aca="false">IF(A47="","",G47*K47)</f>
        <v/>
      </c>
      <c r="M47" s="20"/>
      <c r="N47" s="6"/>
      <c r="O47" s="6"/>
      <c r="P47" s="5" t="str">
        <f aca="false">IF(A47="","",H47/90)</f>
        <v/>
      </c>
      <c r="Q47" s="5" t="str">
        <f aca="false">IF(A47="","",IFERROR(INDEX(Parâmetros!$C$6:$C$10,MATCH(F47,Parâmetros!$B$6:$B$10,0)),""))</f>
        <v/>
      </c>
      <c r="R47" s="5" t="str">
        <f aca="false">IF(OR(A47="",P47="",Q47=""),"",P47*Q47)</f>
        <v/>
      </c>
      <c r="S47" s="5" t="str">
        <f aca="false">IF(R47="","",MAX(0,R47-G47))</f>
        <v/>
      </c>
      <c r="T47" s="21" t="str">
        <f aca="false">IF(S47="","",S47*K47)</f>
        <v/>
      </c>
      <c r="U47" s="5" t="str">
        <f aca="false">IF(A47="","",IF(J47&gt;Parâmetros!$C$14,"SIM","NAO"))</f>
        <v/>
      </c>
      <c r="V47" s="5" t="str">
        <f aca="false">IF(B47="","",TRIM(LEFT(B47,IFERROR(FIND(" ",B47)-1,LEN(B47)))))</f>
        <v/>
      </c>
      <c r="W47" s="22"/>
      <c r="X47" s="5" t="str">
        <f aca="false">IF(A47="","",IF(W47&lt;&gt;"",W47,V47))</f>
        <v/>
      </c>
      <c r="Y47" s="5" t="str">
        <f aca="false">IF(A47="","",IF(COUNTIFS($X$2:$X$2001,X47,$D$2:$D$2001,"&lt;&gt;"&amp;D47,$C$2:$C$2001,C47)&gt;0,"SIM","NAO"))</f>
        <v/>
      </c>
      <c r="Z47" s="5" t="str">
        <f aca="false">IF(A47="","",IF(J47="","",IFERROR(360/J47,"")))</f>
        <v/>
      </c>
      <c r="AA47" s="5" t="str">
        <f aca="false">IF(A47="","",IF(H47=0,"Parado (sem venda 90d)",IF(Z47&gt;12,"Alto (&gt;12x/ano)",IF(Z47&gt;=4,"Medio (4-12x/ano)","Baixo (&lt;4x/ano)"))))</f>
        <v/>
      </c>
    </row>
    <row r="48" customFormat="false" ht="15" hidden="false" customHeight="tru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18"/>
      <c r="L48" s="19" t="str">
        <f aca="false">IF(A48="","",G48*K48)</f>
        <v/>
      </c>
      <c r="M48" s="20"/>
      <c r="N48" s="6"/>
      <c r="O48" s="6"/>
      <c r="P48" s="5" t="str">
        <f aca="false">IF(A48="","",H48/90)</f>
        <v/>
      </c>
      <c r="Q48" s="5" t="str">
        <f aca="false">IF(A48="","",IFERROR(INDEX(Parâmetros!$C$6:$C$10,MATCH(F48,Parâmetros!$B$6:$B$10,0)),""))</f>
        <v/>
      </c>
      <c r="R48" s="5" t="str">
        <f aca="false">IF(OR(A48="",P48="",Q48=""),"",P48*Q48)</f>
        <v/>
      </c>
      <c r="S48" s="5" t="str">
        <f aca="false">IF(R48="","",MAX(0,R48-G48))</f>
        <v/>
      </c>
      <c r="T48" s="21" t="str">
        <f aca="false">IF(S48="","",S48*K48)</f>
        <v/>
      </c>
      <c r="U48" s="5" t="str">
        <f aca="false">IF(A48="","",IF(J48&gt;Parâmetros!$C$14,"SIM","NAO"))</f>
        <v/>
      </c>
      <c r="V48" s="5" t="str">
        <f aca="false">IF(B48="","",TRIM(LEFT(B48,IFERROR(FIND(" ",B48)-1,LEN(B48)))))</f>
        <v/>
      </c>
      <c r="W48" s="22"/>
      <c r="X48" s="5" t="str">
        <f aca="false">IF(A48="","",IF(W48&lt;&gt;"",W48,V48))</f>
        <v/>
      </c>
      <c r="Y48" s="5" t="str">
        <f aca="false">IF(A48="","",IF(COUNTIFS($X$2:$X$2001,X48,$D$2:$D$2001,"&lt;&gt;"&amp;D48,$C$2:$C$2001,C48)&gt;0,"SIM","NAO"))</f>
        <v/>
      </c>
      <c r="Z48" s="5" t="str">
        <f aca="false">IF(A48="","",IF(J48="","",IFERROR(360/J48,"")))</f>
        <v/>
      </c>
      <c r="AA48" s="5" t="str">
        <f aca="false">IF(A48="","",IF(H48=0,"Parado (sem venda 90d)",IF(Z48&gt;12,"Alto (&gt;12x/ano)",IF(Z48&gt;=4,"Medio (4-12x/ano)","Baixo (&lt;4x/ano)"))))</f>
        <v/>
      </c>
    </row>
    <row r="49" customFormat="false" ht="15" hidden="false" customHeight="tru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18"/>
      <c r="L49" s="19" t="str">
        <f aca="false">IF(A49="","",G49*K49)</f>
        <v/>
      </c>
      <c r="M49" s="20"/>
      <c r="N49" s="6"/>
      <c r="O49" s="6"/>
      <c r="P49" s="5" t="str">
        <f aca="false">IF(A49="","",H49/90)</f>
        <v/>
      </c>
      <c r="Q49" s="5" t="str">
        <f aca="false">IF(A49="","",IFERROR(INDEX(Parâmetros!$C$6:$C$10,MATCH(F49,Parâmetros!$B$6:$B$10,0)),""))</f>
        <v/>
      </c>
      <c r="R49" s="5" t="str">
        <f aca="false">IF(OR(A49="",P49="",Q49=""),"",P49*Q49)</f>
        <v/>
      </c>
      <c r="S49" s="5" t="str">
        <f aca="false">IF(R49="","",MAX(0,R49-G49))</f>
        <v/>
      </c>
      <c r="T49" s="21" t="str">
        <f aca="false">IF(S49="","",S49*K49)</f>
        <v/>
      </c>
      <c r="U49" s="5" t="str">
        <f aca="false">IF(A49="","",IF(J49&gt;Parâmetros!$C$14,"SIM","NAO"))</f>
        <v/>
      </c>
      <c r="V49" s="5" t="str">
        <f aca="false">IF(B49="","",TRIM(LEFT(B49,IFERROR(FIND(" ",B49)-1,LEN(B49)))))</f>
        <v/>
      </c>
      <c r="W49" s="22"/>
      <c r="X49" s="5" t="str">
        <f aca="false">IF(A49="","",IF(W49&lt;&gt;"",W49,V49))</f>
        <v/>
      </c>
      <c r="Y49" s="5" t="str">
        <f aca="false">IF(A49="","",IF(COUNTIFS($X$2:$X$2001,X49,$D$2:$D$2001,"&lt;&gt;"&amp;D49,$C$2:$C$2001,C49)&gt;0,"SIM","NAO"))</f>
        <v/>
      </c>
      <c r="Z49" s="5" t="str">
        <f aca="false">IF(A49="","",IF(J49="","",IFERROR(360/J49,"")))</f>
        <v/>
      </c>
      <c r="AA49" s="5" t="str">
        <f aca="false">IF(A49="","",IF(H49=0,"Parado (sem venda 90d)",IF(Z49&gt;12,"Alto (&gt;12x/ano)",IF(Z49&gt;=4,"Medio (4-12x/ano)","Baixo (&lt;4x/ano)"))))</f>
        <v/>
      </c>
    </row>
    <row r="50" customFormat="false" ht="15" hidden="false" customHeight="tru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18"/>
      <c r="L50" s="19" t="str">
        <f aca="false">IF(A50="","",G50*K50)</f>
        <v/>
      </c>
      <c r="M50" s="20"/>
      <c r="N50" s="6"/>
      <c r="O50" s="6"/>
      <c r="P50" s="5" t="str">
        <f aca="false">IF(A50="","",H50/90)</f>
        <v/>
      </c>
      <c r="Q50" s="5" t="str">
        <f aca="false">IF(A50="","",IFERROR(INDEX(Parâmetros!$C$6:$C$10,MATCH(F50,Parâmetros!$B$6:$B$10,0)),""))</f>
        <v/>
      </c>
      <c r="R50" s="5" t="str">
        <f aca="false">IF(OR(A50="",P50="",Q50=""),"",P50*Q50)</f>
        <v/>
      </c>
      <c r="S50" s="5" t="str">
        <f aca="false">IF(R50="","",MAX(0,R50-G50))</f>
        <v/>
      </c>
      <c r="T50" s="21" t="str">
        <f aca="false">IF(S50="","",S50*K50)</f>
        <v/>
      </c>
      <c r="U50" s="5" t="str">
        <f aca="false">IF(A50="","",IF(J50&gt;Parâmetros!$C$14,"SIM","NAO"))</f>
        <v/>
      </c>
      <c r="V50" s="5" t="str">
        <f aca="false">IF(B50="","",TRIM(LEFT(B50,IFERROR(FIND(" ",B50)-1,LEN(B50)))))</f>
        <v/>
      </c>
      <c r="W50" s="22"/>
      <c r="X50" s="5" t="str">
        <f aca="false">IF(A50="","",IF(W50&lt;&gt;"",W50,V50))</f>
        <v/>
      </c>
      <c r="Y50" s="5" t="str">
        <f aca="false">IF(A50="","",IF(COUNTIFS($X$2:$X$2001,X50,$D$2:$D$2001,"&lt;&gt;"&amp;D50,$C$2:$C$2001,C50)&gt;0,"SIM","NAO"))</f>
        <v/>
      </c>
      <c r="Z50" s="5" t="str">
        <f aca="false">IF(A50="","",IF(J50="","",IFERROR(360/J50,"")))</f>
        <v/>
      </c>
      <c r="AA50" s="5" t="str">
        <f aca="false">IF(A50="","",IF(H50=0,"Parado (sem venda 90d)",IF(Z50&gt;12,"Alto (&gt;12x/ano)",IF(Z50&gt;=4,"Medio (4-12x/ano)","Baixo (&lt;4x/ano)"))))</f>
        <v/>
      </c>
    </row>
    <row r="51" customFormat="false" ht="15" hidden="false" customHeight="tru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18"/>
      <c r="L51" s="19" t="str">
        <f aca="false">IF(A51="","",G51*K51)</f>
        <v/>
      </c>
      <c r="M51" s="20"/>
      <c r="N51" s="6"/>
      <c r="O51" s="6"/>
      <c r="P51" s="5" t="str">
        <f aca="false">IF(A51="","",H51/90)</f>
        <v/>
      </c>
      <c r="Q51" s="5" t="str">
        <f aca="false">IF(A51="","",IFERROR(INDEX(Parâmetros!$C$6:$C$10,MATCH(F51,Parâmetros!$B$6:$B$10,0)),""))</f>
        <v/>
      </c>
      <c r="R51" s="5" t="str">
        <f aca="false">IF(OR(A51="",P51="",Q51=""),"",P51*Q51)</f>
        <v/>
      </c>
      <c r="S51" s="5" t="str">
        <f aca="false">IF(R51="","",MAX(0,R51-G51))</f>
        <v/>
      </c>
      <c r="T51" s="21" t="str">
        <f aca="false">IF(S51="","",S51*K51)</f>
        <v/>
      </c>
      <c r="U51" s="5" t="str">
        <f aca="false">IF(A51="","",IF(J51&gt;Parâmetros!$C$14,"SIM","NAO"))</f>
        <v/>
      </c>
      <c r="V51" s="5" t="str">
        <f aca="false">IF(B51="","",TRIM(LEFT(B51,IFERROR(FIND(" ",B51)-1,LEN(B51)))))</f>
        <v/>
      </c>
      <c r="W51" s="22"/>
      <c r="X51" s="5" t="str">
        <f aca="false">IF(A51="","",IF(W51&lt;&gt;"",W51,V51))</f>
        <v/>
      </c>
      <c r="Y51" s="5" t="str">
        <f aca="false">IF(A51="","",IF(COUNTIFS($X$2:$X$2001,X51,$D$2:$D$2001,"&lt;&gt;"&amp;D51,$C$2:$C$2001,C51)&gt;0,"SIM","NAO"))</f>
        <v/>
      </c>
      <c r="Z51" s="5" t="str">
        <f aca="false">IF(A51="","",IF(J51="","",IFERROR(360/J51,"")))</f>
        <v/>
      </c>
      <c r="AA51" s="5" t="str">
        <f aca="false">IF(A51="","",IF(H51=0,"Parado (sem venda 90d)",IF(Z51&gt;12,"Alto (&gt;12x/ano)",IF(Z51&gt;=4,"Medio (4-12x/ano)","Baixo (&lt;4x/ano)"))))</f>
        <v/>
      </c>
    </row>
    <row r="52" customFormat="false" ht="15" hidden="false" customHeight="tru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18"/>
      <c r="L52" s="19" t="str">
        <f aca="false">IF(A52="","",G52*K52)</f>
        <v/>
      </c>
      <c r="M52" s="20"/>
      <c r="N52" s="6"/>
      <c r="O52" s="6"/>
      <c r="P52" s="5" t="str">
        <f aca="false">IF(A52="","",H52/90)</f>
        <v/>
      </c>
      <c r="Q52" s="5" t="str">
        <f aca="false">IF(A52="","",IFERROR(INDEX(Parâmetros!$C$6:$C$10,MATCH(F52,Parâmetros!$B$6:$B$10,0)),""))</f>
        <v/>
      </c>
      <c r="R52" s="5" t="str">
        <f aca="false">IF(OR(A52="",P52="",Q52=""),"",P52*Q52)</f>
        <v/>
      </c>
      <c r="S52" s="5" t="str">
        <f aca="false">IF(R52="","",MAX(0,R52-G52))</f>
        <v/>
      </c>
      <c r="T52" s="21" t="str">
        <f aca="false">IF(S52="","",S52*K52)</f>
        <v/>
      </c>
      <c r="U52" s="5" t="str">
        <f aca="false">IF(A52="","",IF(J52&gt;Parâmetros!$C$14,"SIM","NAO"))</f>
        <v/>
      </c>
      <c r="V52" s="5" t="str">
        <f aca="false">IF(B52="","",TRIM(LEFT(B52,IFERROR(FIND(" ",B52)-1,LEN(B52)))))</f>
        <v/>
      </c>
      <c r="W52" s="22"/>
      <c r="X52" s="5" t="str">
        <f aca="false">IF(A52="","",IF(W52&lt;&gt;"",W52,V52))</f>
        <v/>
      </c>
      <c r="Y52" s="5" t="str">
        <f aca="false">IF(A52="","",IF(COUNTIFS($X$2:$X$2001,X52,$D$2:$D$2001,"&lt;&gt;"&amp;D52,$C$2:$C$2001,C52)&gt;0,"SIM","NAO"))</f>
        <v/>
      </c>
      <c r="Z52" s="5" t="str">
        <f aca="false">IF(A52="","",IF(J52="","",IFERROR(360/J52,"")))</f>
        <v/>
      </c>
      <c r="AA52" s="5" t="str">
        <f aca="false">IF(A52="","",IF(H52=0,"Parado (sem venda 90d)",IF(Z52&gt;12,"Alto (&gt;12x/ano)",IF(Z52&gt;=4,"Medio (4-12x/ano)","Baixo (&lt;4x/ano)"))))</f>
        <v/>
      </c>
    </row>
    <row r="53" customFormat="false" ht="15" hidden="false" customHeight="tru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18"/>
      <c r="L53" s="19" t="str">
        <f aca="false">IF(A53="","",G53*K53)</f>
        <v/>
      </c>
      <c r="M53" s="20"/>
      <c r="N53" s="6"/>
      <c r="O53" s="6"/>
      <c r="P53" s="5" t="str">
        <f aca="false">IF(A53="","",H53/90)</f>
        <v/>
      </c>
      <c r="Q53" s="5" t="str">
        <f aca="false">IF(A53="","",IFERROR(INDEX(Parâmetros!$C$6:$C$10,MATCH(F53,Parâmetros!$B$6:$B$10,0)),""))</f>
        <v/>
      </c>
      <c r="R53" s="5" t="str">
        <f aca="false">IF(OR(A53="",P53="",Q53=""),"",P53*Q53)</f>
        <v/>
      </c>
      <c r="S53" s="5" t="str">
        <f aca="false">IF(R53="","",MAX(0,R53-G53))</f>
        <v/>
      </c>
      <c r="T53" s="21" t="str">
        <f aca="false">IF(S53="","",S53*K53)</f>
        <v/>
      </c>
      <c r="U53" s="5" t="str">
        <f aca="false">IF(A53="","",IF(J53&gt;Parâmetros!$C$14,"SIM","NAO"))</f>
        <v/>
      </c>
      <c r="V53" s="5" t="str">
        <f aca="false">IF(B53="","",TRIM(LEFT(B53,IFERROR(FIND(" ",B53)-1,LEN(B53)))))</f>
        <v/>
      </c>
      <c r="W53" s="22"/>
      <c r="X53" s="5" t="str">
        <f aca="false">IF(A53="","",IF(W53&lt;&gt;"",W53,V53))</f>
        <v/>
      </c>
      <c r="Y53" s="5" t="str">
        <f aca="false">IF(A53="","",IF(COUNTIFS($X$2:$X$2001,X53,$D$2:$D$2001,"&lt;&gt;"&amp;D53,$C$2:$C$2001,C53)&gt;0,"SIM","NAO"))</f>
        <v/>
      </c>
      <c r="Z53" s="5" t="str">
        <f aca="false">IF(A53="","",IF(J53="","",IFERROR(360/J53,"")))</f>
        <v/>
      </c>
      <c r="AA53" s="5" t="str">
        <f aca="false">IF(A53="","",IF(H53=0,"Parado (sem venda 90d)",IF(Z53&gt;12,"Alto (&gt;12x/ano)",IF(Z53&gt;=4,"Medio (4-12x/ano)","Baixo (&lt;4x/ano)"))))</f>
        <v/>
      </c>
    </row>
    <row r="54" customFormat="false" ht="15" hidden="false" customHeight="tru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18"/>
      <c r="L54" s="19" t="str">
        <f aca="false">IF(A54="","",G54*K54)</f>
        <v/>
      </c>
      <c r="M54" s="20"/>
      <c r="N54" s="6"/>
      <c r="O54" s="6"/>
      <c r="P54" s="5" t="str">
        <f aca="false">IF(A54="","",H54/90)</f>
        <v/>
      </c>
      <c r="Q54" s="5" t="str">
        <f aca="false">IF(A54="","",IFERROR(INDEX(Parâmetros!$C$6:$C$10,MATCH(F54,Parâmetros!$B$6:$B$10,0)),""))</f>
        <v/>
      </c>
      <c r="R54" s="5" t="str">
        <f aca="false">IF(OR(A54="",P54="",Q54=""),"",P54*Q54)</f>
        <v/>
      </c>
      <c r="S54" s="5" t="str">
        <f aca="false">IF(R54="","",MAX(0,R54-G54))</f>
        <v/>
      </c>
      <c r="T54" s="21" t="str">
        <f aca="false">IF(S54="","",S54*K54)</f>
        <v/>
      </c>
      <c r="U54" s="5" t="str">
        <f aca="false">IF(A54="","",IF(J54&gt;Parâmetros!$C$14,"SIM","NAO"))</f>
        <v/>
      </c>
      <c r="V54" s="5" t="str">
        <f aca="false">IF(B54="","",TRIM(LEFT(B54,IFERROR(FIND(" ",B54)-1,LEN(B54)))))</f>
        <v/>
      </c>
      <c r="W54" s="22"/>
      <c r="X54" s="5" t="str">
        <f aca="false">IF(A54="","",IF(W54&lt;&gt;"",W54,V54))</f>
        <v/>
      </c>
      <c r="Y54" s="5" t="str">
        <f aca="false">IF(A54="","",IF(COUNTIFS($X$2:$X$2001,X54,$D$2:$D$2001,"&lt;&gt;"&amp;D54,$C$2:$C$2001,C54)&gt;0,"SIM","NAO"))</f>
        <v/>
      </c>
      <c r="Z54" s="5" t="str">
        <f aca="false">IF(A54="","",IF(J54="","",IFERROR(360/J54,"")))</f>
        <v/>
      </c>
      <c r="AA54" s="5" t="str">
        <f aca="false">IF(A54="","",IF(H54=0,"Parado (sem venda 90d)",IF(Z54&gt;12,"Alto (&gt;12x/ano)",IF(Z54&gt;=4,"Medio (4-12x/ano)","Baixo (&lt;4x/ano)"))))</f>
        <v/>
      </c>
    </row>
    <row r="55" customFormat="false" ht="15" hidden="false" customHeight="tru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18"/>
      <c r="L55" s="19" t="str">
        <f aca="false">IF(A55="","",G55*K55)</f>
        <v/>
      </c>
      <c r="M55" s="20"/>
      <c r="N55" s="6"/>
      <c r="O55" s="6"/>
      <c r="P55" s="5" t="str">
        <f aca="false">IF(A55="","",H55/90)</f>
        <v/>
      </c>
      <c r="Q55" s="5" t="str">
        <f aca="false">IF(A55="","",IFERROR(INDEX(Parâmetros!$C$6:$C$10,MATCH(F55,Parâmetros!$B$6:$B$10,0)),""))</f>
        <v/>
      </c>
      <c r="R55" s="5" t="str">
        <f aca="false">IF(OR(A55="",P55="",Q55=""),"",P55*Q55)</f>
        <v/>
      </c>
      <c r="S55" s="5" t="str">
        <f aca="false">IF(R55="","",MAX(0,R55-G55))</f>
        <v/>
      </c>
      <c r="T55" s="21" t="str">
        <f aca="false">IF(S55="","",S55*K55)</f>
        <v/>
      </c>
      <c r="U55" s="5" t="str">
        <f aca="false">IF(A55="","",IF(J55&gt;Parâmetros!$C$14,"SIM","NAO"))</f>
        <v/>
      </c>
      <c r="V55" s="5" t="str">
        <f aca="false">IF(B55="","",TRIM(LEFT(B55,IFERROR(FIND(" ",B55)-1,LEN(B55)))))</f>
        <v/>
      </c>
      <c r="W55" s="22"/>
      <c r="X55" s="5" t="str">
        <f aca="false">IF(A55="","",IF(W55&lt;&gt;"",W55,V55))</f>
        <v/>
      </c>
      <c r="Y55" s="5" t="str">
        <f aca="false">IF(A55="","",IF(COUNTIFS($X$2:$X$2001,X55,$D$2:$D$2001,"&lt;&gt;"&amp;D55,$C$2:$C$2001,C55)&gt;0,"SIM","NAO"))</f>
        <v/>
      </c>
      <c r="Z55" s="5" t="str">
        <f aca="false">IF(A55="","",IF(J55="","",IFERROR(360/J55,"")))</f>
        <v/>
      </c>
      <c r="AA55" s="5" t="str">
        <f aca="false">IF(A55="","",IF(H55=0,"Parado (sem venda 90d)",IF(Z55&gt;12,"Alto (&gt;12x/ano)",IF(Z55&gt;=4,"Medio (4-12x/ano)","Baixo (&lt;4x/ano)"))))</f>
        <v/>
      </c>
    </row>
    <row r="56" customFormat="false" ht="15" hidden="false" customHeight="tru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18"/>
      <c r="L56" s="19" t="str">
        <f aca="false">IF(A56="","",G56*K56)</f>
        <v/>
      </c>
      <c r="M56" s="20"/>
      <c r="N56" s="6"/>
      <c r="O56" s="6"/>
      <c r="P56" s="5" t="str">
        <f aca="false">IF(A56="","",H56/90)</f>
        <v/>
      </c>
      <c r="Q56" s="5" t="str">
        <f aca="false">IF(A56="","",IFERROR(INDEX(Parâmetros!$C$6:$C$10,MATCH(F56,Parâmetros!$B$6:$B$10,0)),""))</f>
        <v/>
      </c>
      <c r="R56" s="5" t="str">
        <f aca="false">IF(OR(A56="",P56="",Q56=""),"",P56*Q56)</f>
        <v/>
      </c>
      <c r="S56" s="5" t="str">
        <f aca="false">IF(R56="","",MAX(0,R56-G56))</f>
        <v/>
      </c>
      <c r="T56" s="21" t="str">
        <f aca="false">IF(S56="","",S56*K56)</f>
        <v/>
      </c>
      <c r="U56" s="5" t="str">
        <f aca="false">IF(A56="","",IF(J56&gt;Parâmetros!$C$14,"SIM","NAO"))</f>
        <v/>
      </c>
      <c r="V56" s="5" t="str">
        <f aca="false">IF(B56="","",TRIM(LEFT(B56,IFERROR(FIND(" ",B56)-1,LEN(B56)))))</f>
        <v/>
      </c>
      <c r="W56" s="22"/>
      <c r="X56" s="5" t="str">
        <f aca="false">IF(A56="","",IF(W56&lt;&gt;"",W56,V56))</f>
        <v/>
      </c>
      <c r="Y56" s="5" t="str">
        <f aca="false">IF(A56="","",IF(COUNTIFS($X$2:$X$2001,X56,$D$2:$D$2001,"&lt;&gt;"&amp;D56,$C$2:$C$2001,C56)&gt;0,"SIM","NAO"))</f>
        <v/>
      </c>
      <c r="Z56" s="5" t="str">
        <f aca="false">IF(A56="","",IF(J56="","",IFERROR(360/J56,"")))</f>
        <v/>
      </c>
      <c r="AA56" s="5" t="str">
        <f aca="false">IF(A56="","",IF(H56=0,"Parado (sem venda 90d)",IF(Z56&gt;12,"Alto (&gt;12x/ano)",IF(Z56&gt;=4,"Medio (4-12x/ano)","Baixo (&lt;4x/ano)"))))</f>
        <v/>
      </c>
    </row>
    <row r="57" customFormat="false" ht="15" hidden="false" customHeight="tru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18"/>
      <c r="L57" s="19" t="str">
        <f aca="false">IF(A57="","",G57*K57)</f>
        <v/>
      </c>
      <c r="M57" s="20"/>
      <c r="N57" s="6"/>
      <c r="O57" s="6"/>
      <c r="P57" s="5" t="str">
        <f aca="false">IF(A57="","",H57/90)</f>
        <v/>
      </c>
      <c r="Q57" s="5" t="str">
        <f aca="false">IF(A57="","",IFERROR(INDEX(Parâmetros!$C$6:$C$10,MATCH(F57,Parâmetros!$B$6:$B$10,0)),""))</f>
        <v/>
      </c>
      <c r="R57" s="5" t="str">
        <f aca="false">IF(OR(A57="",P57="",Q57=""),"",P57*Q57)</f>
        <v/>
      </c>
      <c r="S57" s="5" t="str">
        <f aca="false">IF(R57="","",MAX(0,R57-G57))</f>
        <v/>
      </c>
      <c r="T57" s="21" t="str">
        <f aca="false">IF(S57="","",S57*K57)</f>
        <v/>
      </c>
      <c r="U57" s="5" t="str">
        <f aca="false">IF(A57="","",IF(J57&gt;Parâmetros!$C$14,"SIM","NAO"))</f>
        <v/>
      </c>
      <c r="V57" s="5" t="str">
        <f aca="false">IF(B57="","",TRIM(LEFT(B57,IFERROR(FIND(" ",B57)-1,LEN(B57)))))</f>
        <v/>
      </c>
      <c r="W57" s="22"/>
      <c r="X57" s="5" t="str">
        <f aca="false">IF(A57="","",IF(W57&lt;&gt;"",W57,V57))</f>
        <v/>
      </c>
      <c r="Y57" s="5" t="str">
        <f aca="false">IF(A57="","",IF(COUNTIFS($X$2:$X$2001,X57,$D$2:$D$2001,"&lt;&gt;"&amp;D57,$C$2:$C$2001,C57)&gt;0,"SIM","NAO"))</f>
        <v/>
      </c>
      <c r="Z57" s="5" t="str">
        <f aca="false">IF(A57="","",IF(J57="","",IFERROR(360/J57,"")))</f>
        <v/>
      </c>
      <c r="AA57" s="5" t="str">
        <f aca="false">IF(A57="","",IF(H57=0,"Parado (sem venda 90d)",IF(Z57&gt;12,"Alto (&gt;12x/ano)",IF(Z57&gt;=4,"Medio (4-12x/ano)","Baixo (&lt;4x/ano)"))))</f>
        <v/>
      </c>
    </row>
    <row r="58" customFormat="false" ht="15" hidden="false" customHeight="tru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18"/>
      <c r="L58" s="19" t="str">
        <f aca="false">IF(A58="","",G58*K58)</f>
        <v/>
      </c>
      <c r="M58" s="20"/>
      <c r="N58" s="6"/>
      <c r="O58" s="6"/>
      <c r="P58" s="5" t="str">
        <f aca="false">IF(A58="","",H58/90)</f>
        <v/>
      </c>
      <c r="Q58" s="5" t="str">
        <f aca="false">IF(A58="","",IFERROR(INDEX(Parâmetros!$C$6:$C$10,MATCH(F58,Parâmetros!$B$6:$B$10,0)),""))</f>
        <v/>
      </c>
      <c r="R58" s="5" t="str">
        <f aca="false">IF(OR(A58="",P58="",Q58=""),"",P58*Q58)</f>
        <v/>
      </c>
      <c r="S58" s="5" t="str">
        <f aca="false">IF(R58="","",MAX(0,R58-G58))</f>
        <v/>
      </c>
      <c r="T58" s="21" t="str">
        <f aca="false">IF(S58="","",S58*K58)</f>
        <v/>
      </c>
      <c r="U58" s="5" t="str">
        <f aca="false">IF(A58="","",IF(J58&gt;Parâmetros!$C$14,"SIM","NAO"))</f>
        <v/>
      </c>
      <c r="V58" s="5" t="str">
        <f aca="false">IF(B58="","",TRIM(LEFT(B58,IFERROR(FIND(" ",B58)-1,LEN(B58)))))</f>
        <v/>
      </c>
      <c r="W58" s="22"/>
      <c r="X58" s="5" t="str">
        <f aca="false">IF(A58="","",IF(W58&lt;&gt;"",W58,V58))</f>
        <v/>
      </c>
      <c r="Y58" s="5" t="str">
        <f aca="false">IF(A58="","",IF(COUNTIFS($X$2:$X$2001,X58,$D$2:$D$2001,"&lt;&gt;"&amp;D58,$C$2:$C$2001,C58)&gt;0,"SIM","NAO"))</f>
        <v/>
      </c>
      <c r="Z58" s="5" t="str">
        <f aca="false">IF(A58="","",IF(J58="","",IFERROR(360/J58,"")))</f>
        <v/>
      </c>
      <c r="AA58" s="5" t="str">
        <f aca="false">IF(A58="","",IF(H58=0,"Parado (sem venda 90d)",IF(Z58&gt;12,"Alto (&gt;12x/ano)",IF(Z58&gt;=4,"Medio (4-12x/ano)","Baixo (&lt;4x/ano)"))))</f>
        <v/>
      </c>
    </row>
    <row r="59" customFormat="false" ht="15" hidden="false" customHeight="tru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18"/>
      <c r="L59" s="19" t="str">
        <f aca="false">IF(A59="","",G59*K59)</f>
        <v/>
      </c>
      <c r="M59" s="20"/>
      <c r="N59" s="6"/>
      <c r="O59" s="6"/>
      <c r="P59" s="5" t="str">
        <f aca="false">IF(A59="","",H59/90)</f>
        <v/>
      </c>
      <c r="Q59" s="5" t="str">
        <f aca="false">IF(A59="","",IFERROR(INDEX(Parâmetros!$C$6:$C$10,MATCH(F59,Parâmetros!$B$6:$B$10,0)),""))</f>
        <v/>
      </c>
      <c r="R59" s="5" t="str">
        <f aca="false">IF(OR(A59="",P59="",Q59=""),"",P59*Q59)</f>
        <v/>
      </c>
      <c r="S59" s="5" t="str">
        <f aca="false">IF(R59="","",MAX(0,R59-G59))</f>
        <v/>
      </c>
      <c r="T59" s="21" t="str">
        <f aca="false">IF(S59="","",S59*K59)</f>
        <v/>
      </c>
      <c r="U59" s="5" t="str">
        <f aca="false">IF(A59="","",IF(J59&gt;Parâmetros!$C$14,"SIM","NAO"))</f>
        <v/>
      </c>
      <c r="V59" s="5" t="str">
        <f aca="false">IF(B59="","",TRIM(LEFT(B59,IFERROR(FIND(" ",B59)-1,LEN(B59)))))</f>
        <v/>
      </c>
      <c r="W59" s="22"/>
      <c r="X59" s="5" t="str">
        <f aca="false">IF(A59="","",IF(W59&lt;&gt;"",W59,V59))</f>
        <v/>
      </c>
      <c r="Y59" s="5" t="str">
        <f aca="false">IF(A59="","",IF(COUNTIFS($X$2:$X$2001,X59,$D$2:$D$2001,"&lt;&gt;"&amp;D59,$C$2:$C$2001,C59)&gt;0,"SIM","NAO"))</f>
        <v/>
      </c>
      <c r="Z59" s="5" t="str">
        <f aca="false">IF(A59="","",IF(J59="","",IFERROR(360/J59,"")))</f>
        <v/>
      </c>
      <c r="AA59" s="5" t="str">
        <f aca="false">IF(A59="","",IF(H59=0,"Parado (sem venda 90d)",IF(Z59&gt;12,"Alto (&gt;12x/ano)",IF(Z59&gt;=4,"Medio (4-12x/ano)","Baixo (&lt;4x/ano)"))))</f>
        <v/>
      </c>
    </row>
    <row r="60" customFormat="false" ht="15" hidden="false" customHeight="tru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  <c r="K60" s="18"/>
      <c r="L60" s="19" t="str">
        <f aca="false">IF(A60="","",G60*K60)</f>
        <v/>
      </c>
      <c r="M60" s="20"/>
      <c r="N60" s="6"/>
      <c r="O60" s="6"/>
      <c r="P60" s="5" t="str">
        <f aca="false">IF(A60="","",H60/90)</f>
        <v/>
      </c>
      <c r="Q60" s="5" t="str">
        <f aca="false">IF(A60="","",IFERROR(INDEX(Parâmetros!$C$6:$C$10,MATCH(F60,Parâmetros!$B$6:$B$10,0)),""))</f>
        <v/>
      </c>
      <c r="R60" s="5" t="str">
        <f aca="false">IF(OR(A60="",P60="",Q60=""),"",P60*Q60)</f>
        <v/>
      </c>
      <c r="S60" s="5" t="str">
        <f aca="false">IF(R60="","",MAX(0,R60-G60))</f>
        <v/>
      </c>
      <c r="T60" s="21" t="str">
        <f aca="false">IF(S60="","",S60*K60)</f>
        <v/>
      </c>
      <c r="U60" s="5" t="str">
        <f aca="false">IF(A60="","",IF(J60&gt;Parâmetros!$C$14,"SIM","NAO"))</f>
        <v/>
      </c>
      <c r="V60" s="5" t="str">
        <f aca="false">IF(B60="","",TRIM(LEFT(B60,IFERROR(FIND(" ",B60)-1,LEN(B60)))))</f>
        <v/>
      </c>
      <c r="W60" s="22"/>
      <c r="X60" s="5" t="str">
        <f aca="false">IF(A60="","",IF(W60&lt;&gt;"",W60,V60))</f>
        <v/>
      </c>
      <c r="Y60" s="5" t="str">
        <f aca="false">IF(A60="","",IF(COUNTIFS($X$2:$X$2001,X60,$D$2:$D$2001,"&lt;&gt;"&amp;D60,$C$2:$C$2001,C60)&gt;0,"SIM","NAO"))</f>
        <v/>
      </c>
      <c r="Z60" s="5" t="str">
        <f aca="false">IF(A60="","",IF(J60="","",IFERROR(360/J60,"")))</f>
        <v/>
      </c>
      <c r="AA60" s="5" t="str">
        <f aca="false">IF(A60="","",IF(H60=0,"Parado (sem venda 90d)",IF(Z60&gt;12,"Alto (&gt;12x/ano)",IF(Z60&gt;=4,"Medio (4-12x/ano)","Baixo (&lt;4x/ano)"))))</f>
        <v/>
      </c>
    </row>
    <row r="61" customFormat="false" ht="15" hidden="false" customHeight="tru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  <c r="K61" s="18"/>
      <c r="L61" s="19" t="str">
        <f aca="false">IF(A61="","",G61*K61)</f>
        <v/>
      </c>
      <c r="M61" s="20"/>
      <c r="N61" s="6"/>
      <c r="O61" s="6"/>
      <c r="P61" s="5" t="str">
        <f aca="false">IF(A61="","",H61/90)</f>
        <v/>
      </c>
      <c r="Q61" s="5" t="str">
        <f aca="false">IF(A61="","",IFERROR(INDEX(Parâmetros!$C$6:$C$10,MATCH(F61,Parâmetros!$B$6:$B$10,0)),""))</f>
        <v/>
      </c>
      <c r="R61" s="5" t="str">
        <f aca="false">IF(OR(A61="",P61="",Q61=""),"",P61*Q61)</f>
        <v/>
      </c>
      <c r="S61" s="5" t="str">
        <f aca="false">IF(R61="","",MAX(0,R61-G61))</f>
        <v/>
      </c>
      <c r="T61" s="21" t="str">
        <f aca="false">IF(S61="","",S61*K61)</f>
        <v/>
      </c>
      <c r="U61" s="5" t="str">
        <f aca="false">IF(A61="","",IF(J61&gt;Parâmetros!$C$14,"SIM","NAO"))</f>
        <v/>
      </c>
      <c r="V61" s="5" t="str">
        <f aca="false">IF(B61="","",TRIM(LEFT(B61,IFERROR(FIND(" ",B61)-1,LEN(B61)))))</f>
        <v/>
      </c>
      <c r="W61" s="22"/>
      <c r="X61" s="5" t="str">
        <f aca="false">IF(A61="","",IF(W61&lt;&gt;"",W61,V61))</f>
        <v/>
      </c>
      <c r="Y61" s="5" t="str">
        <f aca="false">IF(A61="","",IF(COUNTIFS($X$2:$X$2001,X61,$D$2:$D$2001,"&lt;&gt;"&amp;D61,$C$2:$C$2001,C61)&gt;0,"SIM","NAO"))</f>
        <v/>
      </c>
      <c r="Z61" s="5" t="str">
        <f aca="false">IF(A61="","",IF(J61="","",IFERROR(360/J61,"")))</f>
        <v/>
      </c>
      <c r="AA61" s="5" t="str">
        <f aca="false">IF(A61="","",IF(H61=0,"Parado (sem venda 90d)",IF(Z61&gt;12,"Alto (&gt;12x/ano)",IF(Z61&gt;=4,"Medio (4-12x/ano)","Baixo (&lt;4x/ano)"))))</f>
        <v/>
      </c>
    </row>
    <row r="62" customFormat="false" ht="15" hidden="false" customHeight="tru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18"/>
      <c r="L62" s="19" t="str">
        <f aca="false">IF(A62="","",G62*K62)</f>
        <v/>
      </c>
      <c r="M62" s="20"/>
      <c r="N62" s="6"/>
      <c r="O62" s="6"/>
      <c r="P62" s="5" t="str">
        <f aca="false">IF(A62="","",H62/90)</f>
        <v/>
      </c>
      <c r="Q62" s="5" t="str">
        <f aca="false">IF(A62="","",IFERROR(INDEX(Parâmetros!$C$6:$C$10,MATCH(F62,Parâmetros!$B$6:$B$10,0)),""))</f>
        <v/>
      </c>
      <c r="R62" s="5" t="str">
        <f aca="false">IF(OR(A62="",P62="",Q62=""),"",P62*Q62)</f>
        <v/>
      </c>
      <c r="S62" s="5" t="str">
        <f aca="false">IF(R62="","",MAX(0,R62-G62))</f>
        <v/>
      </c>
      <c r="T62" s="21" t="str">
        <f aca="false">IF(S62="","",S62*K62)</f>
        <v/>
      </c>
      <c r="U62" s="5" t="str">
        <f aca="false">IF(A62="","",IF(J62&gt;Parâmetros!$C$14,"SIM","NAO"))</f>
        <v/>
      </c>
      <c r="V62" s="5" t="str">
        <f aca="false">IF(B62="","",TRIM(LEFT(B62,IFERROR(FIND(" ",B62)-1,LEN(B62)))))</f>
        <v/>
      </c>
      <c r="W62" s="22"/>
      <c r="X62" s="5" t="str">
        <f aca="false">IF(A62="","",IF(W62&lt;&gt;"",W62,V62))</f>
        <v/>
      </c>
      <c r="Y62" s="5" t="str">
        <f aca="false">IF(A62="","",IF(COUNTIFS($X$2:$X$2001,X62,$D$2:$D$2001,"&lt;&gt;"&amp;D62,$C$2:$C$2001,C62)&gt;0,"SIM","NAO"))</f>
        <v/>
      </c>
      <c r="Z62" s="5" t="str">
        <f aca="false">IF(A62="","",IF(J62="","",IFERROR(360/J62,"")))</f>
        <v/>
      </c>
      <c r="AA62" s="5" t="str">
        <f aca="false">IF(A62="","",IF(H62=0,"Parado (sem venda 90d)",IF(Z62&gt;12,"Alto (&gt;12x/ano)",IF(Z62&gt;=4,"Medio (4-12x/ano)","Baixo (&lt;4x/ano)"))))</f>
        <v/>
      </c>
    </row>
    <row r="63" customFormat="false" ht="15" hidden="false" customHeight="tru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  <c r="K63" s="18"/>
      <c r="L63" s="19" t="str">
        <f aca="false">IF(A63="","",G63*K63)</f>
        <v/>
      </c>
      <c r="M63" s="20"/>
      <c r="N63" s="6"/>
      <c r="O63" s="6"/>
      <c r="P63" s="5" t="str">
        <f aca="false">IF(A63="","",H63/90)</f>
        <v/>
      </c>
      <c r="Q63" s="5" t="str">
        <f aca="false">IF(A63="","",IFERROR(INDEX(Parâmetros!$C$6:$C$10,MATCH(F63,Parâmetros!$B$6:$B$10,0)),""))</f>
        <v/>
      </c>
      <c r="R63" s="5" t="str">
        <f aca="false">IF(OR(A63="",P63="",Q63=""),"",P63*Q63)</f>
        <v/>
      </c>
      <c r="S63" s="5" t="str">
        <f aca="false">IF(R63="","",MAX(0,R63-G63))</f>
        <v/>
      </c>
      <c r="T63" s="21" t="str">
        <f aca="false">IF(S63="","",S63*K63)</f>
        <v/>
      </c>
      <c r="U63" s="5" t="str">
        <f aca="false">IF(A63="","",IF(J63&gt;Parâmetros!$C$14,"SIM","NAO"))</f>
        <v/>
      </c>
      <c r="V63" s="5" t="str">
        <f aca="false">IF(B63="","",TRIM(LEFT(B63,IFERROR(FIND(" ",B63)-1,LEN(B63)))))</f>
        <v/>
      </c>
      <c r="W63" s="22"/>
      <c r="X63" s="5" t="str">
        <f aca="false">IF(A63="","",IF(W63&lt;&gt;"",W63,V63))</f>
        <v/>
      </c>
      <c r="Y63" s="5" t="str">
        <f aca="false">IF(A63="","",IF(COUNTIFS($X$2:$X$2001,X63,$D$2:$D$2001,"&lt;&gt;"&amp;D63,$C$2:$C$2001,C63)&gt;0,"SIM","NAO"))</f>
        <v/>
      </c>
      <c r="Z63" s="5" t="str">
        <f aca="false">IF(A63="","",IF(J63="","",IFERROR(360/J63,"")))</f>
        <v/>
      </c>
      <c r="AA63" s="5" t="str">
        <f aca="false">IF(A63="","",IF(H63=0,"Parado (sem venda 90d)",IF(Z63&gt;12,"Alto (&gt;12x/ano)",IF(Z63&gt;=4,"Medio (4-12x/ano)","Baixo (&lt;4x/ano)"))))</f>
        <v/>
      </c>
    </row>
    <row r="64" customFormat="false" ht="15" hidden="false" customHeight="tru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K64" s="18"/>
      <c r="L64" s="19" t="str">
        <f aca="false">IF(A64="","",G64*K64)</f>
        <v/>
      </c>
      <c r="M64" s="20"/>
      <c r="N64" s="6"/>
      <c r="O64" s="6"/>
      <c r="P64" s="5" t="str">
        <f aca="false">IF(A64="","",H64/90)</f>
        <v/>
      </c>
      <c r="Q64" s="5" t="str">
        <f aca="false">IF(A64="","",IFERROR(INDEX(Parâmetros!$C$6:$C$10,MATCH(F64,Parâmetros!$B$6:$B$10,0)),""))</f>
        <v/>
      </c>
      <c r="R64" s="5" t="str">
        <f aca="false">IF(OR(A64="",P64="",Q64=""),"",P64*Q64)</f>
        <v/>
      </c>
      <c r="S64" s="5" t="str">
        <f aca="false">IF(R64="","",MAX(0,R64-G64))</f>
        <v/>
      </c>
      <c r="T64" s="21" t="str">
        <f aca="false">IF(S64="","",S64*K64)</f>
        <v/>
      </c>
      <c r="U64" s="5" t="str">
        <f aca="false">IF(A64="","",IF(J64&gt;Parâmetros!$C$14,"SIM","NAO"))</f>
        <v/>
      </c>
      <c r="V64" s="5" t="str">
        <f aca="false">IF(B64="","",TRIM(LEFT(B64,IFERROR(FIND(" ",B64)-1,LEN(B64)))))</f>
        <v/>
      </c>
      <c r="W64" s="22"/>
      <c r="X64" s="5" t="str">
        <f aca="false">IF(A64="","",IF(W64&lt;&gt;"",W64,V64))</f>
        <v/>
      </c>
      <c r="Y64" s="5" t="str">
        <f aca="false">IF(A64="","",IF(COUNTIFS($X$2:$X$2001,X64,$D$2:$D$2001,"&lt;&gt;"&amp;D64,$C$2:$C$2001,C64)&gt;0,"SIM","NAO"))</f>
        <v/>
      </c>
      <c r="Z64" s="5" t="str">
        <f aca="false">IF(A64="","",IF(J64="","",IFERROR(360/J64,"")))</f>
        <v/>
      </c>
      <c r="AA64" s="5" t="str">
        <f aca="false">IF(A64="","",IF(H64=0,"Parado (sem venda 90d)",IF(Z64&gt;12,"Alto (&gt;12x/ano)",IF(Z64&gt;=4,"Medio (4-12x/ano)","Baixo (&lt;4x/ano)"))))</f>
        <v/>
      </c>
    </row>
    <row r="65" customFormat="false" ht="15" hidden="false" customHeight="tru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  <c r="K65" s="18"/>
      <c r="L65" s="19" t="str">
        <f aca="false">IF(A65="","",G65*K65)</f>
        <v/>
      </c>
      <c r="M65" s="20"/>
      <c r="N65" s="6"/>
      <c r="O65" s="6"/>
      <c r="P65" s="5" t="str">
        <f aca="false">IF(A65="","",H65/90)</f>
        <v/>
      </c>
      <c r="Q65" s="5" t="str">
        <f aca="false">IF(A65="","",IFERROR(INDEX(Parâmetros!$C$6:$C$10,MATCH(F65,Parâmetros!$B$6:$B$10,0)),""))</f>
        <v/>
      </c>
      <c r="R65" s="5" t="str">
        <f aca="false">IF(OR(A65="",P65="",Q65=""),"",P65*Q65)</f>
        <v/>
      </c>
      <c r="S65" s="5" t="str">
        <f aca="false">IF(R65="","",MAX(0,R65-G65))</f>
        <v/>
      </c>
      <c r="T65" s="21" t="str">
        <f aca="false">IF(S65="","",S65*K65)</f>
        <v/>
      </c>
      <c r="U65" s="5" t="str">
        <f aca="false">IF(A65="","",IF(J65&gt;Parâmetros!$C$14,"SIM","NAO"))</f>
        <v/>
      </c>
      <c r="V65" s="5" t="str">
        <f aca="false">IF(B65="","",TRIM(LEFT(B65,IFERROR(FIND(" ",B65)-1,LEN(B65)))))</f>
        <v/>
      </c>
      <c r="W65" s="22"/>
      <c r="X65" s="5" t="str">
        <f aca="false">IF(A65="","",IF(W65&lt;&gt;"",W65,V65))</f>
        <v/>
      </c>
      <c r="Y65" s="5" t="str">
        <f aca="false">IF(A65="","",IF(COUNTIFS($X$2:$X$2001,X65,$D$2:$D$2001,"&lt;&gt;"&amp;D65,$C$2:$C$2001,C65)&gt;0,"SIM","NAO"))</f>
        <v/>
      </c>
      <c r="Z65" s="5" t="str">
        <f aca="false">IF(A65="","",IF(J65="","",IFERROR(360/J65,"")))</f>
        <v/>
      </c>
      <c r="AA65" s="5" t="str">
        <f aca="false">IF(A65="","",IF(H65=0,"Parado (sem venda 90d)",IF(Z65&gt;12,"Alto (&gt;12x/ano)",IF(Z65&gt;=4,"Medio (4-12x/ano)","Baixo (&lt;4x/ano)"))))</f>
        <v/>
      </c>
    </row>
    <row r="66" customFormat="false" ht="15" hidden="false" customHeight="tru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  <c r="K66" s="18"/>
      <c r="L66" s="19" t="str">
        <f aca="false">IF(A66="","",G66*K66)</f>
        <v/>
      </c>
      <c r="M66" s="20"/>
      <c r="N66" s="6"/>
      <c r="O66" s="6"/>
      <c r="P66" s="5" t="str">
        <f aca="false">IF(A66="","",H66/90)</f>
        <v/>
      </c>
      <c r="Q66" s="5" t="str">
        <f aca="false">IF(A66="","",IFERROR(INDEX(Parâmetros!$C$6:$C$10,MATCH(F66,Parâmetros!$B$6:$B$10,0)),""))</f>
        <v/>
      </c>
      <c r="R66" s="5" t="str">
        <f aca="false">IF(OR(A66="",P66="",Q66=""),"",P66*Q66)</f>
        <v/>
      </c>
      <c r="S66" s="5" t="str">
        <f aca="false">IF(R66="","",MAX(0,R66-G66))</f>
        <v/>
      </c>
      <c r="T66" s="21" t="str">
        <f aca="false">IF(S66="","",S66*K66)</f>
        <v/>
      </c>
      <c r="U66" s="5" t="str">
        <f aca="false">IF(A66="","",IF(J66&gt;Parâmetros!$C$14,"SIM","NAO"))</f>
        <v/>
      </c>
      <c r="V66" s="5" t="str">
        <f aca="false">IF(B66="","",TRIM(LEFT(B66,IFERROR(FIND(" ",B66)-1,LEN(B66)))))</f>
        <v/>
      </c>
      <c r="W66" s="22"/>
      <c r="X66" s="5" t="str">
        <f aca="false">IF(A66="","",IF(W66&lt;&gt;"",W66,V66))</f>
        <v/>
      </c>
      <c r="Y66" s="5" t="str">
        <f aca="false">IF(A66="","",IF(COUNTIFS($X$2:$X$2001,X66,$D$2:$D$2001,"&lt;&gt;"&amp;D66,$C$2:$C$2001,C66)&gt;0,"SIM","NAO"))</f>
        <v/>
      </c>
      <c r="Z66" s="5" t="str">
        <f aca="false">IF(A66="","",IF(J66="","",IFERROR(360/J66,"")))</f>
        <v/>
      </c>
      <c r="AA66" s="5" t="str">
        <f aca="false">IF(A66="","",IF(H66=0,"Parado (sem venda 90d)",IF(Z66&gt;12,"Alto (&gt;12x/ano)",IF(Z66&gt;=4,"Medio (4-12x/ano)","Baixo (&lt;4x/ano)"))))</f>
        <v/>
      </c>
    </row>
    <row r="67" customFormat="false" ht="15" hidden="false" customHeight="tru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  <c r="K67" s="18"/>
      <c r="L67" s="19" t="str">
        <f aca="false">IF(A67="","",G67*K67)</f>
        <v/>
      </c>
      <c r="M67" s="20"/>
      <c r="N67" s="6"/>
      <c r="O67" s="6"/>
      <c r="P67" s="5" t="str">
        <f aca="false">IF(A67="","",H67/90)</f>
        <v/>
      </c>
      <c r="Q67" s="5" t="str">
        <f aca="false">IF(A67="","",IFERROR(INDEX(Parâmetros!$C$6:$C$10,MATCH(F67,Parâmetros!$B$6:$B$10,0)),""))</f>
        <v/>
      </c>
      <c r="R67" s="5" t="str">
        <f aca="false">IF(OR(A67="",P67="",Q67=""),"",P67*Q67)</f>
        <v/>
      </c>
      <c r="S67" s="5" t="str">
        <f aca="false">IF(R67="","",MAX(0,R67-G67))</f>
        <v/>
      </c>
      <c r="T67" s="21" t="str">
        <f aca="false">IF(S67="","",S67*K67)</f>
        <v/>
      </c>
      <c r="U67" s="5" t="str">
        <f aca="false">IF(A67="","",IF(J67&gt;Parâmetros!$C$14,"SIM","NAO"))</f>
        <v/>
      </c>
      <c r="V67" s="5" t="str">
        <f aca="false">IF(B67="","",TRIM(LEFT(B67,IFERROR(FIND(" ",B67)-1,LEN(B67)))))</f>
        <v/>
      </c>
      <c r="W67" s="22"/>
      <c r="X67" s="5" t="str">
        <f aca="false">IF(A67="","",IF(W67&lt;&gt;"",W67,V67))</f>
        <v/>
      </c>
      <c r="Y67" s="5" t="str">
        <f aca="false">IF(A67="","",IF(COUNTIFS($X$2:$X$2001,X67,$D$2:$D$2001,"&lt;&gt;"&amp;D67,$C$2:$C$2001,C67)&gt;0,"SIM","NAO"))</f>
        <v/>
      </c>
      <c r="Z67" s="5" t="str">
        <f aca="false">IF(A67="","",IF(J67="","",IFERROR(360/J67,"")))</f>
        <v/>
      </c>
      <c r="AA67" s="5" t="str">
        <f aca="false">IF(A67="","",IF(H67=0,"Parado (sem venda 90d)",IF(Z67&gt;12,"Alto (&gt;12x/ano)",IF(Z67&gt;=4,"Medio (4-12x/ano)","Baixo (&lt;4x/ano)"))))</f>
        <v/>
      </c>
    </row>
    <row r="68" customFormat="false" ht="15" hidden="false" customHeight="tru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18"/>
      <c r="L68" s="19" t="str">
        <f aca="false">IF(A68="","",G68*K68)</f>
        <v/>
      </c>
      <c r="M68" s="20"/>
      <c r="N68" s="6"/>
      <c r="O68" s="6"/>
      <c r="P68" s="5" t="str">
        <f aca="false">IF(A68="","",H68/90)</f>
        <v/>
      </c>
      <c r="Q68" s="5" t="str">
        <f aca="false">IF(A68="","",IFERROR(INDEX(Parâmetros!$C$6:$C$10,MATCH(F68,Parâmetros!$B$6:$B$10,0)),""))</f>
        <v/>
      </c>
      <c r="R68" s="5" t="str">
        <f aca="false">IF(OR(A68="",P68="",Q68=""),"",P68*Q68)</f>
        <v/>
      </c>
      <c r="S68" s="5" t="str">
        <f aca="false">IF(R68="","",MAX(0,R68-G68))</f>
        <v/>
      </c>
      <c r="T68" s="21" t="str">
        <f aca="false">IF(S68="","",S68*K68)</f>
        <v/>
      </c>
      <c r="U68" s="5" t="str">
        <f aca="false">IF(A68="","",IF(J68&gt;Parâmetros!$C$14,"SIM","NAO"))</f>
        <v/>
      </c>
      <c r="V68" s="5" t="str">
        <f aca="false">IF(B68="","",TRIM(LEFT(B68,IFERROR(FIND(" ",B68)-1,LEN(B68)))))</f>
        <v/>
      </c>
      <c r="W68" s="22"/>
      <c r="X68" s="5" t="str">
        <f aca="false">IF(A68="","",IF(W68&lt;&gt;"",W68,V68))</f>
        <v/>
      </c>
      <c r="Y68" s="5" t="str">
        <f aca="false">IF(A68="","",IF(COUNTIFS($X$2:$X$2001,X68,$D$2:$D$2001,"&lt;&gt;"&amp;D68,$C$2:$C$2001,C68)&gt;0,"SIM","NAO"))</f>
        <v/>
      </c>
      <c r="Z68" s="5" t="str">
        <f aca="false">IF(A68="","",IF(J68="","",IFERROR(360/J68,"")))</f>
        <v/>
      </c>
      <c r="AA68" s="5" t="str">
        <f aca="false">IF(A68="","",IF(H68=0,"Parado (sem venda 90d)",IF(Z68&gt;12,"Alto (&gt;12x/ano)",IF(Z68&gt;=4,"Medio (4-12x/ano)","Baixo (&lt;4x/ano)"))))</f>
        <v/>
      </c>
    </row>
    <row r="69" customFormat="false" ht="15" hidden="false" customHeight="tru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  <c r="K69" s="18"/>
      <c r="L69" s="19" t="str">
        <f aca="false">IF(A69="","",G69*K69)</f>
        <v/>
      </c>
      <c r="M69" s="20"/>
      <c r="N69" s="6"/>
      <c r="O69" s="6"/>
      <c r="P69" s="5" t="str">
        <f aca="false">IF(A69="","",H69/90)</f>
        <v/>
      </c>
      <c r="Q69" s="5" t="str">
        <f aca="false">IF(A69="","",IFERROR(INDEX(Parâmetros!$C$6:$C$10,MATCH(F69,Parâmetros!$B$6:$B$10,0)),""))</f>
        <v/>
      </c>
      <c r="R69" s="5" t="str">
        <f aca="false">IF(OR(A69="",P69="",Q69=""),"",P69*Q69)</f>
        <v/>
      </c>
      <c r="S69" s="5" t="str">
        <f aca="false">IF(R69="","",MAX(0,R69-G69))</f>
        <v/>
      </c>
      <c r="T69" s="21" t="str">
        <f aca="false">IF(S69="","",S69*K69)</f>
        <v/>
      </c>
      <c r="U69" s="5" t="str">
        <f aca="false">IF(A69="","",IF(J69&gt;Parâmetros!$C$14,"SIM","NAO"))</f>
        <v/>
      </c>
      <c r="V69" s="5" t="str">
        <f aca="false">IF(B69="","",TRIM(LEFT(B69,IFERROR(FIND(" ",B69)-1,LEN(B69)))))</f>
        <v/>
      </c>
      <c r="W69" s="22"/>
      <c r="X69" s="5" t="str">
        <f aca="false">IF(A69="","",IF(W69&lt;&gt;"",W69,V69))</f>
        <v/>
      </c>
      <c r="Y69" s="5" t="str">
        <f aca="false">IF(A69="","",IF(COUNTIFS($X$2:$X$2001,X69,$D$2:$D$2001,"&lt;&gt;"&amp;D69,$C$2:$C$2001,C69)&gt;0,"SIM","NAO"))</f>
        <v/>
      </c>
      <c r="Z69" s="5" t="str">
        <f aca="false">IF(A69="","",IF(J69="","",IFERROR(360/J69,"")))</f>
        <v/>
      </c>
      <c r="AA69" s="5" t="str">
        <f aca="false">IF(A69="","",IF(H69=0,"Parado (sem venda 90d)",IF(Z69&gt;12,"Alto (&gt;12x/ano)",IF(Z69&gt;=4,"Medio (4-12x/ano)","Baixo (&lt;4x/ano)"))))</f>
        <v/>
      </c>
    </row>
    <row r="70" customFormat="false" ht="15" hidden="false" customHeight="tru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K70" s="18"/>
      <c r="L70" s="19" t="str">
        <f aca="false">IF(A70="","",G70*K70)</f>
        <v/>
      </c>
      <c r="M70" s="20"/>
      <c r="N70" s="6"/>
      <c r="O70" s="6"/>
      <c r="P70" s="5" t="str">
        <f aca="false">IF(A70="","",H70/90)</f>
        <v/>
      </c>
      <c r="Q70" s="5" t="str">
        <f aca="false">IF(A70="","",IFERROR(INDEX(Parâmetros!$C$6:$C$10,MATCH(F70,Parâmetros!$B$6:$B$10,0)),""))</f>
        <v/>
      </c>
      <c r="R70" s="5" t="str">
        <f aca="false">IF(OR(A70="",P70="",Q70=""),"",P70*Q70)</f>
        <v/>
      </c>
      <c r="S70" s="5" t="str">
        <f aca="false">IF(R70="","",MAX(0,R70-G70))</f>
        <v/>
      </c>
      <c r="T70" s="21" t="str">
        <f aca="false">IF(S70="","",S70*K70)</f>
        <v/>
      </c>
      <c r="U70" s="5" t="str">
        <f aca="false">IF(A70="","",IF(J70&gt;Parâmetros!$C$14,"SIM","NAO"))</f>
        <v/>
      </c>
      <c r="V70" s="5" t="str">
        <f aca="false">IF(B70="","",TRIM(LEFT(B70,IFERROR(FIND(" ",B70)-1,LEN(B70)))))</f>
        <v/>
      </c>
      <c r="W70" s="22"/>
      <c r="X70" s="5" t="str">
        <f aca="false">IF(A70="","",IF(W70&lt;&gt;"",W70,V70))</f>
        <v/>
      </c>
      <c r="Y70" s="5" t="str">
        <f aca="false">IF(A70="","",IF(COUNTIFS($X$2:$X$2001,X70,$D$2:$D$2001,"&lt;&gt;"&amp;D70,$C$2:$C$2001,C70)&gt;0,"SIM","NAO"))</f>
        <v/>
      </c>
      <c r="Z70" s="5" t="str">
        <f aca="false">IF(A70="","",IF(J70="","",IFERROR(360/J70,"")))</f>
        <v/>
      </c>
      <c r="AA70" s="5" t="str">
        <f aca="false">IF(A70="","",IF(H70=0,"Parado (sem venda 90d)",IF(Z70&gt;12,"Alto (&gt;12x/ano)",IF(Z70&gt;=4,"Medio (4-12x/ano)","Baixo (&lt;4x/ano)"))))</f>
        <v/>
      </c>
    </row>
    <row r="71" customFormat="false" ht="15" hidden="false" customHeight="tru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  <c r="K71" s="18"/>
      <c r="L71" s="19" t="str">
        <f aca="false">IF(A71="","",G71*K71)</f>
        <v/>
      </c>
      <c r="M71" s="20"/>
      <c r="N71" s="6"/>
      <c r="O71" s="6"/>
      <c r="P71" s="5" t="str">
        <f aca="false">IF(A71="","",H71/90)</f>
        <v/>
      </c>
      <c r="Q71" s="5" t="str">
        <f aca="false">IF(A71="","",IFERROR(INDEX(Parâmetros!$C$6:$C$10,MATCH(F71,Parâmetros!$B$6:$B$10,0)),""))</f>
        <v/>
      </c>
      <c r="R71" s="5" t="str">
        <f aca="false">IF(OR(A71="",P71="",Q71=""),"",P71*Q71)</f>
        <v/>
      </c>
      <c r="S71" s="5" t="str">
        <f aca="false">IF(R71="","",MAX(0,R71-G71))</f>
        <v/>
      </c>
      <c r="T71" s="21" t="str">
        <f aca="false">IF(S71="","",S71*K71)</f>
        <v/>
      </c>
      <c r="U71" s="5" t="str">
        <f aca="false">IF(A71="","",IF(J71&gt;Parâmetros!$C$14,"SIM","NAO"))</f>
        <v/>
      </c>
      <c r="V71" s="5" t="str">
        <f aca="false">IF(B71="","",TRIM(LEFT(B71,IFERROR(FIND(" ",B71)-1,LEN(B71)))))</f>
        <v/>
      </c>
      <c r="W71" s="22"/>
      <c r="X71" s="5" t="str">
        <f aca="false">IF(A71="","",IF(W71&lt;&gt;"",W71,V71))</f>
        <v/>
      </c>
      <c r="Y71" s="5" t="str">
        <f aca="false">IF(A71="","",IF(COUNTIFS($X$2:$X$2001,X71,$D$2:$D$2001,"&lt;&gt;"&amp;D71,$C$2:$C$2001,C71)&gt;0,"SIM","NAO"))</f>
        <v/>
      </c>
      <c r="Z71" s="5" t="str">
        <f aca="false">IF(A71="","",IF(J71="","",IFERROR(360/J71,"")))</f>
        <v/>
      </c>
      <c r="AA71" s="5" t="str">
        <f aca="false">IF(A71="","",IF(H71=0,"Parado (sem venda 90d)",IF(Z71&gt;12,"Alto (&gt;12x/ano)",IF(Z71&gt;=4,"Medio (4-12x/ano)","Baixo (&lt;4x/ano)"))))</f>
        <v/>
      </c>
    </row>
    <row r="72" customFormat="false" ht="15" hidden="false" customHeight="tru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  <c r="K72" s="18"/>
      <c r="L72" s="19" t="str">
        <f aca="false">IF(A72="","",G72*K72)</f>
        <v/>
      </c>
      <c r="M72" s="20"/>
      <c r="N72" s="6"/>
      <c r="O72" s="6"/>
      <c r="P72" s="5" t="str">
        <f aca="false">IF(A72="","",H72/90)</f>
        <v/>
      </c>
      <c r="Q72" s="5" t="str">
        <f aca="false">IF(A72="","",IFERROR(INDEX(Parâmetros!$C$6:$C$10,MATCH(F72,Parâmetros!$B$6:$B$10,0)),""))</f>
        <v/>
      </c>
      <c r="R72" s="5" t="str">
        <f aca="false">IF(OR(A72="",P72="",Q72=""),"",P72*Q72)</f>
        <v/>
      </c>
      <c r="S72" s="5" t="str">
        <f aca="false">IF(R72="","",MAX(0,R72-G72))</f>
        <v/>
      </c>
      <c r="T72" s="21" t="str">
        <f aca="false">IF(S72="","",S72*K72)</f>
        <v/>
      </c>
      <c r="U72" s="5" t="str">
        <f aca="false">IF(A72="","",IF(J72&gt;Parâmetros!$C$14,"SIM","NAO"))</f>
        <v/>
      </c>
      <c r="V72" s="5" t="str">
        <f aca="false">IF(B72="","",TRIM(LEFT(B72,IFERROR(FIND(" ",B72)-1,LEN(B72)))))</f>
        <v/>
      </c>
      <c r="W72" s="22"/>
      <c r="X72" s="5" t="str">
        <f aca="false">IF(A72="","",IF(W72&lt;&gt;"",W72,V72))</f>
        <v/>
      </c>
      <c r="Y72" s="5" t="str">
        <f aca="false">IF(A72="","",IF(COUNTIFS($X$2:$X$2001,X72,$D$2:$D$2001,"&lt;&gt;"&amp;D72,$C$2:$C$2001,C72)&gt;0,"SIM","NAO"))</f>
        <v/>
      </c>
      <c r="Z72" s="5" t="str">
        <f aca="false">IF(A72="","",IF(J72="","",IFERROR(360/J72,"")))</f>
        <v/>
      </c>
      <c r="AA72" s="5" t="str">
        <f aca="false">IF(A72="","",IF(H72=0,"Parado (sem venda 90d)",IF(Z72&gt;12,"Alto (&gt;12x/ano)",IF(Z72&gt;=4,"Medio (4-12x/ano)","Baixo (&lt;4x/ano)"))))</f>
        <v/>
      </c>
    </row>
    <row r="73" customFormat="false" ht="15" hidden="false" customHeight="tru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  <c r="K73" s="18"/>
      <c r="L73" s="19" t="str">
        <f aca="false">IF(A73="","",G73*K73)</f>
        <v/>
      </c>
      <c r="M73" s="20"/>
      <c r="N73" s="6"/>
      <c r="O73" s="6"/>
      <c r="P73" s="5" t="str">
        <f aca="false">IF(A73="","",H73/90)</f>
        <v/>
      </c>
      <c r="Q73" s="5" t="str">
        <f aca="false">IF(A73="","",IFERROR(INDEX(Parâmetros!$C$6:$C$10,MATCH(F73,Parâmetros!$B$6:$B$10,0)),""))</f>
        <v/>
      </c>
      <c r="R73" s="5" t="str">
        <f aca="false">IF(OR(A73="",P73="",Q73=""),"",P73*Q73)</f>
        <v/>
      </c>
      <c r="S73" s="5" t="str">
        <f aca="false">IF(R73="","",MAX(0,R73-G73))</f>
        <v/>
      </c>
      <c r="T73" s="21" t="str">
        <f aca="false">IF(S73="","",S73*K73)</f>
        <v/>
      </c>
      <c r="U73" s="5" t="str">
        <f aca="false">IF(A73="","",IF(J73&gt;Parâmetros!$C$14,"SIM","NAO"))</f>
        <v/>
      </c>
      <c r="V73" s="5" t="str">
        <f aca="false">IF(B73="","",TRIM(LEFT(B73,IFERROR(FIND(" ",B73)-1,LEN(B73)))))</f>
        <v/>
      </c>
      <c r="W73" s="22"/>
      <c r="X73" s="5" t="str">
        <f aca="false">IF(A73="","",IF(W73&lt;&gt;"",W73,V73))</f>
        <v/>
      </c>
      <c r="Y73" s="5" t="str">
        <f aca="false">IF(A73="","",IF(COUNTIFS($X$2:$X$2001,X73,$D$2:$D$2001,"&lt;&gt;"&amp;D73,$C$2:$C$2001,C73)&gt;0,"SIM","NAO"))</f>
        <v/>
      </c>
      <c r="Z73" s="5" t="str">
        <f aca="false">IF(A73="","",IF(J73="","",IFERROR(360/J73,"")))</f>
        <v/>
      </c>
      <c r="AA73" s="5" t="str">
        <f aca="false">IF(A73="","",IF(H73=0,"Parado (sem venda 90d)",IF(Z73&gt;12,"Alto (&gt;12x/ano)",IF(Z73&gt;=4,"Medio (4-12x/ano)","Baixo (&lt;4x/ano)"))))</f>
        <v/>
      </c>
    </row>
    <row r="74" customFormat="false" ht="15" hidden="false" customHeight="tru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K74" s="18"/>
      <c r="L74" s="19" t="str">
        <f aca="false">IF(A74="","",G74*K74)</f>
        <v/>
      </c>
      <c r="M74" s="20"/>
      <c r="N74" s="6"/>
      <c r="O74" s="6"/>
      <c r="P74" s="5" t="str">
        <f aca="false">IF(A74="","",H74/90)</f>
        <v/>
      </c>
      <c r="Q74" s="5" t="str">
        <f aca="false">IF(A74="","",IFERROR(INDEX(Parâmetros!$C$6:$C$10,MATCH(F74,Parâmetros!$B$6:$B$10,0)),""))</f>
        <v/>
      </c>
      <c r="R74" s="5" t="str">
        <f aca="false">IF(OR(A74="",P74="",Q74=""),"",P74*Q74)</f>
        <v/>
      </c>
      <c r="S74" s="5" t="str">
        <f aca="false">IF(R74="","",MAX(0,R74-G74))</f>
        <v/>
      </c>
      <c r="T74" s="21" t="str">
        <f aca="false">IF(S74="","",S74*K74)</f>
        <v/>
      </c>
      <c r="U74" s="5" t="str">
        <f aca="false">IF(A74="","",IF(J74&gt;Parâmetros!$C$14,"SIM","NAO"))</f>
        <v/>
      </c>
      <c r="V74" s="5" t="str">
        <f aca="false">IF(B74="","",TRIM(LEFT(B74,IFERROR(FIND(" ",B74)-1,LEN(B74)))))</f>
        <v/>
      </c>
      <c r="W74" s="22"/>
      <c r="X74" s="5" t="str">
        <f aca="false">IF(A74="","",IF(W74&lt;&gt;"",W74,V74))</f>
        <v/>
      </c>
      <c r="Y74" s="5" t="str">
        <f aca="false">IF(A74="","",IF(COUNTIFS($X$2:$X$2001,X74,$D$2:$D$2001,"&lt;&gt;"&amp;D74,$C$2:$C$2001,C74)&gt;0,"SIM","NAO"))</f>
        <v/>
      </c>
      <c r="Z74" s="5" t="str">
        <f aca="false">IF(A74="","",IF(J74="","",IFERROR(360/J74,"")))</f>
        <v/>
      </c>
      <c r="AA74" s="5" t="str">
        <f aca="false">IF(A74="","",IF(H74=0,"Parado (sem venda 90d)",IF(Z74&gt;12,"Alto (&gt;12x/ano)",IF(Z74&gt;=4,"Medio (4-12x/ano)","Baixo (&lt;4x/ano)"))))</f>
        <v/>
      </c>
    </row>
    <row r="75" customFormat="false" ht="15" hidden="false" customHeight="tru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6"/>
      <c r="K75" s="18"/>
      <c r="L75" s="19" t="str">
        <f aca="false">IF(A75="","",G75*K75)</f>
        <v/>
      </c>
      <c r="M75" s="20"/>
      <c r="N75" s="6"/>
      <c r="O75" s="6"/>
      <c r="P75" s="5" t="str">
        <f aca="false">IF(A75="","",H75/90)</f>
        <v/>
      </c>
      <c r="Q75" s="5" t="str">
        <f aca="false">IF(A75="","",IFERROR(INDEX(Parâmetros!$C$6:$C$10,MATCH(F75,Parâmetros!$B$6:$B$10,0)),""))</f>
        <v/>
      </c>
      <c r="R75" s="5" t="str">
        <f aca="false">IF(OR(A75="",P75="",Q75=""),"",P75*Q75)</f>
        <v/>
      </c>
      <c r="S75" s="5" t="str">
        <f aca="false">IF(R75="","",MAX(0,R75-G75))</f>
        <v/>
      </c>
      <c r="T75" s="21" t="str">
        <f aca="false">IF(S75="","",S75*K75)</f>
        <v/>
      </c>
      <c r="U75" s="5" t="str">
        <f aca="false">IF(A75="","",IF(J75&gt;Parâmetros!$C$14,"SIM","NAO"))</f>
        <v/>
      </c>
      <c r="V75" s="5" t="str">
        <f aca="false">IF(B75="","",TRIM(LEFT(B75,IFERROR(FIND(" ",B75)-1,LEN(B75)))))</f>
        <v/>
      </c>
      <c r="W75" s="22"/>
      <c r="X75" s="5" t="str">
        <f aca="false">IF(A75="","",IF(W75&lt;&gt;"",W75,V75))</f>
        <v/>
      </c>
      <c r="Y75" s="5" t="str">
        <f aca="false">IF(A75="","",IF(COUNTIFS($X$2:$X$2001,X75,$D$2:$D$2001,"&lt;&gt;"&amp;D75,$C$2:$C$2001,C75)&gt;0,"SIM","NAO"))</f>
        <v/>
      </c>
      <c r="Z75" s="5" t="str">
        <f aca="false">IF(A75="","",IF(J75="","",IFERROR(360/J75,"")))</f>
        <v/>
      </c>
      <c r="AA75" s="5" t="str">
        <f aca="false">IF(A75="","",IF(H75=0,"Parado (sem venda 90d)",IF(Z75&gt;12,"Alto (&gt;12x/ano)",IF(Z75&gt;=4,"Medio (4-12x/ano)","Baixo (&lt;4x/ano)"))))</f>
        <v/>
      </c>
    </row>
    <row r="76" customFormat="false" ht="15" hidden="false" customHeight="tru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6"/>
      <c r="K76" s="18"/>
      <c r="L76" s="19" t="str">
        <f aca="false">IF(A76="","",G76*K76)</f>
        <v/>
      </c>
      <c r="M76" s="20"/>
      <c r="N76" s="6"/>
      <c r="O76" s="6"/>
      <c r="P76" s="5" t="str">
        <f aca="false">IF(A76="","",H76/90)</f>
        <v/>
      </c>
      <c r="Q76" s="5" t="str">
        <f aca="false">IF(A76="","",IFERROR(INDEX(Parâmetros!$C$6:$C$10,MATCH(F76,Parâmetros!$B$6:$B$10,0)),""))</f>
        <v/>
      </c>
      <c r="R76" s="5" t="str">
        <f aca="false">IF(OR(A76="",P76="",Q76=""),"",P76*Q76)</f>
        <v/>
      </c>
      <c r="S76" s="5" t="str">
        <f aca="false">IF(R76="","",MAX(0,R76-G76))</f>
        <v/>
      </c>
      <c r="T76" s="21" t="str">
        <f aca="false">IF(S76="","",S76*K76)</f>
        <v/>
      </c>
      <c r="U76" s="5" t="str">
        <f aca="false">IF(A76="","",IF(J76&gt;Parâmetros!$C$14,"SIM","NAO"))</f>
        <v/>
      </c>
      <c r="V76" s="5" t="str">
        <f aca="false">IF(B76="","",TRIM(LEFT(B76,IFERROR(FIND(" ",B76)-1,LEN(B76)))))</f>
        <v/>
      </c>
      <c r="W76" s="22"/>
      <c r="X76" s="5" t="str">
        <f aca="false">IF(A76="","",IF(W76&lt;&gt;"",W76,V76))</f>
        <v/>
      </c>
      <c r="Y76" s="5" t="str">
        <f aca="false">IF(A76="","",IF(COUNTIFS($X$2:$X$2001,X76,$D$2:$D$2001,"&lt;&gt;"&amp;D76,$C$2:$C$2001,C76)&gt;0,"SIM","NAO"))</f>
        <v/>
      </c>
      <c r="Z76" s="5" t="str">
        <f aca="false">IF(A76="","",IF(J76="","",IFERROR(360/J76,"")))</f>
        <v/>
      </c>
      <c r="AA76" s="5" t="str">
        <f aca="false">IF(A76="","",IF(H76=0,"Parado (sem venda 90d)",IF(Z76&gt;12,"Alto (&gt;12x/ano)",IF(Z76&gt;=4,"Medio (4-12x/ano)","Baixo (&lt;4x/ano)"))))</f>
        <v/>
      </c>
    </row>
    <row r="77" customFormat="false" ht="15" hidden="false" customHeight="tru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6"/>
      <c r="K77" s="18"/>
      <c r="L77" s="19" t="str">
        <f aca="false">IF(A77="","",G77*K77)</f>
        <v/>
      </c>
      <c r="M77" s="20"/>
      <c r="N77" s="6"/>
      <c r="O77" s="6"/>
      <c r="P77" s="5" t="str">
        <f aca="false">IF(A77="","",H77/90)</f>
        <v/>
      </c>
      <c r="Q77" s="5" t="str">
        <f aca="false">IF(A77="","",IFERROR(INDEX(Parâmetros!$C$6:$C$10,MATCH(F77,Parâmetros!$B$6:$B$10,0)),""))</f>
        <v/>
      </c>
      <c r="R77" s="5" t="str">
        <f aca="false">IF(OR(A77="",P77="",Q77=""),"",P77*Q77)</f>
        <v/>
      </c>
      <c r="S77" s="5" t="str">
        <f aca="false">IF(R77="","",MAX(0,R77-G77))</f>
        <v/>
      </c>
      <c r="T77" s="21" t="str">
        <f aca="false">IF(S77="","",S77*K77)</f>
        <v/>
      </c>
      <c r="U77" s="5" t="str">
        <f aca="false">IF(A77="","",IF(J77&gt;Parâmetros!$C$14,"SIM","NAO"))</f>
        <v/>
      </c>
      <c r="V77" s="5" t="str">
        <f aca="false">IF(B77="","",TRIM(LEFT(B77,IFERROR(FIND(" ",B77)-1,LEN(B77)))))</f>
        <v/>
      </c>
      <c r="W77" s="22"/>
      <c r="X77" s="5" t="str">
        <f aca="false">IF(A77="","",IF(W77&lt;&gt;"",W77,V77))</f>
        <v/>
      </c>
      <c r="Y77" s="5" t="str">
        <f aca="false">IF(A77="","",IF(COUNTIFS($X$2:$X$2001,X77,$D$2:$D$2001,"&lt;&gt;"&amp;D77,$C$2:$C$2001,C77)&gt;0,"SIM","NAO"))</f>
        <v/>
      </c>
      <c r="Z77" s="5" t="str">
        <f aca="false">IF(A77="","",IF(J77="","",IFERROR(360/J77,"")))</f>
        <v/>
      </c>
      <c r="AA77" s="5" t="str">
        <f aca="false">IF(A77="","",IF(H77=0,"Parado (sem venda 90d)",IF(Z77&gt;12,"Alto (&gt;12x/ano)",IF(Z77&gt;=4,"Medio (4-12x/ano)","Baixo (&lt;4x/ano)"))))</f>
        <v/>
      </c>
    </row>
    <row r="78" customFormat="false" ht="15" hidden="false" customHeight="tru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  <c r="K78" s="18"/>
      <c r="L78" s="19" t="str">
        <f aca="false">IF(A78="","",G78*K78)</f>
        <v/>
      </c>
      <c r="M78" s="20"/>
      <c r="N78" s="6"/>
      <c r="O78" s="6"/>
      <c r="P78" s="5" t="str">
        <f aca="false">IF(A78="","",H78/90)</f>
        <v/>
      </c>
      <c r="Q78" s="5" t="str">
        <f aca="false">IF(A78="","",IFERROR(INDEX(Parâmetros!$C$6:$C$10,MATCH(F78,Parâmetros!$B$6:$B$10,0)),""))</f>
        <v/>
      </c>
      <c r="R78" s="5" t="str">
        <f aca="false">IF(OR(A78="",P78="",Q78=""),"",P78*Q78)</f>
        <v/>
      </c>
      <c r="S78" s="5" t="str">
        <f aca="false">IF(R78="","",MAX(0,R78-G78))</f>
        <v/>
      </c>
      <c r="T78" s="21" t="str">
        <f aca="false">IF(S78="","",S78*K78)</f>
        <v/>
      </c>
      <c r="U78" s="5" t="str">
        <f aca="false">IF(A78="","",IF(J78&gt;Parâmetros!$C$14,"SIM","NAO"))</f>
        <v/>
      </c>
      <c r="V78" s="5" t="str">
        <f aca="false">IF(B78="","",TRIM(LEFT(B78,IFERROR(FIND(" ",B78)-1,LEN(B78)))))</f>
        <v/>
      </c>
      <c r="W78" s="22"/>
      <c r="X78" s="5" t="str">
        <f aca="false">IF(A78="","",IF(W78&lt;&gt;"",W78,V78))</f>
        <v/>
      </c>
      <c r="Y78" s="5" t="str">
        <f aca="false">IF(A78="","",IF(COUNTIFS($X$2:$X$2001,X78,$D$2:$D$2001,"&lt;&gt;"&amp;D78,$C$2:$C$2001,C78)&gt;0,"SIM","NAO"))</f>
        <v/>
      </c>
      <c r="Z78" s="5" t="str">
        <f aca="false">IF(A78="","",IF(J78="","",IFERROR(360/J78,"")))</f>
        <v/>
      </c>
      <c r="AA78" s="5" t="str">
        <f aca="false">IF(A78="","",IF(H78=0,"Parado (sem venda 90d)",IF(Z78&gt;12,"Alto (&gt;12x/ano)",IF(Z78&gt;=4,"Medio (4-12x/ano)","Baixo (&lt;4x/ano)"))))</f>
        <v/>
      </c>
    </row>
    <row r="79" customFormat="false" ht="15" hidden="false" customHeight="tru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6"/>
      <c r="K79" s="18"/>
      <c r="L79" s="19" t="str">
        <f aca="false">IF(A79="","",G79*K79)</f>
        <v/>
      </c>
      <c r="M79" s="20"/>
      <c r="N79" s="6"/>
      <c r="O79" s="6"/>
      <c r="P79" s="5" t="str">
        <f aca="false">IF(A79="","",H79/90)</f>
        <v/>
      </c>
      <c r="Q79" s="5" t="str">
        <f aca="false">IF(A79="","",IFERROR(INDEX(Parâmetros!$C$6:$C$10,MATCH(F79,Parâmetros!$B$6:$B$10,0)),""))</f>
        <v/>
      </c>
      <c r="R79" s="5" t="str">
        <f aca="false">IF(OR(A79="",P79="",Q79=""),"",P79*Q79)</f>
        <v/>
      </c>
      <c r="S79" s="5" t="str">
        <f aca="false">IF(R79="","",MAX(0,R79-G79))</f>
        <v/>
      </c>
      <c r="T79" s="21" t="str">
        <f aca="false">IF(S79="","",S79*K79)</f>
        <v/>
      </c>
      <c r="U79" s="5" t="str">
        <f aca="false">IF(A79="","",IF(J79&gt;Parâmetros!$C$14,"SIM","NAO"))</f>
        <v/>
      </c>
      <c r="V79" s="5" t="str">
        <f aca="false">IF(B79="","",TRIM(LEFT(B79,IFERROR(FIND(" ",B79)-1,LEN(B79)))))</f>
        <v/>
      </c>
      <c r="W79" s="22"/>
      <c r="X79" s="5" t="str">
        <f aca="false">IF(A79="","",IF(W79&lt;&gt;"",W79,V79))</f>
        <v/>
      </c>
      <c r="Y79" s="5" t="str">
        <f aca="false">IF(A79="","",IF(COUNTIFS($X$2:$X$2001,X79,$D$2:$D$2001,"&lt;&gt;"&amp;D79,$C$2:$C$2001,C79)&gt;0,"SIM","NAO"))</f>
        <v/>
      </c>
      <c r="Z79" s="5" t="str">
        <f aca="false">IF(A79="","",IF(J79="","",IFERROR(360/J79,"")))</f>
        <v/>
      </c>
      <c r="AA79" s="5" t="str">
        <f aca="false">IF(A79="","",IF(H79=0,"Parado (sem venda 90d)",IF(Z79&gt;12,"Alto (&gt;12x/ano)",IF(Z79&gt;=4,"Medio (4-12x/ano)","Baixo (&lt;4x/ano)"))))</f>
        <v/>
      </c>
    </row>
    <row r="80" customFormat="false" ht="15" hidden="false" customHeight="tru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6"/>
      <c r="K80" s="18"/>
      <c r="L80" s="19" t="str">
        <f aca="false">IF(A80="","",G80*K80)</f>
        <v/>
      </c>
      <c r="M80" s="20"/>
      <c r="N80" s="6"/>
      <c r="O80" s="6"/>
      <c r="P80" s="5" t="str">
        <f aca="false">IF(A80="","",H80/90)</f>
        <v/>
      </c>
      <c r="Q80" s="5" t="str">
        <f aca="false">IF(A80="","",IFERROR(INDEX(Parâmetros!$C$6:$C$10,MATCH(F80,Parâmetros!$B$6:$B$10,0)),""))</f>
        <v/>
      </c>
      <c r="R80" s="5" t="str">
        <f aca="false">IF(OR(A80="",P80="",Q80=""),"",P80*Q80)</f>
        <v/>
      </c>
      <c r="S80" s="5" t="str">
        <f aca="false">IF(R80="","",MAX(0,R80-G80))</f>
        <v/>
      </c>
      <c r="T80" s="21" t="str">
        <f aca="false">IF(S80="","",S80*K80)</f>
        <v/>
      </c>
      <c r="U80" s="5" t="str">
        <f aca="false">IF(A80="","",IF(J80&gt;Parâmetros!$C$14,"SIM","NAO"))</f>
        <v/>
      </c>
      <c r="V80" s="5" t="str">
        <f aca="false">IF(B80="","",TRIM(LEFT(B80,IFERROR(FIND(" ",B80)-1,LEN(B80)))))</f>
        <v/>
      </c>
      <c r="W80" s="22"/>
      <c r="X80" s="5" t="str">
        <f aca="false">IF(A80="","",IF(W80&lt;&gt;"",W80,V80))</f>
        <v/>
      </c>
      <c r="Y80" s="5" t="str">
        <f aca="false">IF(A80="","",IF(COUNTIFS($X$2:$X$2001,X80,$D$2:$D$2001,"&lt;&gt;"&amp;D80,$C$2:$C$2001,C80)&gt;0,"SIM","NAO"))</f>
        <v/>
      </c>
      <c r="Z80" s="5" t="str">
        <f aca="false">IF(A80="","",IF(J80="","",IFERROR(360/J80,"")))</f>
        <v/>
      </c>
      <c r="AA80" s="5" t="str">
        <f aca="false">IF(A80="","",IF(H80=0,"Parado (sem venda 90d)",IF(Z80&gt;12,"Alto (&gt;12x/ano)",IF(Z80&gt;=4,"Medio (4-12x/ano)","Baixo (&lt;4x/ano)"))))</f>
        <v/>
      </c>
    </row>
    <row r="81" customFormat="false" ht="15" hidden="false" customHeight="tru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6"/>
      <c r="K81" s="18"/>
      <c r="L81" s="19" t="str">
        <f aca="false">IF(A81="","",G81*K81)</f>
        <v/>
      </c>
      <c r="M81" s="20"/>
      <c r="N81" s="6"/>
      <c r="O81" s="6"/>
      <c r="P81" s="5" t="str">
        <f aca="false">IF(A81="","",H81/90)</f>
        <v/>
      </c>
      <c r="Q81" s="5" t="str">
        <f aca="false">IF(A81="","",IFERROR(INDEX(Parâmetros!$C$6:$C$10,MATCH(F81,Parâmetros!$B$6:$B$10,0)),""))</f>
        <v/>
      </c>
      <c r="R81" s="5" t="str">
        <f aca="false">IF(OR(A81="",P81="",Q81=""),"",P81*Q81)</f>
        <v/>
      </c>
      <c r="S81" s="5" t="str">
        <f aca="false">IF(R81="","",MAX(0,R81-G81))</f>
        <v/>
      </c>
      <c r="T81" s="21" t="str">
        <f aca="false">IF(S81="","",S81*K81)</f>
        <v/>
      </c>
      <c r="U81" s="5" t="str">
        <f aca="false">IF(A81="","",IF(J81&gt;Parâmetros!$C$14,"SIM","NAO"))</f>
        <v/>
      </c>
      <c r="V81" s="5" t="str">
        <f aca="false">IF(B81="","",TRIM(LEFT(B81,IFERROR(FIND(" ",B81)-1,LEN(B81)))))</f>
        <v/>
      </c>
      <c r="W81" s="22"/>
      <c r="X81" s="5" t="str">
        <f aca="false">IF(A81="","",IF(W81&lt;&gt;"",W81,V81))</f>
        <v/>
      </c>
      <c r="Y81" s="5" t="str">
        <f aca="false">IF(A81="","",IF(COUNTIFS($X$2:$X$2001,X81,$D$2:$D$2001,"&lt;&gt;"&amp;D81,$C$2:$C$2001,C81)&gt;0,"SIM","NAO"))</f>
        <v/>
      </c>
      <c r="Z81" s="5" t="str">
        <f aca="false">IF(A81="","",IF(J81="","",IFERROR(360/J81,"")))</f>
        <v/>
      </c>
      <c r="AA81" s="5" t="str">
        <f aca="false">IF(A81="","",IF(H81=0,"Parado (sem venda 90d)",IF(Z81&gt;12,"Alto (&gt;12x/ano)",IF(Z81&gt;=4,"Medio (4-12x/ano)","Baixo (&lt;4x/ano)"))))</f>
        <v/>
      </c>
    </row>
    <row r="82" customFormat="false" ht="15" hidden="false" customHeight="tru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6"/>
      <c r="K82" s="18"/>
      <c r="L82" s="19" t="str">
        <f aca="false">IF(A82="","",G82*K82)</f>
        <v/>
      </c>
      <c r="M82" s="20"/>
      <c r="N82" s="6"/>
      <c r="O82" s="6"/>
      <c r="P82" s="5" t="str">
        <f aca="false">IF(A82="","",H82/90)</f>
        <v/>
      </c>
      <c r="Q82" s="5" t="str">
        <f aca="false">IF(A82="","",IFERROR(INDEX(Parâmetros!$C$6:$C$10,MATCH(F82,Parâmetros!$B$6:$B$10,0)),""))</f>
        <v/>
      </c>
      <c r="R82" s="5" t="str">
        <f aca="false">IF(OR(A82="",P82="",Q82=""),"",P82*Q82)</f>
        <v/>
      </c>
      <c r="S82" s="5" t="str">
        <f aca="false">IF(R82="","",MAX(0,R82-G82))</f>
        <v/>
      </c>
      <c r="T82" s="21" t="str">
        <f aca="false">IF(S82="","",S82*K82)</f>
        <v/>
      </c>
      <c r="U82" s="5" t="str">
        <f aca="false">IF(A82="","",IF(J82&gt;Parâmetros!$C$14,"SIM","NAO"))</f>
        <v/>
      </c>
      <c r="V82" s="5" t="str">
        <f aca="false">IF(B82="","",TRIM(LEFT(B82,IFERROR(FIND(" ",B82)-1,LEN(B82)))))</f>
        <v/>
      </c>
      <c r="W82" s="22"/>
      <c r="X82" s="5" t="str">
        <f aca="false">IF(A82="","",IF(W82&lt;&gt;"",W82,V82))</f>
        <v/>
      </c>
      <c r="Y82" s="5" t="str">
        <f aca="false">IF(A82="","",IF(COUNTIFS($X$2:$X$2001,X82,$D$2:$D$2001,"&lt;&gt;"&amp;D82,$C$2:$C$2001,C82)&gt;0,"SIM","NAO"))</f>
        <v/>
      </c>
      <c r="Z82" s="5" t="str">
        <f aca="false">IF(A82="","",IF(J82="","",IFERROR(360/J82,"")))</f>
        <v/>
      </c>
      <c r="AA82" s="5" t="str">
        <f aca="false">IF(A82="","",IF(H82=0,"Parado (sem venda 90d)",IF(Z82&gt;12,"Alto (&gt;12x/ano)",IF(Z82&gt;=4,"Medio (4-12x/ano)","Baixo (&lt;4x/ano)"))))</f>
        <v/>
      </c>
    </row>
    <row r="83" customFormat="false" ht="15" hidden="false" customHeight="tru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6"/>
      <c r="K83" s="18"/>
      <c r="L83" s="19" t="str">
        <f aca="false">IF(A83="","",G83*K83)</f>
        <v/>
      </c>
      <c r="M83" s="20"/>
      <c r="N83" s="6"/>
      <c r="O83" s="6"/>
      <c r="P83" s="5" t="str">
        <f aca="false">IF(A83="","",H83/90)</f>
        <v/>
      </c>
      <c r="Q83" s="5" t="str">
        <f aca="false">IF(A83="","",IFERROR(INDEX(Parâmetros!$C$6:$C$10,MATCH(F83,Parâmetros!$B$6:$B$10,0)),""))</f>
        <v/>
      </c>
      <c r="R83" s="5" t="str">
        <f aca="false">IF(OR(A83="",P83="",Q83=""),"",P83*Q83)</f>
        <v/>
      </c>
      <c r="S83" s="5" t="str">
        <f aca="false">IF(R83="","",MAX(0,R83-G83))</f>
        <v/>
      </c>
      <c r="T83" s="21" t="str">
        <f aca="false">IF(S83="","",S83*K83)</f>
        <v/>
      </c>
      <c r="U83" s="5" t="str">
        <f aca="false">IF(A83="","",IF(J83&gt;Parâmetros!$C$14,"SIM","NAO"))</f>
        <v/>
      </c>
      <c r="V83" s="5" t="str">
        <f aca="false">IF(B83="","",TRIM(LEFT(B83,IFERROR(FIND(" ",B83)-1,LEN(B83)))))</f>
        <v/>
      </c>
      <c r="W83" s="22"/>
      <c r="X83" s="5" t="str">
        <f aca="false">IF(A83="","",IF(W83&lt;&gt;"",W83,V83))</f>
        <v/>
      </c>
      <c r="Y83" s="5" t="str">
        <f aca="false">IF(A83="","",IF(COUNTIFS($X$2:$X$2001,X83,$D$2:$D$2001,"&lt;&gt;"&amp;D83,$C$2:$C$2001,C83)&gt;0,"SIM","NAO"))</f>
        <v/>
      </c>
      <c r="Z83" s="5" t="str">
        <f aca="false">IF(A83="","",IF(J83="","",IFERROR(360/J83,"")))</f>
        <v/>
      </c>
      <c r="AA83" s="5" t="str">
        <f aca="false">IF(A83="","",IF(H83=0,"Parado (sem venda 90d)",IF(Z83&gt;12,"Alto (&gt;12x/ano)",IF(Z83&gt;=4,"Medio (4-12x/ano)","Baixo (&lt;4x/ano)"))))</f>
        <v/>
      </c>
    </row>
    <row r="84" customFormat="false" ht="15" hidden="false" customHeight="tru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6"/>
      <c r="K84" s="18"/>
      <c r="L84" s="19" t="str">
        <f aca="false">IF(A84="","",G84*K84)</f>
        <v/>
      </c>
      <c r="M84" s="20"/>
      <c r="N84" s="6"/>
      <c r="O84" s="6"/>
      <c r="P84" s="5" t="str">
        <f aca="false">IF(A84="","",H84/90)</f>
        <v/>
      </c>
      <c r="Q84" s="5" t="str">
        <f aca="false">IF(A84="","",IFERROR(INDEX(Parâmetros!$C$6:$C$10,MATCH(F84,Parâmetros!$B$6:$B$10,0)),""))</f>
        <v/>
      </c>
      <c r="R84" s="5" t="str">
        <f aca="false">IF(OR(A84="",P84="",Q84=""),"",P84*Q84)</f>
        <v/>
      </c>
      <c r="S84" s="5" t="str">
        <f aca="false">IF(R84="","",MAX(0,R84-G84))</f>
        <v/>
      </c>
      <c r="T84" s="21" t="str">
        <f aca="false">IF(S84="","",S84*K84)</f>
        <v/>
      </c>
      <c r="U84" s="5" t="str">
        <f aca="false">IF(A84="","",IF(J84&gt;Parâmetros!$C$14,"SIM","NAO"))</f>
        <v/>
      </c>
      <c r="V84" s="5" t="str">
        <f aca="false">IF(B84="","",TRIM(LEFT(B84,IFERROR(FIND(" ",B84)-1,LEN(B84)))))</f>
        <v/>
      </c>
      <c r="W84" s="22"/>
      <c r="X84" s="5" t="str">
        <f aca="false">IF(A84="","",IF(W84&lt;&gt;"",W84,V84))</f>
        <v/>
      </c>
      <c r="Y84" s="5" t="str">
        <f aca="false">IF(A84="","",IF(COUNTIFS($X$2:$X$2001,X84,$D$2:$D$2001,"&lt;&gt;"&amp;D84,$C$2:$C$2001,C84)&gt;0,"SIM","NAO"))</f>
        <v/>
      </c>
      <c r="Z84" s="5" t="str">
        <f aca="false">IF(A84="","",IF(J84="","",IFERROR(360/J84,"")))</f>
        <v/>
      </c>
      <c r="AA84" s="5" t="str">
        <f aca="false">IF(A84="","",IF(H84=0,"Parado (sem venda 90d)",IF(Z84&gt;12,"Alto (&gt;12x/ano)",IF(Z84&gt;=4,"Medio (4-12x/ano)","Baixo (&lt;4x/ano)"))))</f>
        <v/>
      </c>
    </row>
    <row r="85" customFormat="false" ht="15" hidden="false" customHeight="tru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6"/>
      <c r="K85" s="18"/>
      <c r="L85" s="19" t="str">
        <f aca="false">IF(A85="","",G85*K85)</f>
        <v/>
      </c>
      <c r="M85" s="20"/>
      <c r="N85" s="6"/>
      <c r="O85" s="6"/>
      <c r="P85" s="5" t="str">
        <f aca="false">IF(A85="","",H85/90)</f>
        <v/>
      </c>
      <c r="Q85" s="5" t="str">
        <f aca="false">IF(A85="","",IFERROR(INDEX(Parâmetros!$C$6:$C$10,MATCH(F85,Parâmetros!$B$6:$B$10,0)),""))</f>
        <v/>
      </c>
      <c r="R85" s="5" t="str">
        <f aca="false">IF(OR(A85="",P85="",Q85=""),"",P85*Q85)</f>
        <v/>
      </c>
      <c r="S85" s="5" t="str">
        <f aca="false">IF(R85="","",MAX(0,R85-G85))</f>
        <v/>
      </c>
      <c r="T85" s="21" t="str">
        <f aca="false">IF(S85="","",S85*K85)</f>
        <v/>
      </c>
      <c r="U85" s="5" t="str">
        <f aca="false">IF(A85="","",IF(J85&gt;Parâmetros!$C$14,"SIM","NAO"))</f>
        <v/>
      </c>
      <c r="V85" s="5" t="str">
        <f aca="false">IF(B85="","",TRIM(LEFT(B85,IFERROR(FIND(" ",B85)-1,LEN(B85)))))</f>
        <v/>
      </c>
      <c r="W85" s="22"/>
      <c r="X85" s="5" t="str">
        <f aca="false">IF(A85="","",IF(W85&lt;&gt;"",W85,V85))</f>
        <v/>
      </c>
      <c r="Y85" s="5" t="str">
        <f aca="false">IF(A85="","",IF(COUNTIFS($X$2:$X$2001,X85,$D$2:$D$2001,"&lt;&gt;"&amp;D85,$C$2:$C$2001,C85)&gt;0,"SIM","NAO"))</f>
        <v/>
      </c>
      <c r="Z85" s="5" t="str">
        <f aca="false">IF(A85="","",IF(J85="","",IFERROR(360/J85,"")))</f>
        <v/>
      </c>
      <c r="AA85" s="5" t="str">
        <f aca="false">IF(A85="","",IF(H85=0,"Parado (sem venda 90d)",IF(Z85&gt;12,"Alto (&gt;12x/ano)",IF(Z85&gt;=4,"Medio (4-12x/ano)","Baixo (&lt;4x/ano)"))))</f>
        <v/>
      </c>
    </row>
    <row r="86" customFormat="false" ht="15" hidden="false" customHeight="tru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6"/>
      <c r="K86" s="18"/>
      <c r="L86" s="19" t="str">
        <f aca="false">IF(A86="","",G86*K86)</f>
        <v/>
      </c>
      <c r="M86" s="20"/>
      <c r="N86" s="6"/>
      <c r="O86" s="6"/>
      <c r="P86" s="5" t="str">
        <f aca="false">IF(A86="","",H86/90)</f>
        <v/>
      </c>
      <c r="Q86" s="5" t="str">
        <f aca="false">IF(A86="","",IFERROR(INDEX(Parâmetros!$C$6:$C$10,MATCH(F86,Parâmetros!$B$6:$B$10,0)),""))</f>
        <v/>
      </c>
      <c r="R86" s="5" t="str">
        <f aca="false">IF(OR(A86="",P86="",Q86=""),"",P86*Q86)</f>
        <v/>
      </c>
      <c r="S86" s="5" t="str">
        <f aca="false">IF(R86="","",MAX(0,R86-G86))</f>
        <v/>
      </c>
      <c r="T86" s="21" t="str">
        <f aca="false">IF(S86="","",S86*K86)</f>
        <v/>
      </c>
      <c r="U86" s="5" t="str">
        <f aca="false">IF(A86="","",IF(J86&gt;Parâmetros!$C$14,"SIM","NAO"))</f>
        <v/>
      </c>
      <c r="V86" s="5" t="str">
        <f aca="false">IF(B86="","",TRIM(LEFT(B86,IFERROR(FIND(" ",B86)-1,LEN(B86)))))</f>
        <v/>
      </c>
      <c r="W86" s="22"/>
      <c r="X86" s="5" t="str">
        <f aca="false">IF(A86="","",IF(W86&lt;&gt;"",W86,V86))</f>
        <v/>
      </c>
      <c r="Y86" s="5" t="str">
        <f aca="false">IF(A86="","",IF(COUNTIFS($X$2:$X$2001,X86,$D$2:$D$2001,"&lt;&gt;"&amp;D86,$C$2:$C$2001,C86)&gt;0,"SIM","NAO"))</f>
        <v/>
      </c>
      <c r="Z86" s="5" t="str">
        <f aca="false">IF(A86="","",IF(J86="","",IFERROR(360/J86,"")))</f>
        <v/>
      </c>
      <c r="AA86" s="5" t="str">
        <f aca="false">IF(A86="","",IF(H86=0,"Parado (sem venda 90d)",IF(Z86&gt;12,"Alto (&gt;12x/ano)",IF(Z86&gt;=4,"Medio (4-12x/ano)","Baixo (&lt;4x/ano)"))))</f>
        <v/>
      </c>
    </row>
    <row r="87" customFormat="false" ht="15" hidden="false" customHeight="tru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6"/>
      <c r="K87" s="18"/>
      <c r="L87" s="19" t="str">
        <f aca="false">IF(A87="","",G87*K87)</f>
        <v/>
      </c>
      <c r="M87" s="20"/>
      <c r="N87" s="6"/>
      <c r="O87" s="6"/>
      <c r="P87" s="5" t="str">
        <f aca="false">IF(A87="","",H87/90)</f>
        <v/>
      </c>
      <c r="Q87" s="5" t="str">
        <f aca="false">IF(A87="","",IFERROR(INDEX(Parâmetros!$C$6:$C$10,MATCH(F87,Parâmetros!$B$6:$B$10,0)),""))</f>
        <v/>
      </c>
      <c r="R87" s="5" t="str">
        <f aca="false">IF(OR(A87="",P87="",Q87=""),"",P87*Q87)</f>
        <v/>
      </c>
      <c r="S87" s="5" t="str">
        <f aca="false">IF(R87="","",MAX(0,R87-G87))</f>
        <v/>
      </c>
      <c r="T87" s="21" t="str">
        <f aca="false">IF(S87="","",S87*K87)</f>
        <v/>
      </c>
      <c r="U87" s="5" t="str">
        <f aca="false">IF(A87="","",IF(J87&gt;Parâmetros!$C$14,"SIM","NAO"))</f>
        <v/>
      </c>
      <c r="V87" s="5" t="str">
        <f aca="false">IF(B87="","",TRIM(LEFT(B87,IFERROR(FIND(" ",B87)-1,LEN(B87)))))</f>
        <v/>
      </c>
      <c r="W87" s="22"/>
      <c r="X87" s="5" t="str">
        <f aca="false">IF(A87="","",IF(W87&lt;&gt;"",W87,V87))</f>
        <v/>
      </c>
      <c r="Y87" s="5" t="str">
        <f aca="false">IF(A87="","",IF(COUNTIFS($X$2:$X$2001,X87,$D$2:$D$2001,"&lt;&gt;"&amp;D87,$C$2:$C$2001,C87)&gt;0,"SIM","NAO"))</f>
        <v/>
      </c>
      <c r="Z87" s="5" t="str">
        <f aca="false">IF(A87="","",IF(J87="","",IFERROR(360/J87,"")))</f>
        <v/>
      </c>
      <c r="AA87" s="5" t="str">
        <f aca="false">IF(A87="","",IF(H87=0,"Parado (sem venda 90d)",IF(Z87&gt;12,"Alto (&gt;12x/ano)",IF(Z87&gt;=4,"Medio (4-12x/ano)","Baixo (&lt;4x/ano)"))))</f>
        <v/>
      </c>
    </row>
    <row r="88" customFormat="false" ht="15" hidden="false" customHeight="tru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6"/>
      <c r="K88" s="18"/>
      <c r="L88" s="19" t="str">
        <f aca="false">IF(A88="","",G88*K88)</f>
        <v/>
      </c>
      <c r="M88" s="20"/>
      <c r="N88" s="6"/>
      <c r="O88" s="6"/>
      <c r="P88" s="5" t="str">
        <f aca="false">IF(A88="","",H88/90)</f>
        <v/>
      </c>
      <c r="Q88" s="5" t="str">
        <f aca="false">IF(A88="","",IFERROR(INDEX(Parâmetros!$C$6:$C$10,MATCH(F88,Parâmetros!$B$6:$B$10,0)),""))</f>
        <v/>
      </c>
      <c r="R88" s="5" t="str">
        <f aca="false">IF(OR(A88="",P88="",Q88=""),"",P88*Q88)</f>
        <v/>
      </c>
      <c r="S88" s="5" t="str">
        <f aca="false">IF(R88="","",MAX(0,R88-G88))</f>
        <v/>
      </c>
      <c r="T88" s="21" t="str">
        <f aca="false">IF(S88="","",S88*K88)</f>
        <v/>
      </c>
      <c r="U88" s="5" t="str">
        <f aca="false">IF(A88="","",IF(J88&gt;Parâmetros!$C$14,"SIM","NAO"))</f>
        <v/>
      </c>
      <c r="V88" s="5" t="str">
        <f aca="false">IF(B88="","",TRIM(LEFT(B88,IFERROR(FIND(" ",B88)-1,LEN(B88)))))</f>
        <v/>
      </c>
      <c r="W88" s="22"/>
      <c r="X88" s="5" t="str">
        <f aca="false">IF(A88="","",IF(W88&lt;&gt;"",W88,V88))</f>
        <v/>
      </c>
      <c r="Y88" s="5" t="str">
        <f aca="false">IF(A88="","",IF(COUNTIFS($X$2:$X$2001,X88,$D$2:$D$2001,"&lt;&gt;"&amp;D88,$C$2:$C$2001,C88)&gt;0,"SIM","NAO"))</f>
        <v/>
      </c>
      <c r="Z88" s="5" t="str">
        <f aca="false">IF(A88="","",IF(J88="","",IFERROR(360/J88,"")))</f>
        <v/>
      </c>
      <c r="AA88" s="5" t="str">
        <f aca="false">IF(A88="","",IF(H88=0,"Parado (sem venda 90d)",IF(Z88&gt;12,"Alto (&gt;12x/ano)",IF(Z88&gt;=4,"Medio (4-12x/ano)","Baixo (&lt;4x/ano)"))))</f>
        <v/>
      </c>
    </row>
    <row r="89" customFormat="false" ht="15" hidden="false" customHeight="tru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  <c r="K89" s="18"/>
      <c r="L89" s="19" t="str">
        <f aca="false">IF(A89="","",G89*K89)</f>
        <v/>
      </c>
      <c r="M89" s="20"/>
      <c r="N89" s="6"/>
      <c r="O89" s="6"/>
      <c r="P89" s="5" t="str">
        <f aca="false">IF(A89="","",H89/90)</f>
        <v/>
      </c>
      <c r="Q89" s="5" t="str">
        <f aca="false">IF(A89="","",IFERROR(INDEX(Parâmetros!$C$6:$C$10,MATCH(F89,Parâmetros!$B$6:$B$10,0)),""))</f>
        <v/>
      </c>
      <c r="R89" s="5" t="str">
        <f aca="false">IF(OR(A89="",P89="",Q89=""),"",P89*Q89)</f>
        <v/>
      </c>
      <c r="S89" s="5" t="str">
        <f aca="false">IF(R89="","",MAX(0,R89-G89))</f>
        <v/>
      </c>
      <c r="T89" s="21" t="str">
        <f aca="false">IF(S89="","",S89*K89)</f>
        <v/>
      </c>
      <c r="U89" s="5" t="str">
        <f aca="false">IF(A89="","",IF(J89&gt;Parâmetros!$C$14,"SIM","NAO"))</f>
        <v/>
      </c>
      <c r="V89" s="5" t="str">
        <f aca="false">IF(B89="","",TRIM(LEFT(B89,IFERROR(FIND(" ",B89)-1,LEN(B89)))))</f>
        <v/>
      </c>
      <c r="W89" s="22"/>
      <c r="X89" s="5" t="str">
        <f aca="false">IF(A89="","",IF(W89&lt;&gt;"",W89,V89))</f>
        <v/>
      </c>
      <c r="Y89" s="5" t="str">
        <f aca="false">IF(A89="","",IF(COUNTIFS($X$2:$X$2001,X89,$D$2:$D$2001,"&lt;&gt;"&amp;D89,$C$2:$C$2001,C89)&gt;0,"SIM","NAO"))</f>
        <v/>
      </c>
      <c r="Z89" s="5" t="str">
        <f aca="false">IF(A89="","",IF(J89="","",IFERROR(360/J89,"")))</f>
        <v/>
      </c>
      <c r="AA89" s="5" t="str">
        <f aca="false">IF(A89="","",IF(H89=0,"Parado (sem venda 90d)",IF(Z89&gt;12,"Alto (&gt;12x/ano)",IF(Z89&gt;=4,"Medio (4-12x/ano)","Baixo (&lt;4x/ano)"))))</f>
        <v/>
      </c>
    </row>
    <row r="90" customFormat="false" ht="15" hidden="false" customHeight="tru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  <c r="K90" s="18"/>
      <c r="L90" s="19" t="str">
        <f aca="false">IF(A90="","",G90*K90)</f>
        <v/>
      </c>
      <c r="M90" s="20"/>
      <c r="N90" s="6"/>
      <c r="O90" s="6"/>
      <c r="P90" s="5" t="str">
        <f aca="false">IF(A90="","",H90/90)</f>
        <v/>
      </c>
      <c r="Q90" s="5" t="str">
        <f aca="false">IF(A90="","",IFERROR(INDEX(Parâmetros!$C$6:$C$10,MATCH(F90,Parâmetros!$B$6:$B$10,0)),""))</f>
        <v/>
      </c>
      <c r="R90" s="5" t="str">
        <f aca="false">IF(OR(A90="",P90="",Q90=""),"",P90*Q90)</f>
        <v/>
      </c>
      <c r="S90" s="5" t="str">
        <f aca="false">IF(R90="","",MAX(0,R90-G90))</f>
        <v/>
      </c>
      <c r="T90" s="21" t="str">
        <f aca="false">IF(S90="","",S90*K90)</f>
        <v/>
      </c>
      <c r="U90" s="5" t="str">
        <f aca="false">IF(A90="","",IF(J90&gt;Parâmetros!$C$14,"SIM","NAO"))</f>
        <v/>
      </c>
      <c r="V90" s="5" t="str">
        <f aca="false">IF(B90="","",TRIM(LEFT(B90,IFERROR(FIND(" ",B90)-1,LEN(B90)))))</f>
        <v/>
      </c>
      <c r="W90" s="22"/>
      <c r="X90" s="5" t="str">
        <f aca="false">IF(A90="","",IF(W90&lt;&gt;"",W90,V90))</f>
        <v/>
      </c>
      <c r="Y90" s="5" t="str">
        <f aca="false">IF(A90="","",IF(COUNTIFS($X$2:$X$2001,X90,$D$2:$D$2001,"&lt;&gt;"&amp;D90,$C$2:$C$2001,C90)&gt;0,"SIM","NAO"))</f>
        <v/>
      </c>
      <c r="Z90" s="5" t="str">
        <f aca="false">IF(A90="","",IF(J90="","",IFERROR(360/J90,"")))</f>
        <v/>
      </c>
      <c r="AA90" s="5" t="str">
        <f aca="false">IF(A90="","",IF(H90=0,"Parado (sem venda 90d)",IF(Z90&gt;12,"Alto (&gt;12x/ano)",IF(Z90&gt;=4,"Medio (4-12x/ano)","Baixo (&lt;4x/ano)"))))</f>
        <v/>
      </c>
    </row>
    <row r="91" customFormat="false" ht="15" hidden="false" customHeight="tru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6"/>
      <c r="K91" s="18"/>
      <c r="L91" s="19" t="str">
        <f aca="false">IF(A91="","",G91*K91)</f>
        <v/>
      </c>
      <c r="M91" s="20"/>
      <c r="N91" s="6"/>
      <c r="O91" s="6"/>
      <c r="P91" s="5" t="str">
        <f aca="false">IF(A91="","",H91/90)</f>
        <v/>
      </c>
      <c r="Q91" s="5" t="str">
        <f aca="false">IF(A91="","",IFERROR(INDEX(Parâmetros!$C$6:$C$10,MATCH(F91,Parâmetros!$B$6:$B$10,0)),""))</f>
        <v/>
      </c>
      <c r="R91" s="5" t="str">
        <f aca="false">IF(OR(A91="",P91="",Q91=""),"",P91*Q91)</f>
        <v/>
      </c>
      <c r="S91" s="5" t="str">
        <f aca="false">IF(R91="","",MAX(0,R91-G91))</f>
        <v/>
      </c>
      <c r="T91" s="21" t="str">
        <f aca="false">IF(S91="","",S91*K91)</f>
        <v/>
      </c>
      <c r="U91" s="5" t="str">
        <f aca="false">IF(A91="","",IF(J91&gt;Parâmetros!$C$14,"SIM","NAO"))</f>
        <v/>
      </c>
      <c r="V91" s="5" t="str">
        <f aca="false">IF(B91="","",TRIM(LEFT(B91,IFERROR(FIND(" ",B91)-1,LEN(B91)))))</f>
        <v/>
      </c>
      <c r="W91" s="22"/>
      <c r="X91" s="5" t="str">
        <f aca="false">IF(A91="","",IF(W91&lt;&gt;"",W91,V91))</f>
        <v/>
      </c>
      <c r="Y91" s="5" t="str">
        <f aca="false">IF(A91="","",IF(COUNTIFS($X$2:$X$2001,X91,$D$2:$D$2001,"&lt;&gt;"&amp;D91,$C$2:$C$2001,C91)&gt;0,"SIM","NAO"))</f>
        <v/>
      </c>
      <c r="Z91" s="5" t="str">
        <f aca="false">IF(A91="","",IF(J91="","",IFERROR(360/J91,"")))</f>
        <v/>
      </c>
      <c r="AA91" s="5" t="str">
        <f aca="false">IF(A91="","",IF(H91=0,"Parado (sem venda 90d)",IF(Z91&gt;12,"Alto (&gt;12x/ano)",IF(Z91&gt;=4,"Medio (4-12x/ano)","Baixo (&lt;4x/ano)"))))</f>
        <v/>
      </c>
    </row>
    <row r="92" customFormat="false" ht="15" hidden="false" customHeight="tru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6"/>
      <c r="K92" s="18"/>
      <c r="L92" s="19" t="str">
        <f aca="false">IF(A92="","",G92*K92)</f>
        <v/>
      </c>
      <c r="M92" s="20"/>
      <c r="N92" s="6"/>
      <c r="O92" s="6"/>
      <c r="P92" s="5" t="str">
        <f aca="false">IF(A92="","",H92/90)</f>
        <v/>
      </c>
      <c r="Q92" s="5" t="str">
        <f aca="false">IF(A92="","",IFERROR(INDEX(Parâmetros!$C$6:$C$10,MATCH(F92,Parâmetros!$B$6:$B$10,0)),""))</f>
        <v/>
      </c>
      <c r="R92" s="5" t="str">
        <f aca="false">IF(OR(A92="",P92="",Q92=""),"",P92*Q92)</f>
        <v/>
      </c>
      <c r="S92" s="5" t="str">
        <f aca="false">IF(R92="","",MAX(0,R92-G92))</f>
        <v/>
      </c>
      <c r="T92" s="21" t="str">
        <f aca="false">IF(S92="","",S92*K92)</f>
        <v/>
      </c>
      <c r="U92" s="5" t="str">
        <f aca="false">IF(A92="","",IF(J92&gt;Parâmetros!$C$14,"SIM","NAO"))</f>
        <v/>
      </c>
      <c r="V92" s="5" t="str">
        <f aca="false">IF(B92="","",TRIM(LEFT(B92,IFERROR(FIND(" ",B92)-1,LEN(B92)))))</f>
        <v/>
      </c>
      <c r="W92" s="22"/>
      <c r="X92" s="5" t="str">
        <f aca="false">IF(A92="","",IF(W92&lt;&gt;"",W92,V92))</f>
        <v/>
      </c>
      <c r="Y92" s="5" t="str">
        <f aca="false">IF(A92="","",IF(COUNTIFS($X$2:$X$2001,X92,$D$2:$D$2001,"&lt;&gt;"&amp;D92,$C$2:$C$2001,C92)&gt;0,"SIM","NAO"))</f>
        <v/>
      </c>
      <c r="Z92" s="5" t="str">
        <f aca="false">IF(A92="","",IF(J92="","",IFERROR(360/J92,"")))</f>
        <v/>
      </c>
      <c r="AA92" s="5" t="str">
        <f aca="false">IF(A92="","",IF(H92=0,"Parado (sem venda 90d)",IF(Z92&gt;12,"Alto (&gt;12x/ano)",IF(Z92&gt;=4,"Medio (4-12x/ano)","Baixo (&lt;4x/ano)"))))</f>
        <v/>
      </c>
    </row>
    <row r="93" customFormat="false" ht="15" hidden="false" customHeight="tru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6"/>
      <c r="K93" s="18"/>
      <c r="L93" s="19" t="str">
        <f aca="false">IF(A93="","",G93*K93)</f>
        <v/>
      </c>
      <c r="M93" s="20"/>
      <c r="N93" s="6"/>
      <c r="O93" s="6"/>
      <c r="P93" s="5" t="str">
        <f aca="false">IF(A93="","",H93/90)</f>
        <v/>
      </c>
      <c r="Q93" s="5" t="str">
        <f aca="false">IF(A93="","",IFERROR(INDEX(Parâmetros!$C$6:$C$10,MATCH(F93,Parâmetros!$B$6:$B$10,0)),""))</f>
        <v/>
      </c>
      <c r="R93" s="5" t="str">
        <f aca="false">IF(OR(A93="",P93="",Q93=""),"",P93*Q93)</f>
        <v/>
      </c>
      <c r="S93" s="5" t="str">
        <f aca="false">IF(R93="","",MAX(0,R93-G93))</f>
        <v/>
      </c>
      <c r="T93" s="21" t="str">
        <f aca="false">IF(S93="","",S93*K93)</f>
        <v/>
      </c>
      <c r="U93" s="5" t="str">
        <f aca="false">IF(A93="","",IF(J93&gt;Parâmetros!$C$14,"SIM","NAO"))</f>
        <v/>
      </c>
      <c r="V93" s="5" t="str">
        <f aca="false">IF(B93="","",TRIM(LEFT(B93,IFERROR(FIND(" ",B93)-1,LEN(B93)))))</f>
        <v/>
      </c>
      <c r="W93" s="22"/>
      <c r="X93" s="5" t="str">
        <f aca="false">IF(A93="","",IF(W93&lt;&gt;"",W93,V93))</f>
        <v/>
      </c>
      <c r="Y93" s="5" t="str">
        <f aca="false">IF(A93="","",IF(COUNTIFS($X$2:$X$2001,X93,$D$2:$D$2001,"&lt;&gt;"&amp;D93,$C$2:$C$2001,C93)&gt;0,"SIM","NAO"))</f>
        <v/>
      </c>
      <c r="Z93" s="5" t="str">
        <f aca="false">IF(A93="","",IF(J93="","",IFERROR(360/J93,"")))</f>
        <v/>
      </c>
      <c r="AA93" s="5" t="str">
        <f aca="false">IF(A93="","",IF(H93=0,"Parado (sem venda 90d)",IF(Z93&gt;12,"Alto (&gt;12x/ano)",IF(Z93&gt;=4,"Medio (4-12x/ano)","Baixo (&lt;4x/ano)"))))</f>
        <v/>
      </c>
    </row>
    <row r="94" customFormat="false" ht="15" hidden="false" customHeight="tru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6"/>
      <c r="K94" s="18"/>
      <c r="L94" s="19" t="str">
        <f aca="false">IF(A94="","",G94*K94)</f>
        <v/>
      </c>
      <c r="M94" s="20"/>
      <c r="N94" s="6"/>
      <c r="O94" s="6"/>
      <c r="P94" s="5" t="str">
        <f aca="false">IF(A94="","",H94/90)</f>
        <v/>
      </c>
      <c r="Q94" s="5" t="str">
        <f aca="false">IF(A94="","",IFERROR(INDEX(Parâmetros!$C$6:$C$10,MATCH(F94,Parâmetros!$B$6:$B$10,0)),""))</f>
        <v/>
      </c>
      <c r="R94" s="5" t="str">
        <f aca="false">IF(OR(A94="",P94="",Q94=""),"",P94*Q94)</f>
        <v/>
      </c>
      <c r="S94" s="5" t="str">
        <f aca="false">IF(R94="","",MAX(0,R94-G94))</f>
        <v/>
      </c>
      <c r="T94" s="21" t="str">
        <f aca="false">IF(S94="","",S94*K94)</f>
        <v/>
      </c>
      <c r="U94" s="5" t="str">
        <f aca="false">IF(A94="","",IF(J94&gt;Parâmetros!$C$14,"SIM","NAO"))</f>
        <v/>
      </c>
      <c r="V94" s="5" t="str">
        <f aca="false">IF(B94="","",TRIM(LEFT(B94,IFERROR(FIND(" ",B94)-1,LEN(B94)))))</f>
        <v/>
      </c>
      <c r="W94" s="22"/>
      <c r="X94" s="5" t="str">
        <f aca="false">IF(A94="","",IF(W94&lt;&gt;"",W94,V94))</f>
        <v/>
      </c>
      <c r="Y94" s="5" t="str">
        <f aca="false">IF(A94="","",IF(COUNTIFS($X$2:$X$2001,X94,$D$2:$D$2001,"&lt;&gt;"&amp;D94,$C$2:$C$2001,C94)&gt;0,"SIM","NAO"))</f>
        <v/>
      </c>
      <c r="Z94" s="5" t="str">
        <f aca="false">IF(A94="","",IF(J94="","",IFERROR(360/J94,"")))</f>
        <v/>
      </c>
      <c r="AA94" s="5" t="str">
        <f aca="false">IF(A94="","",IF(H94=0,"Parado (sem venda 90d)",IF(Z94&gt;12,"Alto (&gt;12x/ano)",IF(Z94&gt;=4,"Medio (4-12x/ano)","Baixo (&lt;4x/ano)"))))</f>
        <v/>
      </c>
    </row>
    <row r="95" customFormat="false" ht="15" hidden="false" customHeight="tru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6"/>
      <c r="K95" s="18"/>
      <c r="L95" s="19" t="str">
        <f aca="false">IF(A95="","",G95*K95)</f>
        <v/>
      </c>
      <c r="M95" s="20"/>
      <c r="N95" s="6"/>
      <c r="O95" s="6"/>
      <c r="P95" s="5" t="str">
        <f aca="false">IF(A95="","",H95/90)</f>
        <v/>
      </c>
      <c r="Q95" s="5" t="str">
        <f aca="false">IF(A95="","",IFERROR(INDEX(Parâmetros!$C$6:$C$10,MATCH(F95,Parâmetros!$B$6:$B$10,0)),""))</f>
        <v/>
      </c>
      <c r="R95" s="5" t="str">
        <f aca="false">IF(OR(A95="",P95="",Q95=""),"",P95*Q95)</f>
        <v/>
      </c>
      <c r="S95" s="5" t="str">
        <f aca="false">IF(R95="","",MAX(0,R95-G95))</f>
        <v/>
      </c>
      <c r="T95" s="21" t="str">
        <f aca="false">IF(S95="","",S95*K95)</f>
        <v/>
      </c>
      <c r="U95" s="5" t="str">
        <f aca="false">IF(A95="","",IF(J95&gt;Parâmetros!$C$14,"SIM","NAO"))</f>
        <v/>
      </c>
      <c r="V95" s="5" t="str">
        <f aca="false">IF(B95="","",TRIM(LEFT(B95,IFERROR(FIND(" ",B95)-1,LEN(B95)))))</f>
        <v/>
      </c>
      <c r="W95" s="22"/>
      <c r="X95" s="5" t="str">
        <f aca="false">IF(A95="","",IF(W95&lt;&gt;"",W95,V95))</f>
        <v/>
      </c>
      <c r="Y95" s="5" t="str">
        <f aca="false">IF(A95="","",IF(COUNTIFS($X$2:$X$2001,X95,$D$2:$D$2001,"&lt;&gt;"&amp;D95,$C$2:$C$2001,C95)&gt;0,"SIM","NAO"))</f>
        <v/>
      </c>
      <c r="Z95" s="5" t="str">
        <f aca="false">IF(A95="","",IF(J95="","",IFERROR(360/J95,"")))</f>
        <v/>
      </c>
      <c r="AA95" s="5" t="str">
        <f aca="false">IF(A95="","",IF(H95=0,"Parado (sem venda 90d)",IF(Z95&gt;12,"Alto (&gt;12x/ano)",IF(Z95&gt;=4,"Medio (4-12x/ano)","Baixo (&lt;4x/ano)"))))</f>
        <v/>
      </c>
    </row>
    <row r="96" customFormat="false" ht="15" hidden="false" customHeight="tru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6"/>
      <c r="K96" s="18"/>
      <c r="L96" s="19" t="str">
        <f aca="false">IF(A96="","",G96*K96)</f>
        <v/>
      </c>
      <c r="M96" s="20"/>
      <c r="N96" s="6"/>
      <c r="O96" s="6"/>
      <c r="P96" s="5" t="str">
        <f aca="false">IF(A96="","",H96/90)</f>
        <v/>
      </c>
      <c r="Q96" s="5" t="str">
        <f aca="false">IF(A96="","",IFERROR(INDEX(Parâmetros!$C$6:$C$10,MATCH(F96,Parâmetros!$B$6:$B$10,0)),""))</f>
        <v/>
      </c>
      <c r="R96" s="5" t="str">
        <f aca="false">IF(OR(A96="",P96="",Q96=""),"",P96*Q96)</f>
        <v/>
      </c>
      <c r="S96" s="5" t="str">
        <f aca="false">IF(R96="","",MAX(0,R96-G96))</f>
        <v/>
      </c>
      <c r="T96" s="21" t="str">
        <f aca="false">IF(S96="","",S96*K96)</f>
        <v/>
      </c>
      <c r="U96" s="5" t="str">
        <f aca="false">IF(A96="","",IF(J96&gt;Parâmetros!$C$14,"SIM","NAO"))</f>
        <v/>
      </c>
      <c r="V96" s="5" t="str">
        <f aca="false">IF(B96="","",TRIM(LEFT(B96,IFERROR(FIND(" ",B96)-1,LEN(B96)))))</f>
        <v/>
      </c>
      <c r="W96" s="22"/>
      <c r="X96" s="5" t="str">
        <f aca="false">IF(A96="","",IF(W96&lt;&gt;"",W96,V96))</f>
        <v/>
      </c>
      <c r="Y96" s="5" t="str">
        <f aca="false">IF(A96="","",IF(COUNTIFS($X$2:$X$2001,X96,$D$2:$D$2001,"&lt;&gt;"&amp;D96,$C$2:$C$2001,C96)&gt;0,"SIM","NAO"))</f>
        <v/>
      </c>
      <c r="Z96" s="5" t="str">
        <f aca="false">IF(A96="","",IF(J96="","",IFERROR(360/J96,"")))</f>
        <v/>
      </c>
      <c r="AA96" s="5" t="str">
        <f aca="false">IF(A96="","",IF(H96=0,"Parado (sem venda 90d)",IF(Z96&gt;12,"Alto (&gt;12x/ano)",IF(Z96&gt;=4,"Medio (4-12x/ano)","Baixo (&lt;4x/ano)"))))</f>
        <v/>
      </c>
    </row>
    <row r="97" customFormat="false" ht="15" hidden="false" customHeight="tru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6"/>
      <c r="K97" s="18"/>
      <c r="L97" s="19" t="str">
        <f aca="false">IF(A97="","",G97*K97)</f>
        <v/>
      </c>
      <c r="M97" s="20"/>
      <c r="N97" s="6"/>
      <c r="O97" s="6"/>
      <c r="P97" s="5" t="str">
        <f aca="false">IF(A97="","",H97/90)</f>
        <v/>
      </c>
      <c r="Q97" s="5" t="str">
        <f aca="false">IF(A97="","",IFERROR(INDEX(Parâmetros!$C$6:$C$10,MATCH(F97,Parâmetros!$B$6:$B$10,0)),""))</f>
        <v/>
      </c>
      <c r="R97" s="5" t="str">
        <f aca="false">IF(OR(A97="",P97="",Q97=""),"",P97*Q97)</f>
        <v/>
      </c>
      <c r="S97" s="5" t="str">
        <f aca="false">IF(R97="","",MAX(0,R97-G97))</f>
        <v/>
      </c>
      <c r="T97" s="21" t="str">
        <f aca="false">IF(S97="","",S97*K97)</f>
        <v/>
      </c>
      <c r="U97" s="5" t="str">
        <f aca="false">IF(A97="","",IF(J97&gt;Parâmetros!$C$14,"SIM","NAO"))</f>
        <v/>
      </c>
      <c r="V97" s="5" t="str">
        <f aca="false">IF(B97="","",TRIM(LEFT(B97,IFERROR(FIND(" ",B97)-1,LEN(B97)))))</f>
        <v/>
      </c>
      <c r="W97" s="22"/>
      <c r="X97" s="5" t="str">
        <f aca="false">IF(A97="","",IF(W97&lt;&gt;"",W97,V97))</f>
        <v/>
      </c>
      <c r="Y97" s="5" t="str">
        <f aca="false">IF(A97="","",IF(COUNTIFS($X$2:$X$2001,X97,$D$2:$D$2001,"&lt;&gt;"&amp;D97,$C$2:$C$2001,C97)&gt;0,"SIM","NAO"))</f>
        <v/>
      </c>
      <c r="Z97" s="5" t="str">
        <f aca="false">IF(A97="","",IF(J97="","",IFERROR(360/J97,"")))</f>
        <v/>
      </c>
      <c r="AA97" s="5" t="str">
        <f aca="false">IF(A97="","",IF(H97=0,"Parado (sem venda 90d)",IF(Z97&gt;12,"Alto (&gt;12x/ano)",IF(Z97&gt;=4,"Medio (4-12x/ano)","Baixo (&lt;4x/ano)"))))</f>
        <v/>
      </c>
    </row>
    <row r="98" customFormat="false" ht="15" hidden="false" customHeight="tru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6"/>
      <c r="K98" s="18"/>
      <c r="L98" s="19" t="str">
        <f aca="false">IF(A98="","",G98*K98)</f>
        <v/>
      </c>
      <c r="M98" s="20"/>
      <c r="N98" s="6"/>
      <c r="O98" s="6"/>
      <c r="P98" s="5" t="str">
        <f aca="false">IF(A98="","",H98/90)</f>
        <v/>
      </c>
      <c r="Q98" s="5" t="str">
        <f aca="false">IF(A98="","",IFERROR(INDEX(Parâmetros!$C$6:$C$10,MATCH(F98,Parâmetros!$B$6:$B$10,0)),""))</f>
        <v/>
      </c>
      <c r="R98" s="5" t="str">
        <f aca="false">IF(OR(A98="",P98="",Q98=""),"",P98*Q98)</f>
        <v/>
      </c>
      <c r="S98" s="5" t="str">
        <f aca="false">IF(R98="","",MAX(0,R98-G98))</f>
        <v/>
      </c>
      <c r="T98" s="21" t="str">
        <f aca="false">IF(S98="","",S98*K98)</f>
        <v/>
      </c>
      <c r="U98" s="5" t="str">
        <f aca="false">IF(A98="","",IF(J98&gt;Parâmetros!$C$14,"SIM","NAO"))</f>
        <v/>
      </c>
      <c r="V98" s="5" t="str">
        <f aca="false">IF(B98="","",TRIM(LEFT(B98,IFERROR(FIND(" ",B98)-1,LEN(B98)))))</f>
        <v/>
      </c>
      <c r="W98" s="22"/>
      <c r="X98" s="5" t="str">
        <f aca="false">IF(A98="","",IF(W98&lt;&gt;"",W98,V98))</f>
        <v/>
      </c>
      <c r="Y98" s="5" t="str">
        <f aca="false">IF(A98="","",IF(COUNTIFS($X$2:$X$2001,X98,$D$2:$D$2001,"&lt;&gt;"&amp;D98,$C$2:$C$2001,C98)&gt;0,"SIM","NAO"))</f>
        <v/>
      </c>
      <c r="Z98" s="5" t="str">
        <f aca="false">IF(A98="","",IF(J98="","",IFERROR(360/J98,"")))</f>
        <v/>
      </c>
      <c r="AA98" s="5" t="str">
        <f aca="false">IF(A98="","",IF(H98=0,"Parado (sem venda 90d)",IF(Z98&gt;12,"Alto (&gt;12x/ano)",IF(Z98&gt;=4,"Medio (4-12x/ano)","Baixo (&lt;4x/ano)"))))</f>
        <v/>
      </c>
    </row>
    <row r="99" customFormat="false" ht="15" hidden="false" customHeight="tru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6"/>
      <c r="K99" s="18"/>
      <c r="L99" s="19" t="str">
        <f aca="false">IF(A99="","",G99*K99)</f>
        <v/>
      </c>
      <c r="M99" s="20"/>
      <c r="N99" s="6"/>
      <c r="O99" s="6"/>
      <c r="P99" s="5" t="str">
        <f aca="false">IF(A99="","",H99/90)</f>
        <v/>
      </c>
      <c r="Q99" s="5" t="str">
        <f aca="false">IF(A99="","",IFERROR(INDEX(Parâmetros!$C$6:$C$10,MATCH(F99,Parâmetros!$B$6:$B$10,0)),""))</f>
        <v/>
      </c>
      <c r="R99" s="5" t="str">
        <f aca="false">IF(OR(A99="",P99="",Q99=""),"",P99*Q99)</f>
        <v/>
      </c>
      <c r="S99" s="5" t="str">
        <f aca="false">IF(R99="","",MAX(0,R99-G99))</f>
        <v/>
      </c>
      <c r="T99" s="21" t="str">
        <f aca="false">IF(S99="","",S99*K99)</f>
        <v/>
      </c>
      <c r="U99" s="5" t="str">
        <f aca="false">IF(A99="","",IF(J99&gt;Parâmetros!$C$14,"SIM","NAO"))</f>
        <v/>
      </c>
      <c r="V99" s="5" t="str">
        <f aca="false">IF(B99="","",TRIM(LEFT(B99,IFERROR(FIND(" ",B99)-1,LEN(B99)))))</f>
        <v/>
      </c>
      <c r="W99" s="22"/>
      <c r="X99" s="5" t="str">
        <f aca="false">IF(A99="","",IF(W99&lt;&gt;"",W99,V99))</f>
        <v/>
      </c>
      <c r="Y99" s="5" t="str">
        <f aca="false">IF(A99="","",IF(COUNTIFS($X$2:$X$2001,X99,$D$2:$D$2001,"&lt;&gt;"&amp;D99,$C$2:$C$2001,C99)&gt;0,"SIM","NAO"))</f>
        <v/>
      </c>
      <c r="Z99" s="5" t="str">
        <f aca="false">IF(A99="","",IF(J99="","",IFERROR(360/J99,"")))</f>
        <v/>
      </c>
      <c r="AA99" s="5" t="str">
        <f aca="false">IF(A99="","",IF(H99=0,"Parado (sem venda 90d)",IF(Z99&gt;12,"Alto (&gt;12x/ano)",IF(Z99&gt;=4,"Medio (4-12x/ano)","Baixo (&lt;4x/ano)"))))</f>
        <v/>
      </c>
    </row>
    <row r="100" customFormat="false" ht="15" hidden="false" customHeight="tru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18"/>
      <c r="L100" s="19" t="str">
        <f aca="false">IF(A100="","",G100*K100)</f>
        <v/>
      </c>
      <c r="M100" s="20"/>
      <c r="N100" s="6"/>
      <c r="O100" s="6"/>
      <c r="P100" s="5" t="str">
        <f aca="false">IF(A100="","",H100/90)</f>
        <v/>
      </c>
      <c r="Q100" s="5" t="str">
        <f aca="false">IF(A100="","",IFERROR(INDEX(Parâmetros!$C$6:$C$10,MATCH(F100,Parâmetros!$B$6:$B$10,0)),""))</f>
        <v/>
      </c>
      <c r="R100" s="5" t="str">
        <f aca="false">IF(OR(A100="",P100="",Q100=""),"",P100*Q100)</f>
        <v/>
      </c>
      <c r="S100" s="5" t="str">
        <f aca="false">IF(R100="","",MAX(0,R100-G100))</f>
        <v/>
      </c>
      <c r="T100" s="21" t="str">
        <f aca="false">IF(S100="","",S100*K100)</f>
        <v/>
      </c>
      <c r="U100" s="5" t="str">
        <f aca="false">IF(A100="","",IF(J100&gt;Parâmetros!$C$14,"SIM","NAO"))</f>
        <v/>
      </c>
      <c r="V100" s="5" t="str">
        <f aca="false">IF(B100="","",TRIM(LEFT(B100,IFERROR(FIND(" ",B100)-1,LEN(B100)))))</f>
        <v/>
      </c>
      <c r="W100" s="22"/>
      <c r="X100" s="5" t="str">
        <f aca="false">IF(A100="","",IF(W100&lt;&gt;"",W100,V100))</f>
        <v/>
      </c>
      <c r="Y100" s="5" t="str">
        <f aca="false">IF(A100="","",IF(COUNTIFS($X$2:$X$2001,X100,$D$2:$D$2001,"&lt;&gt;"&amp;D100,$C$2:$C$2001,C100)&gt;0,"SIM","NAO"))</f>
        <v/>
      </c>
      <c r="Z100" s="5" t="str">
        <f aca="false">IF(A100="","",IF(J100="","",IFERROR(360/J100,"")))</f>
        <v/>
      </c>
      <c r="AA100" s="5" t="str">
        <f aca="false">IF(A100="","",IF(H100=0,"Parado (sem venda 90d)",IF(Z100&gt;12,"Alto (&gt;12x/ano)",IF(Z100&gt;=4,"Medio (4-12x/ano)","Baixo (&lt;4x/ano)"))))</f>
        <v/>
      </c>
    </row>
    <row r="101" customFormat="false" ht="15" hidden="false" customHeight="tru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18"/>
      <c r="L101" s="19" t="str">
        <f aca="false">IF(A101="","",G101*K101)</f>
        <v/>
      </c>
      <c r="M101" s="20"/>
      <c r="N101" s="6"/>
      <c r="O101" s="6"/>
      <c r="P101" s="5" t="str">
        <f aca="false">IF(A101="","",H101/90)</f>
        <v/>
      </c>
      <c r="Q101" s="5" t="str">
        <f aca="false">IF(A101="","",IFERROR(INDEX(Parâmetros!$C$6:$C$10,MATCH(F101,Parâmetros!$B$6:$B$10,0)),""))</f>
        <v/>
      </c>
      <c r="R101" s="5" t="str">
        <f aca="false">IF(OR(A101="",P101="",Q101=""),"",P101*Q101)</f>
        <v/>
      </c>
      <c r="S101" s="5" t="str">
        <f aca="false">IF(R101="","",MAX(0,R101-G101))</f>
        <v/>
      </c>
      <c r="T101" s="21" t="str">
        <f aca="false">IF(S101="","",S101*K101)</f>
        <v/>
      </c>
      <c r="U101" s="5" t="str">
        <f aca="false">IF(A101="","",IF(J101&gt;Parâmetros!$C$14,"SIM","NAO"))</f>
        <v/>
      </c>
      <c r="V101" s="5" t="str">
        <f aca="false">IF(B101="","",TRIM(LEFT(B101,IFERROR(FIND(" ",B101)-1,LEN(B101)))))</f>
        <v/>
      </c>
      <c r="W101" s="22"/>
      <c r="X101" s="5" t="str">
        <f aca="false">IF(A101="","",IF(W101&lt;&gt;"",W101,V101))</f>
        <v/>
      </c>
      <c r="Y101" s="5" t="str">
        <f aca="false">IF(A101="","",IF(COUNTIFS($X$2:$X$2001,X101,$D$2:$D$2001,"&lt;&gt;"&amp;D101,$C$2:$C$2001,C101)&gt;0,"SIM","NAO"))</f>
        <v/>
      </c>
      <c r="Z101" s="5" t="str">
        <f aca="false">IF(A101="","",IF(J101="","",IFERROR(360/J101,"")))</f>
        <v/>
      </c>
      <c r="AA101" s="5" t="str">
        <f aca="false">IF(A101="","",IF(H101=0,"Parado (sem venda 90d)",IF(Z101&gt;12,"Alto (&gt;12x/ano)",IF(Z101&gt;=4,"Medio (4-12x/ano)","Baixo (&lt;4x/ano)"))))</f>
        <v/>
      </c>
    </row>
    <row r="102" customFormat="false" ht="15" hidden="false" customHeight="tru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18"/>
      <c r="L102" s="19" t="str">
        <f aca="false">IF(A102="","",G102*K102)</f>
        <v/>
      </c>
      <c r="M102" s="20"/>
      <c r="N102" s="6"/>
      <c r="O102" s="6"/>
      <c r="P102" s="5" t="str">
        <f aca="false">IF(A102="","",H102/90)</f>
        <v/>
      </c>
      <c r="Q102" s="5" t="str">
        <f aca="false">IF(A102="","",IFERROR(INDEX(Parâmetros!$C$6:$C$10,MATCH(F102,Parâmetros!$B$6:$B$10,0)),""))</f>
        <v/>
      </c>
      <c r="R102" s="5" t="str">
        <f aca="false">IF(OR(A102="",P102="",Q102=""),"",P102*Q102)</f>
        <v/>
      </c>
      <c r="S102" s="5" t="str">
        <f aca="false">IF(R102="","",MAX(0,R102-G102))</f>
        <v/>
      </c>
      <c r="T102" s="21" t="str">
        <f aca="false">IF(S102="","",S102*K102)</f>
        <v/>
      </c>
      <c r="U102" s="5" t="str">
        <f aca="false">IF(A102="","",IF(J102&gt;Parâmetros!$C$14,"SIM","NAO"))</f>
        <v/>
      </c>
      <c r="V102" s="5" t="str">
        <f aca="false">IF(B102="","",TRIM(LEFT(B102,IFERROR(FIND(" ",B102)-1,LEN(B102)))))</f>
        <v/>
      </c>
      <c r="W102" s="22"/>
      <c r="X102" s="5" t="str">
        <f aca="false">IF(A102="","",IF(W102&lt;&gt;"",W102,V102))</f>
        <v/>
      </c>
      <c r="Y102" s="5" t="str">
        <f aca="false">IF(A102="","",IF(COUNTIFS($X$2:$X$2001,X102,$D$2:$D$2001,"&lt;&gt;"&amp;D102,$C$2:$C$2001,C102)&gt;0,"SIM","NAO"))</f>
        <v/>
      </c>
      <c r="Z102" s="5" t="str">
        <f aca="false">IF(A102="","",IF(J102="","",IFERROR(360/J102,"")))</f>
        <v/>
      </c>
      <c r="AA102" s="5" t="str">
        <f aca="false">IF(A102="","",IF(H102=0,"Parado (sem venda 90d)",IF(Z102&gt;12,"Alto (&gt;12x/ano)",IF(Z102&gt;=4,"Medio (4-12x/ano)","Baixo (&lt;4x/ano)"))))</f>
        <v/>
      </c>
    </row>
    <row r="103" customFormat="false" ht="15" hidden="false" customHeight="tru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18"/>
      <c r="L103" s="19" t="str">
        <f aca="false">IF(A103="","",G103*K103)</f>
        <v/>
      </c>
      <c r="M103" s="20"/>
      <c r="N103" s="6"/>
      <c r="O103" s="6"/>
      <c r="P103" s="5" t="str">
        <f aca="false">IF(A103="","",H103/90)</f>
        <v/>
      </c>
      <c r="Q103" s="5" t="str">
        <f aca="false">IF(A103="","",IFERROR(INDEX(Parâmetros!$C$6:$C$10,MATCH(F103,Parâmetros!$B$6:$B$10,0)),""))</f>
        <v/>
      </c>
      <c r="R103" s="5" t="str">
        <f aca="false">IF(OR(A103="",P103="",Q103=""),"",P103*Q103)</f>
        <v/>
      </c>
      <c r="S103" s="5" t="str">
        <f aca="false">IF(R103="","",MAX(0,R103-G103))</f>
        <v/>
      </c>
      <c r="T103" s="21" t="str">
        <f aca="false">IF(S103="","",S103*K103)</f>
        <v/>
      </c>
      <c r="U103" s="5" t="str">
        <f aca="false">IF(A103="","",IF(J103&gt;Parâmetros!$C$14,"SIM","NAO"))</f>
        <v/>
      </c>
      <c r="V103" s="5" t="str">
        <f aca="false">IF(B103="","",TRIM(LEFT(B103,IFERROR(FIND(" ",B103)-1,LEN(B103)))))</f>
        <v/>
      </c>
      <c r="W103" s="22"/>
      <c r="X103" s="5" t="str">
        <f aca="false">IF(A103="","",IF(W103&lt;&gt;"",W103,V103))</f>
        <v/>
      </c>
      <c r="Y103" s="5" t="str">
        <f aca="false">IF(A103="","",IF(COUNTIFS($X$2:$X$2001,X103,$D$2:$D$2001,"&lt;&gt;"&amp;D103,$C$2:$C$2001,C103)&gt;0,"SIM","NAO"))</f>
        <v/>
      </c>
      <c r="Z103" s="5" t="str">
        <f aca="false">IF(A103="","",IF(J103="","",IFERROR(360/J103,"")))</f>
        <v/>
      </c>
      <c r="AA103" s="5" t="str">
        <f aca="false">IF(A103="","",IF(H103=0,"Parado (sem venda 90d)",IF(Z103&gt;12,"Alto (&gt;12x/ano)",IF(Z103&gt;=4,"Medio (4-12x/ano)","Baixo (&lt;4x/ano)"))))</f>
        <v/>
      </c>
    </row>
    <row r="104" customFormat="false" ht="15" hidden="false" customHeight="true" outlineLevel="0" collapsed="false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18"/>
      <c r="L104" s="19" t="str">
        <f aca="false">IF(A104="","",G104*K104)</f>
        <v/>
      </c>
      <c r="M104" s="20"/>
      <c r="N104" s="6"/>
      <c r="O104" s="6"/>
      <c r="P104" s="5" t="str">
        <f aca="false">IF(A104="","",H104/90)</f>
        <v/>
      </c>
      <c r="Q104" s="5" t="str">
        <f aca="false">IF(A104="","",IFERROR(INDEX(Parâmetros!$C$6:$C$10,MATCH(F104,Parâmetros!$B$6:$B$10,0)),""))</f>
        <v/>
      </c>
      <c r="R104" s="5" t="str">
        <f aca="false">IF(OR(A104="",P104="",Q104=""),"",P104*Q104)</f>
        <v/>
      </c>
      <c r="S104" s="5" t="str">
        <f aca="false">IF(R104="","",MAX(0,R104-G104))</f>
        <v/>
      </c>
      <c r="T104" s="21" t="str">
        <f aca="false">IF(S104="","",S104*K104)</f>
        <v/>
      </c>
      <c r="U104" s="5" t="str">
        <f aca="false">IF(A104="","",IF(J104&gt;Parâmetros!$C$14,"SIM","NAO"))</f>
        <v/>
      </c>
      <c r="V104" s="5" t="str">
        <f aca="false">IF(B104="","",TRIM(LEFT(B104,IFERROR(FIND(" ",B104)-1,LEN(B104)))))</f>
        <v/>
      </c>
      <c r="W104" s="22"/>
      <c r="X104" s="5" t="str">
        <f aca="false">IF(A104="","",IF(W104&lt;&gt;"",W104,V104))</f>
        <v/>
      </c>
      <c r="Y104" s="5" t="str">
        <f aca="false">IF(A104="","",IF(COUNTIFS($X$2:$X$2001,X104,$D$2:$D$2001,"&lt;&gt;"&amp;D104,$C$2:$C$2001,C104)&gt;0,"SIM","NAO"))</f>
        <v/>
      </c>
      <c r="Z104" s="5" t="str">
        <f aca="false">IF(A104="","",IF(J104="","",IFERROR(360/J104,"")))</f>
        <v/>
      </c>
      <c r="AA104" s="5" t="str">
        <f aca="false">IF(A104="","",IF(H104=0,"Parado (sem venda 90d)",IF(Z104&gt;12,"Alto (&gt;12x/ano)",IF(Z104&gt;=4,"Medio (4-12x/ano)","Baixo (&lt;4x/ano)"))))</f>
        <v/>
      </c>
    </row>
    <row r="105" customFormat="false" ht="15" hidden="false" customHeight="true" outlineLevel="0" collapsed="false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18"/>
      <c r="L105" s="19" t="str">
        <f aca="false">IF(A105="","",G105*K105)</f>
        <v/>
      </c>
      <c r="M105" s="20"/>
      <c r="N105" s="6"/>
      <c r="O105" s="6"/>
      <c r="P105" s="5" t="str">
        <f aca="false">IF(A105="","",H105/90)</f>
        <v/>
      </c>
      <c r="Q105" s="5" t="str">
        <f aca="false">IF(A105="","",IFERROR(INDEX(Parâmetros!$C$6:$C$10,MATCH(F105,Parâmetros!$B$6:$B$10,0)),""))</f>
        <v/>
      </c>
      <c r="R105" s="5" t="str">
        <f aca="false">IF(OR(A105="",P105="",Q105=""),"",P105*Q105)</f>
        <v/>
      </c>
      <c r="S105" s="5" t="str">
        <f aca="false">IF(R105="","",MAX(0,R105-G105))</f>
        <v/>
      </c>
      <c r="T105" s="21" t="str">
        <f aca="false">IF(S105="","",S105*K105)</f>
        <v/>
      </c>
      <c r="U105" s="5" t="str">
        <f aca="false">IF(A105="","",IF(J105&gt;Parâmetros!$C$14,"SIM","NAO"))</f>
        <v/>
      </c>
      <c r="V105" s="5" t="str">
        <f aca="false">IF(B105="","",TRIM(LEFT(B105,IFERROR(FIND(" ",B105)-1,LEN(B105)))))</f>
        <v/>
      </c>
      <c r="W105" s="22"/>
      <c r="X105" s="5" t="str">
        <f aca="false">IF(A105="","",IF(W105&lt;&gt;"",W105,V105))</f>
        <v/>
      </c>
      <c r="Y105" s="5" t="str">
        <f aca="false">IF(A105="","",IF(COUNTIFS($X$2:$X$2001,X105,$D$2:$D$2001,"&lt;&gt;"&amp;D105,$C$2:$C$2001,C105)&gt;0,"SIM","NAO"))</f>
        <v/>
      </c>
      <c r="Z105" s="5" t="str">
        <f aca="false">IF(A105="","",IF(J105="","",IFERROR(360/J105,"")))</f>
        <v/>
      </c>
      <c r="AA105" s="5" t="str">
        <f aca="false">IF(A105="","",IF(H105=0,"Parado (sem venda 90d)",IF(Z105&gt;12,"Alto (&gt;12x/ano)",IF(Z105&gt;=4,"Medio (4-12x/ano)","Baixo (&lt;4x/ano)"))))</f>
        <v/>
      </c>
    </row>
    <row r="106" customFormat="false" ht="15" hidden="false" customHeight="true" outlineLevel="0" collapsed="false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18"/>
      <c r="L106" s="19" t="str">
        <f aca="false">IF(A106="","",G106*K106)</f>
        <v/>
      </c>
      <c r="M106" s="20"/>
      <c r="N106" s="6"/>
      <c r="O106" s="6"/>
      <c r="P106" s="5" t="str">
        <f aca="false">IF(A106="","",H106/90)</f>
        <v/>
      </c>
      <c r="Q106" s="5" t="str">
        <f aca="false">IF(A106="","",IFERROR(INDEX(Parâmetros!$C$6:$C$10,MATCH(F106,Parâmetros!$B$6:$B$10,0)),""))</f>
        <v/>
      </c>
      <c r="R106" s="5" t="str">
        <f aca="false">IF(OR(A106="",P106="",Q106=""),"",P106*Q106)</f>
        <v/>
      </c>
      <c r="S106" s="5" t="str">
        <f aca="false">IF(R106="","",MAX(0,R106-G106))</f>
        <v/>
      </c>
      <c r="T106" s="21" t="str">
        <f aca="false">IF(S106="","",S106*K106)</f>
        <v/>
      </c>
      <c r="U106" s="5" t="str">
        <f aca="false">IF(A106="","",IF(J106&gt;Parâmetros!$C$14,"SIM","NAO"))</f>
        <v/>
      </c>
      <c r="V106" s="5" t="str">
        <f aca="false">IF(B106="","",TRIM(LEFT(B106,IFERROR(FIND(" ",B106)-1,LEN(B106)))))</f>
        <v/>
      </c>
      <c r="W106" s="22"/>
      <c r="X106" s="5" t="str">
        <f aca="false">IF(A106="","",IF(W106&lt;&gt;"",W106,V106))</f>
        <v/>
      </c>
      <c r="Y106" s="5" t="str">
        <f aca="false">IF(A106="","",IF(COUNTIFS($X$2:$X$2001,X106,$D$2:$D$2001,"&lt;&gt;"&amp;D106,$C$2:$C$2001,C106)&gt;0,"SIM","NAO"))</f>
        <v/>
      </c>
      <c r="Z106" s="5" t="str">
        <f aca="false">IF(A106="","",IF(J106="","",IFERROR(360/J106,"")))</f>
        <v/>
      </c>
      <c r="AA106" s="5" t="str">
        <f aca="false">IF(A106="","",IF(H106=0,"Parado (sem venda 90d)",IF(Z106&gt;12,"Alto (&gt;12x/ano)",IF(Z106&gt;=4,"Medio (4-12x/ano)","Baixo (&lt;4x/ano)"))))</f>
        <v/>
      </c>
    </row>
    <row r="107" customFormat="false" ht="15" hidden="false" customHeight="true" outlineLevel="0" collapsed="false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18"/>
      <c r="L107" s="19" t="str">
        <f aca="false">IF(A107="","",G107*K107)</f>
        <v/>
      </c>
      <c r="M107" s="20"/>
      <c r="N107" s="6"/>
      <c r="O107" s="6"/>
      <c r="P107" s="5" t="str">
        <f aca="false">IF(A107="","",H107/90)</f>
        <v/>
      </c>
      <c r="Q107" s="5" t="str">
        <f aca="false">IF(A107="","",IFERROR(INDEX(Parâmetros!$C$6:$C$10,MATCH(F107,Parâmetros!$B$6:$B$10,0)),""))</f>
        <v/>
      </c>
      <c r="R107" s="5" t="str">
        <f aca="false">IF(OR(A107="",P107="",Q107=""),"",P107*Q107)</f>
        <v/>
      </c>
      <c r="S107" s="5" t="str">
        <f aca="false">IF(R107="","",MAX(0,R107-G107))</f>
        <v/>
      </c>
      <c r="T107" s="21" t="str">
        <f aca="false">IF(S107="","",S107*K107)</f>
        <v/>
      </c>
      <c r="U107" s="5" t="str">
        <f aca="false">IF(A107="","",IF(J107&gt;Parâmetros!$C$14,"SIM","NAO"))</f>
        <v/>
      </c>
      <c r="V107" s="5" t="str">
        <f aca="false">IF(B107="","",TRIM(LEFT(B107,IFERROR(FIND(" ",B107)-1,LEN(B107)))))</f>
        <v/>
      </c>
      <c r="W107" s="22"/>
      <c r="X107" s="5" t="str">
        <f aca="false">IF(A107="","",IF(W107&lt;&gt;"",W107,V107))</f>
        <v/>
      </c>
      <c r="Y107" s="5" t="str">
        <f aca="false">IF(A107="","",IF(COUNTIFS($X$2:$X$2001,X107,$D$2:$D$2001,"&lt;&gt;"&amp;D107,$C$2:$C$2001,C107)&gt;0,"SIM","NAO"))</f>
        <v/>
      </c>
      <c r="Z107" s="5" t="str">
        <f aca="false">IF(A107="","",IF(J107="","",IFERROR(360/J107,"")))</f>
        <v/>
      </c>
      <c r="AA107" s="5" t="str">
        <f aca="false">IF(A107="","",IF(H107=0,"Parado (sem venda 90d)",IF(Z107&gt;12,"Alto (&gt;12x/ano)",IF(Z107&gt;=4,"Medio (4-12x/ano)","Baixo (&lt;4x/ano)"))))</f>
        <v/>
      </c>
    </row>
    <row r="108" customFormat="false" ht="15" hidden="false" customHeight="true" outlineLevel="0" collapsed="false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18"/>
      <c r="L108" s="19" t="str">
        <f aca="false">IF(A108="","",G108*K108)</f>
        <v/>
      </c>
      <c r="M108" s="20"/>
      <c r="N108" s="6"/>
      <c r="O108" s="6"/>
      <c r="P108" s="5" t="str">
        <f aca="false">IF(A108="","",H108/90)</f>
        <v/>
      </c>
      <c r="Q108" s="5" t="str">
        <f aca="false">IF(A108="","",IFERROR(INDEX(Parâmetros!$C$6:$C$10,MATCH(F108,Parâmetros!$B$6:$B$10,0)),""))</f>
        <v/>
      </c>
      <c r="R108" s="5" t="str">
        <f aca="false">IF(OR(A108="",P108="",Q108=""),"",P108*Q108)</f>
        <v/>
      </c>
      <c r="S108" s="5" t="str">
        <f aca="false">IF(R108="","",MAX(0,R108-G108))</f>
        <v/>
      </c>
      <c r="T108" s="21" t="str">
        <f aca="false">IF(S108="","",S108*K108)</f>
        <v/>
      </c>
      <c r="U108" s="5" t="str">
        <f aca="false">IF(A108="","",IF(J108&gt;Parâmetros!$C$14,"SIM","NAO"))</f>
        <v/>
      </c>
      <c r="V108" s="5" t="str">
        <f aca="false">IF(B108="","",TRIM(LEFT(B108,IFERROR(FIND(" ",B108)-1,LEN(B108)))))</f>
        <v/>
      </c>
      <c r="W108" s="22"/>
      <c r="X108" s="5" t="str">
        <f aca="false">IF(A108="","",IF(W108&lt;&gt;"",W108,V108))</f>
        <v/>
      </c>
      <c r="Y108" s="5" t="str">
        <f aca="false">IF(A108="","",IF(COUNTIFS($X$2:$X$2001,X108,$D$2:$D$2001,"&lt;&gt;"&amp;D108,$C$2:$C$2001,C108)&gt;0,"SIM","NAO"))</f>
        <v/>
      </c>
      <c r="Z108" s="5" t="str">
        <f aca="false">IF(A108="","",IF(J108="","",IFERROR(360/J108,"")))</f>
        <v/>
      </c>
      <c r="AA108" s="5" t="str">
        <f aca="false">IF(A108="","",IF(H108=0,"Parado (sem venda 90d)",IF(Z108&gt;12,"Alto (&gt;12x/ano)",IF(Z108&gt;=4,"Medio (4-12x/ano)","Baixo (&lt;4x/ano)"))))</f>
        <v/>
      </c>
    </row>
    <row r="109" customFormat="false" ht="15" hidden="false" customHeight="true" outlineLevel="0" collapsed="false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18"/>
      <c r="L109" s="19" t="str">
        <f aca="false">IF(A109="","",G109*K109)</f>
        <v/>
      </c>
      <c r="M109" s="20"/>
      <c r="N109" s="6"/>
      <c r="O109" s="6"/>
      <c r="P109" s="5" t="str">
        <f aca="false">IF(A109="","",H109/90)</f>
        <v/>
      </c>
      <c r="Q109" s="5" t="str">
        <f aca="false">IF(A109="","",IFERROR(INDEX(Parâmetros!$C$6:$C$10,MATCH(F109,Parâmetros!$B$6:$B$10,0)),""))</f>
        <v/>
      </c>
      <c r="R109" s="5" t="str">
        <f aca="false">IF(OR(A109="",P109="",Q109=""),"",P109*Q109)</f>
        <v/>
      </c>
      <c r="S109" s="5" t="str">
        <f aca="false">IF(R109="","",MAX(0,R109-G109))</f>
        <v/>
      </c>
      <c r="T109" s="21" t="str">
        <f aca="false">IF(S109="","",S109*K109)</f>
        <v/>
      </c>
      <c r="U109" s="5" t="str">
        <f aca="false">IF(A109="","",IF(J109&gt;Parâmetros!$C$14,"SIM","NAO"))</f>
        <v/>
      </c>
      <c r="V109" s="5" t="str">
        <f aca="false">IF(B109="","",TRIM(LEFT(B109,IFERROR(FIND(" ",B109)-1,LEN(B109)))))</f>
        <v/>
      </c>
      <c r="W109" s="22"/>
      <c r="X109" s="5" t="str">
        <f aca="false">IF(A109="","",IF(W109&lt;&gt;"",W109,V109))</f>
        <v/>
      </c>
      <c r="Y109" s="5" t="str">
        <f aca="false">IF(A109="","",IF(COUNTIFS($X$2:$X$2001,X109,$D$2:$D$2001,"&lt;&gt;"&amp;D109,$C$2:$C$2001,C109)&gt;0,"SIM","NAO"))</f>
        <v/>
      </c>
      <c r="Z109" s="5" t="str">
        <f aca="false">IF(A109="","",IF(J109="","",IFERROR(360/J109,"")))</f>
        <v/>
      </c>
      <c r="AA109" s="5" t="str">
        <f aca="false">IF(A109="","",IF(H109=0,"Parado (sem venda 90d)",IF(Z109&gt;12,"Alto (&gt;12x/ano)",IF(Z109&gt;=4,"Medio (4-12x/ano)","Baixo (&lt;4x/ano)"))))</f>
        <v/>
      </c>
    </row>
    <row r="110" customFormat="false" ht="15" hidden="false" customHeight="true" outlineLevel="0" collapsed="false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18"/>
      <c r="L110" s="19" t="str">
        <f aca="false">IF(A110="","",G110*K110)</f>
        <v/>
      </c>
      <c r="M110" s="20"/>
      <c r="N110" s="6"/>
      <c r="O110" s="6"/>
      <c r="P110" s="5" t="str">
        <f aca="false">IF(A110="","",H110/90)</f>
        <v/>
      </c>
      <c r="Q110" s="5" t="str">
        <f aca="false">IF(A110="","",IFERROR(INDEX(Parâmetros!$C$6:$C$10,MATCH(F110,Parâmetros!$B$6:$B$10,0)),""))</f>
        <v/>
      </c>
      <c r="R110" s="5" t="str">
        <f aca="false">IF(OR(A110="",P110="",Q110=""),"",P110*Q110)</f>
        <v/>
      </c>
      <c r="S110" s="5" t="str">
        <f aca="false">IF(R110="","",MAX(0,R110-G110))</f>
        <v/>
      </c>
      <c r="T110" s="21" t="str">
        <f aca="false">IF(S110="","",S110*K110)</f>
        <v/>
      </c>
      <c r="U110" s="5" t="str">
        <f aca="false">IF(A110="","",IF(J110&gt;Parâmetros!$C$14,"SIM","NAO"))</f>
        <v/>
      </c>
      <c r="V110" s="5" t="str">
        <f aca="false">IF(B110="","",TRIM(LEFT(B110,IFERROR(FIND(" ",B110)-1,LEN(B110)))))</f>
        <v/>
      </c>
      <c r="W110" s="22"/>
      <c r="X110" s="5" t="str">
        <f aca="false">IF(A110="","",IF(W110&lt;&gt;"",W110,V110))</f>
        <v/>
      </c>
      <c r="Y110" s="5" t="str">
        <f aca="false">IF(A110="","",IF(COUNTIFS($X$2:$X$2001,X110,$D$2:$D$2001,"&lt;&gt;"&amp;D110,$C$2:$C$2001,C110)&gt;0,"SIM","NAO"))</f>
        <v/>
      </c>
      <c r="Z110" s="5" t="str">
        <f aca="false">IF(A110="","",IF(J110="","",IFERROR(360/J110,"")))</f>
        <v/>
      </c>
      <c r="AA110" s="5" t="str">
        <f aca="false">IF(A110="","",IF(H110=0,"Parado (sem venda 90d)",IF(Z110&gt;12,"Alto (&gt;12x/ano)",IF(Z110&gt;=4,"Medio (4-12x/ano)","Baixo (&lt;4x/ano)"))))</f>
        <v/>
      </c>
    </row>
    <row r="111" customFormat="false" ht="15" hidden="false" customHeight="true" outlineLevel="0" collapsed="false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18"/>
      <c r="L111" s="19" t="str">
        <f aca="false">IF(A111="","",G111*K111)</f>
        <v/>
      </c>
      <c r="M111" s="20"/>
      <c r="N111" s="6"/>
      <c r="O111" s="6"/>
      <c r="P111" s="5" t="str">
        <f aca="false">IF(A111="","",H111/90)</f>
        <v/>
      </c>
      <c r="Q111" s="5" t="str">
        <f aca="false">IF(A111="","",IFERROR(INDEX(Parâmetros!$C$6:$C$10,MATCH(F111,Parâmetros!$B$6:$B$10,0)),""))</f>
        <v/>
      </c>
      <c r="R111" s="5" t="str">
        <f aca="false">IF(OR(A111="",P111="",Q111=""),"",P111*Q111)</f>
        <v/>
      </c>
      <c r="S111" s="5" t="str">
        <f aca="false">IF(R111="","",MAX(0,R111-G111))</f>
        <v/>
      </c>
      <c r="T111" s="21" t="str">
        <f aca="false">IF(S111="","",S111*K111)</f>
        <v/>
      </c>
      <c r="U111" s="5" t="str">
        <f aca="false">IF(A111="","",IF(J111&gt;Parâmetros!$C$14,"SIM","NAO"))</f>
        <v/>
      </c>
      <c r="V111" s="5" t="str">
        <f aca="false">IF(B111="","",TRIM(LEFT(B111,IFERROR(FIND(" ",B111)-1,LEN(B111)))))</f>
        <v/>
      </c>
      <c r="W111" s="22"/>
      <c r="X111" s="5" t="str">
        <f aca="false">IF(A111="","",IF(W111&lt;&gt;"",W111,V111))</f>
        <v/>
      </c>
      <c r="Y111" s="5" t="str">
        <f aca="false">IF(A111="","",IF(COUNTIFS($X$2:$X$2001,X111,$D$2:$D$2001,"&lt;&gt;"&amp;D111,$C$2:$C$2001,C111)&gt;0,"SIM","NAO"))</f>
        <v/>
      </c>
      <c r="Z111" s="5" t="str">
        <f aca="false">IF(A111="","",IF(J111="","",IFERROR(360/J111,"")))</f>
        <v/>
      </c>
      <c r="AA111" s="5" t="str">
        <f aca="false">IF(A111="","",IF(H111=0,"Parado (sem venda 90d)",IF(Z111&gt;12,"Alto (&gt;12x/ano)",IF(Z111&gt;=4,"Medio (4-12x/ano)","Baixo (&lt;4x/ano)"))))</f>
        <v/>
      </c>
    </row>
    <row r="112" customFormat="false" ht="15" hidden="false" customHeight="true" outlineLevel="0" collapsed="false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18"/>
      <c r="L112" s="19" t="str">
        <f aca="false">IF(A112="","",G112*K112)</f>
        <v/>
      </c>
      <c r="M112" s="20"/>
      <c r="N112" s="6"/>
      <c r="O112" s="6"/>
      <c r="P112" s="5" t="str">
        <f aca="false">IF(A112="","",H112/90)</f>
        <v/>
      </c>
      <c r="Q112" s="5" t="str">
        <f aca="false">IF(A112="","",IFERROR(INDEX(Parâmetros!$C$6:$C$10,MATCH(F112,Parâmetros!$B$6:$B$10,0)),""))</f>
        <v/>
      </c>
      <c r="R112" s="5" t="str">
        <f aca="false">IF(OR(A112="",P112="",Q112=""),"",P112*Q112)</f>
        <v/>
      </c>
      <c r="S112" s="5" t="str">
        <f aca="false">IF(R112="","",MAX(0,R112-G112))</f>
        <v/>
      </c>
      <c r="T112" s="21" t="str">
        <f aca="false">IF(S112="","",S112*K112)</f>
        <v/>
      </c>
      <c r="U112" s="5" t="str">
        <f aca="false">IF(A112="","",IF(J112&gt;Parâmetros!$C$14,"SIM","NAO"))</f>
        <v/>
      </c>
      <c r="V112" s="5" t="str">
        <f aca="false">IF(B112="","",TRIM(LEFT(B112,IFERROR(FIND(" ",B112)-1,LEN(B112)))))</f>
        <v/>
      </c>
      <c r="W112" s="22"/>
      <c r="X112" s="5" t="str">
        <f aca="false">IF(A112="","",IF(W112&lt;&gt;"",W112,V112))</f>
        <v/>
      </c>
      <c r="Y112" s="5" t="str">
        <f aca="false">IF(A112="","",IF(COUNTIFS($X$2:$X$2001,X112,$D$2:$D$2001,"&lt;&gt;"&amp;D112,$C$2:$C$2001,C112)&gt;0,"SIM","NAO"))</f>
        <v/>
      </c>
      <c r="Z112" s="5" t="str">
        <f aca="false">IF(A112="","",IF(J112="","",IFERROR(360/J112,"")))</f>
        <v/>
      </c>
      <c r="AA112" s="5" t="str">
        <f aca="false">IF(A112="","",IF(H112=0,"Parado (sem venda 90d)",IF(Z112&gt;12,"Alto (&gt;12x/ano)",IF(Z112&gt;=4,"Medio (4-12x/ano)","Baixo (&lt;4x/ano)"))))</f>
        <v/>
      </c>
    </row>
    <row r="113" customFormat="false" ht="15" hidden="false" customHeight="true" outlineLevel="0" collapsed="false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18"/>
      <c r="L113" s="19" t="str">
        <f aca="false">IF(A113="","",G113*K113)</f>
        <v/>
      </c>
      <c r="M113" s="20"/>
      <c r="N113" s="6"/>
      <c r="O113" s="6"/>
      <c r="P113" s="5" t="str">
        <f aca="false">IF(A113="","",H113/90)</f>
        <v/>
      </c>
      <c r="Q113" s="5" t="str">
        <f aca="false">IF(A113="","",IFERROR(INDEX(Parâmetros!$C$6:$C$10,MATCH(F113,Parâmetros!$B$6:$B$10,0)),""))</f>
        <v/>
      </c>
      <c r="R113" s="5" t="str">
        <f aca="false">IF(OR(A113="",P113="",Q113=""),"",P113*Q113)</f>
        <v/>
      </c>
      <c r="S113" s="5" t="str">
        <f aca="false">IF(R113="","",MAX(0,R113-G113))</f>
        <v/>
      </c>
      <c r="T113" s="21" t="str">
        <f aca="false">IF(S113="","",S113*K113)</f>
        <v/>
      </c>
      <c r="U113" s="5" t="str">
        <f aca="false">IF(A113="","",IF(J113&gt;Parâmetros!$C$14,"SIM","NAO"))</f>
        <v/>
      </c>
      <c r="V113" s="5" t="str">
        <f aca="false">IF(B113="","",TRIM(LEFT(B113,IFERROR(FIND(" ",B113)-1,LEN(B113)))))</f>
        <v/>
      </c>
      <c r="W113" s="22"/>
      <c r="X113" s="5" t="str">
        <f aca="false">IF(A113="","",IF(W113&lt;&gt;"",W113,V113))</f>
        <v/>
      </c>
      <c r="Y113" s="5" t="str">
        <f aca="false">IF(A113="","",IF(COUNTIFS($X$2:$X$2001,X113,$D$2:$D$2001,"&lt;&gt;"&amp;D113,$C$2:$C$2001,C113)&gt;0,"SIM","NAO"))</f>
        <v/>
      </c>
      <c r="Z113" s="5" t="str">
        <f aca="false">IF(A113="","",IF(J113="","",IFERROR(360/J113,"")))</f>
        <v/>
      </c>
      <c r="AA113" s="5" t="str">
        <f aca="false">IF(A113="","",IF(H113=0,"Parado (sem venda 90d)",IF(Z113&gt;12,"Alto (&gt;12x/ano)",IF(Z113&gt;=4,"Medio (4-12x/ano)","Baixo (&lt;4x/ano)"))))</f>
        <v/>
      </c>
    </row>
    <row r="114" customFormat="false" ht="15" hidden="false" customHeight="true" outlineLevel="0" collapsed="false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18"/>
      <c r="L114" s="19" t="str">
        <f aca="false">IF(A114="","",G114*K114)</f>
        <v/>
      </c>
      <c r="M114" s="20"/>
      <c r="N114" s="6"/>
      <c r="O114" s="6"/>
      <c r="P114" s="5" t="str">
        <f aca="false">IF(A114="","",H114/90)</f>
        <v/>
      </c>
      <c r="Q114" s="5" t="str">
        <f aca="false">IF(A114="","",IFERROR(INDEX(Parâmetros!$C$6:$C$10,MATCH(F114,Parâmetros!$B$6:$B$10,0)),""))</f>
        <v/>
      </c>
      <c r="R114" s="5" t="str">
        <f aca="false">IF(OR(A114="",P114="",Q114=""),"",P114*Q114)</f>
        <v/>
      </c>
      <c r="S114" s="5" t="str">
        <f aca="false">IF(R114="","",MAX(0,R114-G114))</f>
        <v/>
      </c>
      <c r="T114" s="21" t="str">
        <f aca="false">IF(S114="","",S114*K114)</f>
        <v/>
      </c>
      <c r="U114" s="5" t="str">
        <f aca="false">IF(A114="","",IF(J114&gt;Parâmetros!$C$14,"SIM","NAO"))</f>
        <v/>
      </c>
      <c r="V114" s="5" t="str">
        <f aca="false">IF(B114="","",TRIM(LEFT(B114,IFERROR(FIND(" ",B114)-1,LEN(B114)))))</f>
        <v/>
      </c>
      <c r="W114" s="22"/>
      <c r="X114" s="5" t="str">
        <f aca="false">IF(A114="","",IF(W114&lt;&gt;"",W114,V114))</f>
        <v/>
      </c>
      <c r="Y114" s="5" t="str">
        <f aca="false">IF(A114="","",IF(COUNTIFS($X$2:$X$2001,X114,$D$2:$D$2001,"&lt;&gt;"&amp;D114,$C$2:$C$2001,C114)&gt;0,"SIM","NAO"))</f>
        <v/>
      </c>
      <c r="Z114" s="5" t="str">
        <f aca="false">IF(A114="","",IF(J114="","",IFERROR(360/J114,"")))</f>
        <v/>
      </c>
      <c r="AA114" s="5" t="str">
        <f aca="false">IF(A114="","",IF(H114=0,"Parado (sem venda 90d)",IF(Z114&gt;12,"Alto (&gt;12x/ano)",IF(Z114&gt;=4,"Medio (4-12x/ano)","Baixo (&lt;4x/ano)"))))</f>
        <v/>
      </c>
    </row>
    <row r="115" customFormat="false" ht="15" hidden="false" customHeight="true" outlineLevel="0" collapsed="false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18"/>
      <c r="L115" s="19" t="str">
        <f aca="false">IF(A115="","",G115*K115)</f>
        <v/>
      </c>
      <c r="M115" s="20"/>
      <c r="N115" s="6"/>
      <c r="O115" s="6"/>
      <c r="P115" s="5" t="str">
        <f aca="false">IF(A115="","",H115/90)</f>
        <v/>
      </c>
      <c r="Q115" s="5" t="str">
        <f aca="false">IF(A115="","",IFERROR(INDEX(Parâmetros!$C$6:$C$10,MATCH(F115,Parâmetros!$B$6:$B$10,0)),""))</f>
        <v/>
      </c>
      <c r="R115" s="5" t="str">
        <f aca="false">IF(OR(A115="",P115="",Q115=""),"",P115*Q115)</f>
        <v/>
      </c>
      <c r="S115" s="5" t="str">
        <f aca="false">IF(R115="","",MAX(0,R115-G115))</f>
        <v/>
      </c>
      <c r="T115" s="21" t="str">
        <f aca="false">IF(S115="","",S115*K115)</f>
        <v/>
      </c>
      <c r="U115" s="5" t="str">
        <f aca="false">IF(A115="","",IF(J115&gt;Parâmetros!$C$14,"SIM","NAO"))</f>
        <v/>
      </c>
      <c r="V115" s="5" t="str">
        <f aca="false">IF(B115="","",TRIM(LEFT(B115,IFERROR(FIND(" ",B115)-1,LEN(B115)))))</f>
        <v/>
      </c>
      <c r="W115" s="22"/>
      <c r="X115" s="5" t="str">
        <f aca="false">IF(A115="","",IF(W115&lt;&gt;"",W115,V115))</f>
        <v/>
      </c>
      <c r="Y115" s="5" t="str">
        <f aca="false">IF(A115="","",IF(COUNTIFS($X$2:$X$2001,X115,$D$2:$D$2001,"&lt;&gt;"&amp;D115,$C$2:$C$2001,C115)&gt;0,"SIM","NAO"))</f>
        <v/>
      </c>
      <c r="Z115" s="5" t="str">
        <f aca="false">IF(A115="","",IF(J115="","",IFERROR(360/J115,"")))</f>
        <v/>
      </c>
      <c r="AA115" s="5" t="str">
        <f aca="false">IF(A115="","",IF(H115=0,"Parado (sem venda 90d)",IF(Z115&gt;12,"Alto (&gt;12x/ano)",IF(Z115&gt;=4,"Medio (4-12x/ano)","Baixo (&lt;4x/ano)"))))</f>
        <v/>
      </c>
    </row>
    <row r="116" customFormat="false" ht="15" hidden="false" customHeight="true" outlineLevel="0" collapsed="false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18"/>
      <c r="L116" s="19" t="str">
        <f aca="false">IF(A116="","",G116*K116)</f>
        <v/>
      </c>
      <c r="M116" s="20"/>
      <c r="N116" s="6"/>
      <c r="O116" s="6"/>
      <c r="P116" s="5" t="str">
        <f aca="false">IF(A116="","",H116/90)</f>
        <v/>
      </c>
      <c r="Q116" s="5" t="str">
        <f aca="false">IF(A116="","",IFERROR(INDEX(Parâmetros!$C$6:$C$10,MATCH(F116,Parâmetros!$B$6:$B$10,0)),""))</f>
        <v/>
      </c>
      <c r="R116" s="5" t="str">
        <f aca="false">IF(OR(A116="",P116="",Q116=""),"",P116*Q116)</f>
        <v/>
      </c>
      <c r="S116" s="5" t="str">
        <f aca="false">IF(R116="","",MAX(0,R116-G116))</f>
        <v/>
      </c>
      <c r="T116" s="21" t="str">
        <f aca="false">IF(S116="","",S116*K116)</f>
        <v/>
      </c>
      <c r="U116" s="5" t="str">
        <f aca="false">IF(A116="","",IF(J116&gt;Parâmetros!$C$14,"SIM","NAO"))</f>
        <v/>
      </c>
      <c r="V116" s="5" t="str">
        <f aca="false">IF(B116="","",TRIM(LEFT(B116,IFERROR(FIND(" ",B116)-1,LEN(B116)))))</f>
        <v/>
      </c>
      <c r="W116" s="22"/>
      <c r="X116" s="5" t="str">
        <f aca="false">IF(A116="","",IF(W116&lt;&gt;"",W116,V116))</f>
        <v/>
      </c>
      <c r="Y116" s="5" t="str">
        <f aca="false">IF(A116="","",IF(COUNTIFS($X$2:$X$2001,X116,$D$2:$D$2001,"&lt;&gt;"&amp;D116,$C$2:$C$2001,C116)&gt;0,"SIM","NAO"))</f>
        <v/>
      </c>
      <c r="Z116" s="5" t="str">
        <f aca="false">IF(A116="","",IF(J116="","",IFERROR(360/J116,"")))</f>
        <v/>
      </c>
      <c r="AA116" s="5" t="str">
        <f aca="false">IF(A116="","",IF(H116=0,"Parado (sem venda 90d)",IF(Z116&gt;12,"Alto (&gt;12x/ano)",IF(Z116&gt;=4,"Medio (4-12x/ano)","Baixo (&lt;4x/ano)"))))</f>
        <v/>
      </c>
    </row>
    <row r="117" customFormat="false" ht="15" hidden="false" customHeight="true" outlineLevel="0" collapsed="false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18"/>
      <c r="L117" s="19" t="str">
        <f aca="false">IF(A117="","",G117*K117)</f>
        <v/>
      </c>
      <c r="M117" s="20"/>
      <c r="N117" s="6"/>
      <c r="O117" s="6"/>
      <c r="P117" s="5" t="str">
        <f aca="false">IF(A117="","",H117/90)</f>
        <v/>
      </c>
      <c r="Q117" s="5" t="str">
        <f aca="false">IF(A117="","",IFERROR(INDEX(Parâmetros!$C$6:$C$10,MATCH(F117,Parâmetros!$B$6:$B$10,0)),""))</f>
        <v/>
      </c>
      <c r="R117" s="5" t="str">
        <f aca="false">IF(OR(A117="",P117="",Q117=""),"",P117*Q117)</f>
        <v/>
      </c>
      <c r="S117" s="5" t="str">
        <f aca="false">IF(R117="","",MAX(0,R117-G117))</f>
        <v/>
      </c>
      <c r="T117" s="21" t="str">
        <f aca="false">IF(S117="","",S117*K117)</f>
        <v/>
      </c>
      <c r="U117" s="5" t="str">
        <f aca="false">IF(A117="","",IF(J117&gt;Parâmetros!$C$14,"SIM","NAO"))</f>
        <v/>
      </c>
      <c r="V117" s="5" t="str">
        <f aca="false">IF(B117="","",TRIM(LEFT(B117,IFERROR(FIND(" ",B117)-1,LEN(B117)))))</f>
        <v/>
      </c>
      <c r="W117" s="22"/>
      <c r="X117" s="5" t="str">
        <f aca="false">IF(A117="","",IF(W117&lt;&gt;"",W117,V117))</f>
        <v/>
      </c>
      <c r="Y117" s="5" t="str">
        <f aca="false">IF(A117="","",IF(COUNTIFS($X$2:$X$2001,X117,$D$2:$D$2001,"&lt;&gt;"&amp;D117,$C$2:$C$2001,C117)&gt;0,"SIM","NAO"))</f>
        <v/>
      </c>
      <c r="Z117" s="5" t="str">
        <f aca="false">IF(A117="","",IF(J117="","",IFERROR(360/J117,"")))</f>
        <v/>
      </c>
      <c r="AA117" s="5" t="str">
        <f aca="false">IF(A117="","",IF(H117=0,"Parado (sem venda 90d)",IF(Z117&gt;12,"Alto (&gt;12x/ano)",IF(Z117&gt;=4,"Medio (4-12x/ano)","Baixo (&lt;4x/ano)"))))</f>
        <v/>
      </c>
    </row>
    <row r="118" customFormat="false" ht="15" hidden="false" customHeight="true" outlineLevel="0" collapsed="false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18"/>
      <c r="L118" s="19" t="str">
        <f aca="false">IF(A118="","",G118*K118)</f>
        <v/>
      </c>
      <c r="M118" s="20"/>
      <c r="N118" s="6"/>
      <c r="O118" s="6"/>
      <c r="P118" s="5" t="str">
        <f aca="false">IF(A118="","",H118/90)</f>
        <v/>
      </c>
      <c r="Q118" s="5" t="str">
        <f aca="false">IF(A118="","",IFERROR(INDEX(Parâmetros!$C$6:$C$10,MATCH(F118,Parâmetros!$B$6:$B$10,0)),""))</f>
        <v/>
      </c>
      <c r="R118" s="5" t="str">
        <f aca="false">IF(OR(A118="",P118="",Q118=""),"",P118*Q118)</f>
        <v/>
      </c>
      <c r="S118" s="5" t="str">
        <f aca="false">IF(R118="","",MAX(0,R118-G118))</f>
        <v/>
      </c>
      <c r="T118" s="21" t="str">
        <f aca="false">IF(S118="","",S118*K118)</f>
        <v/>
      </c>
      <c r="U118" s="5" t="str">
        <f aca="false">IF(A118="","",IF(J118&gt;Parâmetros!$C$14,"SIM","NAO"))</f>
        <v/>
      </c>
      <c r="V118" s="5" t="str">
        <f aca="false">IF(B118="","",TRIM(LEFT(B118,IFERROR(FIND(" ",B118)-1,LEN(B118)))))</f>
        <v/>
      </c>
      <c r="W118" s="22"/>
      <c r="X118" s="5" t="str">
        <f aca="false">IF(A118="","",IF(W118&lt;&gt;"",W118,V118))</f>
        <v/>
      </c>
      <c r="Y118" s="5" t="str">
        <f aca="false">IF(A118="","",IF(COUNTIFS($X$2:$X$2001,X118,$D$2:$D$2001,"&lt;&gt;"&amp;D118,$C$2:$C$2001,C118)&gt;0,"SIM","NAO"))</f>
        <v/>
      </c>
      <c r="Z118" s="5" t="str">
        <f aca="false">IF(A118="","",IF(J118="","",IFERROR(360/J118,"")))</f>
        <v/>
      </c>
      <c r="AA118" s="5" t="str">
        <f aca="false">IF(A118="","",IF(H118=0,"Parado (sem venda 90d)",IF(Z118&gt;12,"Alto (&gt;12x/ano)",IF(Z118&gt;=4,"Medio (4-12x/ano)","Baixo (&lt;4x/ano)"))))</f>
        <v/>
      </c>
    </row>
    <row r="119" customFormat="false" ht="15" hidden="false" customHeight="true" outlineLevel="0" collapsed="false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18"/>
      <c r="L119" s="19" t="str">
        <f aca="false">IF(A119="","",G119*K119)</f>
        <v/>
      </c>
      <c r="M119" s="20"/>
      <c r="N119" s="6"/>
      <c r="O119" s="6"/>
      <c r="P119" s="5" t="str">
        <f aca="false">IF(A119="","",H119/90)</f>
        <v/>
      </c>
      <c r="Q119" s="5" t="str">
        <f aca="false">IF(A119="","",IFERROR(INDEX(Parâmetros!$C$6:$C$10,MATCH(F119,Parâmetros!$B$6:$B$10,0)),""))</f>
        <v/>
      </c>
      <c r="R119" s="5" t="str">
        <f aca="false">IF(OR(A119="",P119="",Q119=""),"",P119*Q119)</f>
        <v/>
      </c>
      <c r="S119" s="5" t="str">
        <f aca="false">IF(R119="","",MAX(0,R119-G119))</f>
        <v/>
      </c>
      <c r="T119" s="21" t="str">
        <f aca="false">IF(S119="","",S119*K119)</f>
        <v/>
      </c>
      <c r="U119" s="5" t="str">
        <f aca="false">IF(A119="","",IF(J119&gt;Parâmetros!$C$14,"SIM","NAO"))</f>
        <v/>
      </c>
      <c r="V119" s="5" t="str">
        <f aca="false">IF(B119="","",TRIM(LEFT(B119,IFERROR(FIND(" ",B119)-1,LEN(B119)))))</f>
        <v/>
      </c>
      <c r="W119" s="22"/>
      <c r="X119" s="5" t="str">
        <f aca="false">IF(A119="","",IF(W119&lt;&gt;"",W119,V119))</f>
        <v/>
      </c>
      <c r="Y119" s="5" t="str">
        <f aca="false">IF(A119="","",IF(COUNTIFS($X$2:$X$2001,X119,$D$2:$D$2001,"&lt;&gt;"&amp;D119,$C$2:$C$2001,C119)&gt;0,"SIM","NAO"))</f>
        <v/>
      </c>
      <c r="Z119" s="5" t="str">
        <f aca="false">IF(A119="","",IF(J119="","",IFERROR(360/J119,"")))</f>
        <v/>
      </c>
      <c r="AA119" s="5" t="str">
        <f aca="false">IF(A119="","",IF(H119=0,"Parado (sem venda 90d)",IF(Z119&gt;12,"Alto (&gt;12x/ano)",IF(Z119&gt;=4,"Medio (4-12x/ano)","Baixo (&lt;4x/ano)"))))</f>
        <v/>
      </c>
    </row>
    <row r="120" customFormat="false" ht="15" hidden="false" customHeight="true" outlineLevel="0" collapsed="false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18"/>
      <c r="L120" s="19" t="str">
        <f aca="false">IF(A120="","",G120*K120)</f>
        <v/>
      </c>
      <c r="M120" s="20"/>
      <c r="N120" s="6"/>
      <c r="O120" s="6"/>
      <c r="P120" s="5" t="str">
        <f aca="false">IF(A120="","",H120/90)</f>
        <v/>
      </c>
      <c r="Q120" s="5" t="str">
        <f aca="false">IF(A120="","",IFERROR(INDEX(Parâmetros!$C$6:$C$10,MATCH(F120,Parâmetros!$B$6:$B$10,0)),""))</f>
        <v/>
      </c>
      <c r="R120" s="5" t="str">
        <f aca="false">IF(OR(A120="",P120="",Q120=""),"",P120*Q120)</f>
        <v/>
      </c>
      <c r="S120" s="5" t="str">
        <f aca="false">IF(R120="","",MAX(0,R120-G120))</f>
        <v/>
      </c>
      <c r="T120" s="21" t="str">
        <f aca="false">IF(S120="","",S120*K120)</f>
        <v/>
      </c>
      <c r="U120" s="5" t="str">
        <f aca="false">IF(A120="","",IF(J120&gt;Parâmetros!$C$14,"SIM","NAO"))</f>
        <v/>
      </c>
      <c r="V120" s="5" t="str">
        <f aca="false">IF(B120="","",TRIM(LEFT(B120,IFERROR(FIND(" ",B120)-1,LEN(B120)))))</f>
        <v/>
      </c>
      <c r="W120" s="22"/>
      <c r="X120" s="5" t="str">
        <f aca="false">IF(A120="","",IF(W120&lt;&gt;"",W120,V120))</f>
        <v/>
      </c>
      <c r="Y120" s="5" t="str">
        <f aca="false">IF(A120="","",IF(COUNTIFS($X$2:$X$2001,X120,$D$2:$D$2001,"&lt;&gt;"&amp;D120,$C$2:$C$2001,C120)&gt;0,"SIM","NAO"))</f>
        <v/>
      </c>
      <c r="Z120" s="5" t="str">
        <f aca="false">IF(A120="","",IF(J120="","",IFERROR(360/J120,"")))</f>
        <v/>
      </c>
      <c r="AA120" s="5" t="str">
        <f aca="false">IF(A120="","",IF(H120=0,"Parado (sem venda 90d)",IF(Z120&gt;12,"Alto (&gt;12x/ano)",IF(Z120&gt;=4,"Medio (4-12x/ano)","Baixo (&lt;4x/ano)"))))</f>
        <v/>
      </c>
    </row>
    <row r="121" customFormat="false" ht="15" hidden="false" customHeight="true" outlineLevel="0" collapsed="false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18"/>
      <c r="L121" s="19" t="str">
        <f aca="false">IF(A121="","",G121*K121)</f>
        <v/>
      </c>
      <c r="M121" s="20"/>
      <c r="N121" s="6"/>
      <c r="O121" s="6"/>
      <c r="P121" s="5" t="str">
        <f aca="false">IF(A121="","",H121/90)</f>
        <v/>
      </c>
      <c r="Q121" s="5" t="str">
        <f aca="false">IF(A121="","",IFERROR(INDEX(Parâmetros!$C$6:$C$10,MATCH(F121,Parâmetros!$B$6:$B$10,0)),""))</f>
        <v/>
      </c>
      <c r="R121" s="5" t="str">
        <f aca="false">IF(OR(A121="",P121="",Q121=""),"",P121*Q121)</f>
        <v/>
      </c>
      <c r="S121" s="5" t="str">
        <f aca="false">IF(R121="","",MAX(0,R121-G121))</f>
        <v/>
      </c>
      <c r="T121" s="21" t="str">
        <f aca="false">IF(S121="","",S121*K121)</f>
        <v/>
      </c>
      <c r="U121" s="5" t="str">
        <f aca="false">IF(A121="","",IF(J121&gt;Parâmetros!$C$14,"SIM","NAO"))</f>
        <v/>
      </c>
      <c r="V121" s="5" t="str">
        <f aca="false">IF(B121="","",TRIM(LEFT(B121,IFERROR(FIND(" ",B121)-1,LEN(B121)))))</f>
        <v/>
      </c>
      <c r="W121" s="22"/>
      <c r="X121" s="5" t="str">
        <f aca="false">IF(A121="","",IF(W121&lt;&gt;"",W121,V121))</f>
        <v/>
      </c>
      <c r="Y121" s="5" t="str">
        <f aca="false">IF(A121="","",IF(COUNTIFS($X$2:$X$2001,X121,$D$2:$D$2001,"&lt;&gt;"&amp;D121,$C$2:$C$2001,C121)&gt;0,"SIM","NAO"))</f>
        <v/>
      </c>
      <c r="Z121" s="5" t="str">
        <f aca="false">IF(A121="","",IF(J121="","",IFERROR(360/J121,"")))</f>
        <v/>
      </c>
      <c r="AA121" s="5" t="str">
        <f aca="false">IF(A121="","",IF(H121=0,"Parado (sem venda 90d)",IF(Z121&gt;12,"Alto (&gt;12x/ano)",IF(Z121&gt;=4,"Medio (4-12x/ano)","Baixo (&lt;4x/ano)"))))</f>
        <v/>
      </c>
    </row>
    <row r="122" customFormat="false" ht="15" hidden="false" customHeight="true" outlineLevel="0" collapsed="false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18"/>
      <c r="L122" s="19" t="str">
        <f aca="false">IF(A122="","",G122*K122)</f>
        <v/>
      </c>
      <c r="M122" s="20"/>
      <c r="N122" s="6"/>
      <c r="O122" s="6"/>
      <c r="P122" s="5" t="str">
        <f aca="false">IF(A122="","",H122/90)</f>
        <v/>
      </c>
      <c r="Q122" s="5" t="str">
        <f aca="false">IF(A122="","",IFERROR(INDEX(Parâmetros!$C$6:$C$10,MATCH(F122,Parâmetros!$B$6:$B$10,0)),""))</f>
        <v/>
      </c>
      <c r="R122" s="5" t="str">
        <f aca="false">IF(OR(A122="",P122="",Q122=""),"",P122*Q122)</f>
        <v/>
      </c>
      <c r="S122" s="5" t="str">
        <f aca="false">IF(R122="","",MAX(0,R122-G122))</f>
        <v/>
      </c>
      <c r="T122" s="21" t="str">
        <f aca="false">IF(S122="","",S122*K122)</f>
        <v/>
      </c>
      <c r="U122" s="5" t="str">
        <f aca="false">IF(A122="","",IF(J122&gt;Parâmetros!$C$14,"SIM","NAO"))</f>
        <v/>
      </c>
      <c r="V122" s="5" t="str">
        <f aca="false">IF(B122="","",TRIM(LEFT(B122,IFERROR(FIND(" ",B122)-1,LEN(B122)))))</f>
        <v/>
      </c>
      <c r="W122" s="22"/>
      <c r="X122" s="5" t="str">
        <f aca="false">IF(A122="","",IF(W122&lt;&gt;"",W122,V122))</f>
        <v/>
      </c>
      <c r="Y122" s="5" t="str">
        <f aca="false">IF(A122="","",IF(COUNTIFS($X$2:$X$2001,X122,$D$2:$D$2001,"&lt;&gt;"&amp;D122,$C$2:$C$2001,C122)&gt;0,"SIM","NAO"))</f>
        <v/>
      </c>
      <c r="Z122" s="5" t="str">
        <f aca="false">IF(A122="","",IF(J122="","",IFERROR(360/J122,"")))</f>
        <v/>
      </c>
      <c r="AA122" s="5" t="str">
        <f aca="false">IF(A122="","",IF(H122=0,"Parado (sem venda 90d)",IF(Z122&gt;12,"Alto (&gt;12x/ano)",IF(Z122&gt;=4,"Medio (4-12x/ano)","Baixo (&lt;4x/ano)"))))</f>
        <v/>
      </c>
    </row>
    <row r="123" customFormat="false" ht="15" hidden="false" customHeight="true" outlineLevel="0" collapsed="false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18"/>
      <c r="L123" s="19" t="str">
        <f aca="false">IF(A123="","",G123*K123)</f>
        <v/>
      </c>
      <c r="M123" s="20"/>
      <c r="N123" s="6"/>
      <c r="O123" s="6"/>
      <c r="P123" s="5" t="str">
        <f aca="false">IF(A123="","",H123/90)</f>
        <v/>
      </c>
      <c r="Q123" s="5" t="str">
        <f aca="false">IF(A123="","",IFERROR(INDEX(Parâmetros!$C$6:$C$10,MATCH(F123,Parâmetros!$B$6:$B$10,0)),""))</f>
        <v/>
      </c>
      <c r="R123" s="5" t="str">
        <f aca="false">IF(OR(A123="",P123="",Q123=""),"",P123*Q123)</f>
        <v/>
      </c>
      <c r="S123" s="5" t="str">
        <f aca="false">IF(R123="","",MAX(0,R123-G123))</f>
        <v/>
      </c>
      <c r="T123" s="21" t="str">
        <f aca="false">IF(S123="","",S123*K123)</f>
        <v/>
      </c>
      <c r="U123" s="5" t="str">
        <f aca="false">IF(A123="","",IF(J123&gt;Parâmetros!$C$14,"SIM","NAO"))</f>
        <v/>
      </c>
      <c r="V123" s="5" t="str">
        <f aca="false">IF(B123="","",TRIM(LEFT(B123,IFERROR(FIND(" ",B123)-1,LEN(B123)))))</f>
        <v/>
      </c>
      <c r="W123" s="22"/>
      <c r="X123" s="5" t="str">
        <f aca="false">IF(A123="","",IF(W123&lt;&gt;"",W123,V123))</f>
        <v/>
      </c>
      <c r="Y123" s="5" t="str">
        <f aca="false">IF(A123="","",IF(COUNTIFS($X$2:$X$2001,X123,$D$2:$D$2001,"&lt;&gt;"&amp;D123,$C$2:$C$2001,C123)&gt;0,"SIM","NAO"))</f>
        <v/>
      </c>
      <c r="Z123" s="5" t="str">
        <f aca="false">IF(A123="","",IF(J123="","",IFERROR(360/J123,"")))</f>
        <v/>
      </c>
      <c r="AA123" s="5" t="str">
        <f aca="false">IF(A123="","",IF(H123=0,"Parado (sem venda 90d)",IF(Z123&gt;12,"Alto (&gt;12x/ano)",IF(Z123&gt;=4,"Medio (4-12x/ano)","Baixo (&lt;4x/ano)"))))</f>
        <v/>
      </c>
    </row>
    <row r="124" customFormat="false" ht="15" hidden="false" customHeight="true" outlineLevel="0" collapsed="false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18"/>
      <c r="L124" s="19" t="str">
        <f aca="false">IF(A124="","",G124*K124)</f>
        <v/>
      </c>
      <c r="M124" s="20"/>
      <c r="N124" s="6"/>
      <c r="O124" s="6"/>
      <c r="P124" s="5" t="str">
        <f aca="false">IF(A124="","",H124/90)</f>
        <v/>
      </c>
      <c r="Q124" s="5" t="str">
        <f aca="false">IF(A124="","",IFERROR(INDEX(Parâmetros!$C$6:$C$10,MATCH(F124,Parâmetros!$B$6:$B$10,0)),""))</f>
        <v/>
      </c>
      <c r="R124" s="5" t="str">
        <f aca="false">IF(OR(A124="",P124="",Q124=""),"",P124*Q124)</f>
        <v/>
      </c>
      <c r="S124" s="5" t="str">
        <f aca="false">IF(R124="","",MAX(0,R124-G124))</f>
        <v/>
      </c>
      <c r="T124" s="21" t="str">
        <f aca="false">IF(S124="","",S124*K124)</f>
        <v/>
      </c>
      <c r="U124" s="5" t="str">
        <f aca="false">IF(A124="","",IF(J124&gt;Parâmetros!$C$14,"SIM","NAO"))</f>
        <v/>
      </c>
      <c r="V124" s="5" t="str">
        <f aca="false">IF(B124="","",TRIM(LEFT(B124,IFERROR(FIND(" ",B124)-1,LEN(B124)))))</f>
        <v/>
      </c>
      <c r="W124" s="22"/>
      <c r="X124" s="5" t="str">
        <f aca="false">IF(A124="","",IF(W124&lt;&gt;"",W124,V124))</f>
        <v/>
      </c>
      <c r="Y124" s="5" t="str">
        <f aca="false">IF(A124="","",IF(COUNTIFS($X$2:$X$2001,X124,$D$2:$D$2001,"&lt;&gt;"&amp;D124,$C$2:$C$2001,C124)&gt;0,"SIM","NAO"))</f>
        <v/>
      </c>
      <c r="Z124" s="5" t="str">
        <f aca="false">IF(A124="","",IF(J124="","",IFERROR(360/J124,"")))</f>
        <v/>
      </c>
      <c r="AA124" s="5" t="str">
        <f aca="false">IF(A124="","",IF(H124=0,"Parado (sem venda 90d)",IF(Z124&gt;12,"Alto (&gt;12x/ano)",IF(Z124&gt;=4,"Medio (4-12x/ano)","Baixo (&lt;4x/ano)"))))</f>
        <v/>
      </c>
    </row>
    <row r="125" customFormat="false" ht="15" hidden="false" customHeight="true" outlineLevel="0" collapsed="false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18"/>
      <c r="L125" s="19" t="str">
        <f aca="false">IF(A125="","",G125*K125)</f>
        <v/>
      </c>
      <c r="M125" s="20"/>
      <c r="N125" s="6"/>
      <c r="O125" s="6"/>
      <c r="P125" s="5" t="str">
        <f aca="false">IF(A125="","",H125/90)</f>
        <v/>
      </c>
      <c r="Q125" s="5" t="str">
        <f aca="false">IF(A125="","",IFERROR(INDEX(Parâmetros!$C$6:$C$10,MATCH(F125,Parâmetros!$B$6:$B$10,0)),""))</f>
        <v/>
      </c>
      <c r="R125" s="5" t="str">
        <f aca="false">IF(OR(A125="",P125="",Q125=""),"",P125*Q125)</f>
        <v/>
      </c>
      <c r="S125" s="5" t="str">
        <f aca="false">IF(R125="","",MAX(0,R125-G125))</f>
        <v/>
      </c>
      <c r="T125" s="21" t="str">
        <f aca="false">IF(S125="","",S125*K125)</f>
        <v/>
      </c>
      <c r="U125" s="5" t="str">
        <f aca="false">IF(A125="","",IF(J125&gt;Parâmetros!$C$14,"SIM","NAO"))</f>
        <v/>
      </c>
      <c r="V125" s="5" t="str">
        <f aca="false">IF(B125="","",TRIM(LEFT(B125,IFERROR(FIND(" ",B125)-1,LEN(B125)))))</f>
        <v/>
      </c>
      <c r="W125" s="22"/>
      <c r="X125" s="5" t="str">
        <f aca="false">IF(A125="","",IF(W125&lt;&gt;"",W125,V125))</f>
        <v/>
      </c>
      <c r="Y125" s="5" t="str">
        <f aca="false">IF(A125="","",IF(COUNTIFS($X$2:$X$2001,X125,$D$2:$D$2001,"&lt;&gt;"&amp;D125,$C$2:$C$2001,C125)&gt;0,"SIM","NAO"))</f>
        <v/>
      </c>
      <c r="Z125" s="5" t="str">
        <f aca="false">IF(A125="","",IF(J125="","",IFERROR(360/J125,"")))</f>
        <v/>
      </c>
      <c r="AA125" s="5" t="str">
        <f aca="false">IF(A125="","",IF(H125=0,"Parado (sem venda 90d)",IF(Z125&gt;12,"Alto (&gt;12x/ano)",IF(Z125&gt;=4,"Medio (4-12x/ano)","Baixo (&lt;4x/ano)"))))</f>
        <v/>
      </c>
    </row>
    <row r="126" customFormat="false" ht="15" hidden="false" customHeight="true" outlineLevel="0" collapsed="false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18"/>
      <c r="L126" s="19" t="str">
        <f aca="false">IF(A126="","",G126*K126)</f>
        <v/>
      </c>
      <c r="M126" s="20"/>
      <c r="N126" s="6"/>
      <c r="O126" s="6"/>
      <c r="P126" s="5" t="str">
        <f aca="false">IF(A126="","",H126/90)</f>
        <v/>
      </c>
      <c r="Q126" s="5" t="str">
        <f aca="false">IF(A126="","",IFERROR(INDEX(Parâmetros!$C$6:$C$10,MATCH(F126,Parâmetros!$B$6:$B$10,0)),""))</f>
        <v/>
      </c>
      <c r="R126" s="5" t="str">
        <f aca="false">IF(OR(A126="",P126="",Q126=""),"",P126*Q126)</f>
        <v/>
      </c>
      <c r="S126" s="5" t="str">
        <f aca="false">IF(R126="","",MAX(0,R126-G126))</f>
        <v/>
      </c>
      <c r="T126" s="21" t="str">
        <f aca="false">IF(S126="","",S126*K126)</f>
        <v/>
      </c>
      <c r="U126" s="5" t="str">
        <f aca="false">IF(A126="","",IF(J126&gt;Parâmetros!$C$14,"SIM","NAO"))</f>
        <v/>
      </c>
      <c r="V126" s="5" t="str">
        <f aca="false">IF(B126="","",TRIM(LEFT(B126,IFERROR(FIND(" ",B126)-1,LEN(B126)))))</f>
        <v/>
      </c>
      <c r="W126" s="22"/>
      <c r="X126" s="5" t="str">
        <f aca="false">IF(A126="","",IF(W126&lt;&gt;"",W126,V126))</f>
        <v/>
      </c>
      <c r="Y126" s="5" t="str">
        <f aca="false">IF(A126="","",IF(COUNTIFS($X$2:$X$2001,X126,$D$2:$D$2001,"&lt;&gt;"&amp;D126,$C$2:$C$2001,C126)&gt;0,"SIM","NAO"))</f>
        <v/>
      </c>
      <c r="Z126" s="5" t="str">
        <f aca="false">IF(A126="","",IF(J126="","",IFERROR(360/J126,"")))</f>
        <v/>
      </c>
      <c r="AA126" s="5" t="str">
        <f aca="false">IF(A126="","",IF(H126=0,"Parado (sem venda 90d)",IF(Z126&gt;12,"Alto (&gt;12x/ano)",IF(Z126&gt;=4,"Medio (4-12x/ano)","Baixo (&lt;4x/ano)"))))</f>
        <v/>
      </c>
    </row>
    <row r="127" customFormat="false" ht="15" hidden="false" customHeight="true" outlineLevel="0" collapsed="false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18"/>
      <c r="L127" s="19" t="str">
        <f aca="false">IF(A127="","",G127*K127)</f>
        <v/>
      </c>
      <c r="M127" s="20"/>
      <c r="N127" s="6"/>
      <c r="O127" s="6"/>
      <c r="P127" s="5" t="str">
        <f aca="false">IF(A127="","",H127/90)</f>
        <v/>
      </c>
      <c r="Q127" s="5" t="str">
        <f aca="false">IF(A127="","",IFERROR(INDEX(Parâmetros!$C$6:$C$10,MATCH(F127,Parâmetros!$B$6:$B$10,0)),""))</f>
        <v/>
      </c>
      <c r="R127" s="5" t="str">
        <f aca="false">IF(OR(A127="",P127="",Q127=""),"",P127*Q127)</f>
        <v/>
      </c>
      <c r="S127" s="5" t="str">
        <f aca="false">IF(R127="","",MAX(0,R127-G127))</f>
        <v/>
      </c>
      <c r="T127" s="21" t="str">
        <f aca="false">IF(S127="","",S127*K127)</f>
        <v/>
      </c>
      <c r="U127" s="5" t="str">
        <f aca="false">IF(A127="","",IF(J127&gt;Parâmetros!$C$14,"SIM","NAO"))</f>
        <v/>
      </c>
      <c r="V127" s="5" t="str">
        <f aca="false">IF(B127="","",TRIM(LEFT(B127,IFERROR(FIND(" ",B127)-1,LEN(B127)))))</f>
        <v/>
      </c>
      <c r="W127" s="22"/>
      <c r="X127" s="5" t="str">
        <f aca="false">IF(A127="","",IF(W127&lt;&gt;"",W127,V127))</f>
        <v/>
      </c>
      <c r="Y127" s="5" t="str">
        <f aca="false">IF(A127="","",IF(COUNTIFS($X$2:$X$2001,X127,$D$2:$D$2001,"&lt;&gt;"&amp;D127,$C$2:$C$2001,C127)&gt;0,"SIM","NAO"))</f>
        <v/>
      </c>
      <c r="Z127" s="5" t="str">
        <f aca="false">IF(A127="","",IF(J127="","",IFERROR(360/J127,"")))</f>
        <v/>
      </c>
      <c r="AA127" s="5" t="str">
        <f aca="false">IF(A127="","",IF(H127=0,"Parado (sem venda 90d)",IF(Z127&gt;12,"Alto (&gt;12x/ano)",IF(Z127&gt;=4,"Medio (4-12x/ano)","Baixo (&lt;4x/ano)"))))</f>
        <v/>
      </c>
    </row>
    <row r="128" customFormat="false" ht="15" hidden="false" customHeight="true" outlineLevel="0" collapsed="false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18"/>
      <c r="L128" s="19" t="str">
        <f aca="false">IF(A128="","",G128*K128)</f>
        <v/>
      </c>
      <c r="M128" s="20"/>
      <c r="N128" s="6"/>
      <c r="O128" s="6"/>
      <c r="P128" s="5" t="str">
        <f aca="false">IF(A128="","",H128/90)</f>
        <v/>
      </c>
      <c r="Q128" s="5" t="str">
        <f aca="false">IF(A128="","",IFERROR(INDEX(Parâmetros!$C$6:$C$10,MATCH(F128,Parâmetros!$B$6:$B$10,0)),""))</f>
        <v/>
      </c>
      <c r="R128" s="5" t="str">
        <f aca="false">IF(OR(A128="",P128="",Q128=""),"",P128*Q128)</f>
        <v/>
      </c>
      <c r="S128" s="5" t="str">
        <f aca="false">IF(R128="","",MAX(0,R128-G128))</f>
        <v/>
      </c>
      <c r="T128" s="21" t="str">
        <f aca="false">IF(S128="","",S128*K128)</f>
        <v/>
      </c>
      <c r="U128" s="5" t="str">
        <f aca="false">IF(A128="","",IF(J128&gt;Parâmetros!$C$14,"SIM","NAO"))</f>
        <v/>
      </c>
      <c r="V128" s="5" t="str">
        <f aca="false">IF(B128="","",TRIM(LEFT(B128,IFERROR(FIND(" ",B128)-1,LEN(B128)))))</f>
        <v/>
      </c>
      <c r="W128" s="22"/>
      <c r="X128" s="5" t="str">
        <f aca="false">IF(A128="","",IF(W128&lt;&gt;"",W128,V128))</f>
        <v/>
      </c>
      <c r="Y128" s="5" t="str">
        <f aca="false">IF(A128="","",IF(COUNTIFS($X$2:$X$2001,X128,$D$2:$D$2001,"&lt;&gt;"&amp;D128,$C$2:$C$2001,C128)&gt;0,"SIM","NAO"))</f>
        <v/>
      </c>
      <c r="Z128" s="5" t="str">
        <f aca="false">IF(A128="","",IF(J128="","",IFERROR(360/J128,"")))</f>
        <v/>
      </c>
      <c r="AA128" s="5" t="str">
        <f aca="false">IF(A128="","",IF(H128=0,"Parado (sem venda 90d)",IF(Z128&gt;12,"Alto (&gt;12x/ano)",IF(Z128&gt;=4,"Medio (4-12x/ano)","Baixo (&lt;4x/ano)"))))</f>
        <v/>
      </c>
    </row>
    <row r="129" customFormat="false" ht="15" hidden="false" customHeight="true" outlineLevel="0" collapsed="false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18"/>
      <c r="L129" s="19" t="str">
        <f aca="false">IF(A129="","",G129*K129)</f>
        <v/>
      </c>
      <c r="M129" s="20"/>
      <c r="N129" s="6"/>
      <c r="O129" s="6"/>
      <c r="P129" s="5" t="str">
        <f aca="false">IF(A129="","",H129/90)</f>
        <v/>
      </c>
      <c r="Q129" s="5" t="str">
        <f aca="false">IF(A129="","",IFERROR(INDEX(Parâmetros!$C$6:$C$10,MATCH(F129,Parâmetros!$B$6:$B$10,0)),""))</f>
        <v/>
      </c>
      <c r="R129" s="5" t="str">
        <f aca="false">IF(OR(A129="",P129="",Q129=""),"",P129*Q129)</f>
        <v/>
      </c>
      <c r="S129" s="5" t="str">
        <f aca="false">IF(R129="","",MAX(0,R129-G129))</f>
        <v/>
      </c>
      <c r="T129" s="21" t="str">
        <f aca="false">IF(S129="","",S129*K129)</f>
        <v/>
      </c>
      <c r="U129" s="5" t="str">
        <f aca="false">IF(A129="","",IF(J129&gt;Parâmetros!$C$14,"SIM","NAO"))</f>
        <v/>
      </c>
      <c r="V129" s="5" t="str">
        <f aca="false">IF(B129="","",TRIM(LEFT(B129,IFERROR(FIND(" ",B129)-1,LEN(B129)))))</f>
        <v/>
      </c>
      <c r="W129" s="22"/>
      <c r="X129" s="5" t="str">
        <f aca="false">IF(A129="","",IF(W129&lt;&gt;"",W129,V129))</f>
        <v/>
      </c>
      <c r="Y129" s="5" t="str">
        <f aca="false">IF(A129="","",IF(COUNTIFS($X$2:$X$2001,X129,$D$2:$D$2001,"&lt;&gt;"&amp;D129,$C$2:$C$2001,C129)&gt;0,"SIM","NAO"))</f>
        <v/>
      </c>
      <c r="Z129" s="5" t="str">
        <f aca="false">IF(A129="","",IF(J129="","",IFERROR(360/J129,"")))</f>
        <v/>
      </c>
      <c r="AA129" s="5" t="str">
        <f aca="false">IF(A129="","",IF(H129=0,"Parado (sem venda 90d)",IF(Z129&gt;12,"Alto (&gt;12x/ano)",IF(Z129&gt;=4,"Medio (4-12x/ano)","Baixo (&lt;4x/ano)"))))</f>
        <v/>
      </c>
    </row>
    <row r="130" customFormat="false" ht="15" hidden="false" customHeight="true" outlineLevel="0" collapsed="false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18"/>
      <c r="L130" s="19" t="str">
        <f aca="false">IF(A130="","",G130*K130)</f>
        <v/>
      </c>
      <c r="M130" s="20"/>
      <c r="N130" s="6"/>
      <c r="O130" s="6"/>
      <c r="P130" s="5" t="str">
        <f aca="false">IF(A130="","",H130/90)</f>
        <v/>
      </c>
      <c r="Q130" s="5" t="str">
        <f aca="false">IF(A130="","",IFERROR(INDEX(Parâmetros!$C$6:$C$10,MATCH(F130,Parâmetros!$B$6:$B$10,0)),""))</f>
        <v/>
      </c>
      <c r="R130" s="5" t="str">
        <f aca="false">IF(OR(A130="",P130="",Q130=""),"",P130*Q130)</f>
        <v/>
      </c>
      <c r="S130" s="5" t="str">
        <f aca="false">IF(R130="","",MAX(0,R130-G130))</f>
        <v/>
      </c>
      <c r="T130" s="21" t="str">
        <f aca="false">IF(S130="","",S130*K130)</f>
        <v/>
      </c>
      <c r="U130" s="5" t="str">
        <f aca="false">IF(A130="","",IF(J130&gt;Parâmetros!$C$14,"SIM","NAO"))</f>
        <v/>
      </c>
      <c r="V130" s="5" t="str">
        <f aca="false">IF(B130="","",TRIM(LEFT(B130,IFERROR(FIND(" ",B130)-1,LEN(B130)))))</f>
        <v/>
      </c>
      <c r="W130" s="22"/>
      <c r="X130" s="5" t="str">
        <f aca="false">IF(A130="","",IF(W130&lt;&gt;"",W130,V130))</f>
        <v/>
      </c>
      <c r="Y130" s="5" t="str">
        <f aca="false">IF(A130="","",IF(COUNTIFS($X$2:$X$2001,X130,$D$2:$D$2001,"&lt;&gt;"&amp;D130,$C$2:$C$2001,C130)&gt;0,"SIM","NAO"))</f>
        <v/>
      </c>
      <c r="Z130" s="5" t="str">
        <f aca="false">IF(A130="","",IF(J130="","",IFERROR(360/J130,"")))</f>
        <v/>
      </c>
      <c r="AA130" s="5" t="str">
        <f aca="false">IF(A130="","",IF(H130=0,"Parado (sem venda 90d)",IF(Z130&gt;12,"Alto (&gt;12x/ano)",IF(Z130&gt;=4,"Medio (4-12x/ano)","Baixo (&lt;4x/ano)"))))</f>
        <v/>
      </c>
    </row>
    <row r="131" customFormat="false" ht="15" hidden="false" customHeight="true" outlineLevel="0" collapsed="false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18"/>
      <c r="L131" s="19" t="str">
        <f aca="false">IF(A131="","",G131*K131)</f>
        <v/>
      </c>
      <c r="M131" s="20"/>
      <c r="N131" s="6"/>
      <c r="O131" s="6"/>
      <c r="P131" s="5" t="str">
        <f aca="false">IF(A131="","",H131/90)</f>
        <v/>
      </c>
      <c r="Q131" s="5" t="str">
        <f aca="false">IF(A131="","",IFERROR(INDEX(Parâmetros!$C$6:$C$10,MATCH(F131,Parâmetros!$B$6:$B$10,0)),""))</f>
        <v/>
      </c>
      <c r="R131" s="5" t="str">
        <f aca="false">IF(OR(A131="",P131="",Q131=""),"",P131*Q131)</f>
        <v/>
      </c>
      <c r="S131" s="5" t="str">
        <f aca="false">IF(R131="","",MAX(0,R131-G131))</f>
        <v/>
      </c>
      <c r="T131" s="21" t="str">
        <f aca="false">IF(S131="","",S131*K131)</f>
        <v/>
      </c>
      <c r="U131" s="5" t="str">
        <f aca="false">IF(A131="","",IF(J131&gt;Parâmetros!$C$14,"SIM","NAO"))</f>
        <v/>
      </c>
      <c r="V131" s="5" t="str">
        <f aca="false">IF(B131="","",TRIM(LEFT(B131,IFERROR(FIND(" ",B131)-1,LEN(B131)))))</f>
        <v/>
      </c>
      <c r="W131" s="22"/>
      <c r="X131" s="5" t="str">
        <f aca="false">IF(A131="","",IF(W131&lt;&gt;"",W131,V131))</f>
        <v/>
      </c>
      <c r="Y131" s="5" t="str">
        <f aca="false">IF(A131="","",IF(COUNTIFS($X$2:$X$2001,X131,$D$2:$D$2001,"&lt;&gt;"&amp;D131,$C$2:$C$2001,C131)&gt;0,"SIM","NAO"))</f>
        <v/>
      </c>
      <c r="Z131" s="5" t="str">
        <f aca="false">IF(A131="","",IF(J131="","",IFERROR(360/J131,"")))</f>
        <v/>
      </c>
      <c r="AA131" s="5" t="str">
        <f aca="false">IF(A131="","",IF(H131=0,"Parado (sem venda 90d)",IF(Z131&gt;12,"Alto (&gt;12x/ano)",IF(Z131&gt;=4,"Medio (4-12x/ano)","Baixo (&lt;4x/ano)"))))</f>
        <v/>
      </c>
    </row>
    <row r="132" customFormat="false" ht="15" hidden="false" customHeight="true" outlineLevel="0" collapsed="false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18"/>
      <c r="L132" s="19" t="str">
        <f aca="false">IF(A132="","",G132*K132)</f>
        <v/>
      </c>
      <c r="M132" s="20"/>
      <c r="N132" s="6"/>
      <c r="O132" s="6"/>
      <c r="P132" s="5" t="str">
        <f aca="false">IF(A132="","",H132/90)</f>
        <v/>
      </c>
      <c r="Q132" s="5" t="str">
        <f aca="false">IF(A132="","",IFERROR(INDEX(Parâmetros!$C$6:$C$10,MATCH(F132,Parâmetros!$B$6:$B$10,0)),""))</f>
        <v/>
      </c>
      <c r="R132" s="5" t="str">
        <f aca="false">IF(OR(A132="",P132="",Q132=""),"",P132*Q132)</f>
        <v/>
      </c>
      <c r="S132" s="5" t="str">
        <f aca="false">IF(R132="","",MAX(0,R132-G132))</f>
        <v/>
      </c>
      <c r="T132" s="21" t="str">
        <f aca="false">IF(S132="","",S132*K132)</f>
        <v/>
      </c>
      <c r="U132" s="5" t="str">
        <f aca="false">IF(A132="","",IF(J132&gt;Parâmetros!$C$14,"SIM","NAO"))</f>
        <v/>
      </c>
      <c r="V132" s="5" t="str">
        <f aca="false">IF(B132="","",TRIM(LEFT(B132,IFERROR(FIND(" ",B132)-1,LEN(B132)))))</f>
        <v/>
      </c>
      <c r="W132" s="22"/>
      <c r="X132" s="5" t="str">
        <f aca="false">IF(A132="","",IF(W132&lt;&gt;"",W132,V132))</f>
        <v/>
      </c>
      <c r="Y132" s="5" t="str">
        <f aca="false">IF(A132="","",IF(COUNTIFS($X$2:$X$2001,X132,$D$2:$D$2001,"&lt;&gt;"&amp;D132,$C$2:$C$2001,C132)&gt;0,"SIM","NAO"))</f>
        <v/>
      </c>
      <c r="Z132" s="5" t="str">
        <f aca="false">IF(A132="","",IF(J132="","",IFERROR(360/J132,"")))</f>
        <v/>
      </c>
      <c r="AA132" s="5" t="str">
        <f aca="false">IF(A132="","",IF(H132=0,"Parado (sem venda 90d)",IF(Z132&gt;12,"Alto (&gt;12x/ano)",IF(Z132&gt;=4,"Medio (4-12x/ano)","Baixo (&lt;4x/ano)"))))</f>
        <v/>
      </c>
    </row>
    <row r="133" customFormat="false" ht="15" hidden="false" customHeight="true" outlineLevel="0" collapsed="false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18"/>
      <c r="L133" s="19" t="str">
        <f aca="false">IF(A133="","",G133*K133)</f>
        <v/>
      </c>
      <c r="M133" s="20"/>
      <c r="N133" s="6"/>
      <c r="O133" s="6"/>
      <c r="P133" s="5" t="str">
        <f aca="false">IF(A133="","",H133/90)</f>
        <v/>
      </c>
      <c r="Q133" s="5" t="str">
        <f aca="false">IF(A133="","",IFERROR(INDEX(Parâmetros!$C$6:$C$10,MATCH(F133,Parâmetros!$B$6:$B$10,0)),""))</f>
        <v/>
      </c>
      <c r="R133" s="5" t="str">
        <f aca="false">IF(OR(A133="",P133="",Q133=""),"",P133*Q133)</f>
        <v/>
      </c>
      <c r="S133" s="5" t="str">
        <f aca="false">IF(R133="","",MAX(0,R133-G133))</f>
        <v/>
      </c>
      <c r="T133" s="21" t="str">
        <f aca="false">IF(S133="","",S133*K133)</f>
        <v/>
      </c>
      <c r="U133" s="5" t="str">
        <f aca="false">IF(A133="","",IF(J133&gt;Parâmetros!$C$14,"SIM","NAO"))</f>
        <v/>
      </c>
      <c r="V133" s="5" t="str">
        <f aca="false">IF(B133="","",TRIM(LEFT(B133,IFERROR(FIND(" ",B133)-1,LEN(B133)))))</f>
        <v/>
      </c>
      <c r="W133" s="22"/>
      <c r="X133" s="5" t="str">
        <f aca="false">IF(A133="","",IF(W133&lt;&gt;"",W133,V133))</f>
        <v/>
      </c>
      <c r="Y133" s="5" t="str">
        <f aca="false">IF(A133="","",IF(COUNTIFS($X$2:$X$2001,X133,$D$2:$D$2001,"&lt;&gt;"&amp;D133,$C$2:$C$2001,C133)&gt;0,"SIM","NAO"))</f>
        <v/>
      </c>
      <c r="Z133" s="5" t="str">
        <f aca="false">IF(A133="","",IF(J133="","",IFERROR(360/J133,"")))</f>
        <v/>
      </c>
      <c r="AA133" s="5" t="str">
        <f aca="false">IF(A133="","",IF(H133=0,"Parado (sem venda 90d)",IF(Z133&gt;12,"Alto (&gt;12x/ano)",IF(Z133&gt;=4,"Medio (4-12x/ano)","Baixo (&lt;4x/ano)"))))</f>
        <v/>
      </c>
    </row>
    <row r="134" customFormat="false" ht="15" hidden="false" customHeight="true" outlineLevel="0" collapsed="false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18"/>
      <c r="L134" s="19" t="str">
        <f aca="false">IF(A134="","",G134*K134)</f>
        <v/>
      </c>
      <c r="M134" s="20"/>
      <c r="N134" s="6"/>
      <c r="O134" s="6"/>
      <c r="P134" s="5" t="str">
        <f aca="false">IF(A134="","",H134/90)</f>
        <v/>
      </c>
      <c r="Q134" s="5" t="str">
        <f aca="false">IF(A134="","",IFERROR(INDEX(Parâmetros!$C$6:$C$10,MATCH(F134,Parâmetros!$B$6:$B$10,0)),""))</f>
        <v/>
      </c>
      <c r="R134" s="5" t="str">
        <f aca="false">IF(OR(A134="",P134="",Q134=""),"",P134*Q134)</f>
        <v/>
      </c>
      <c r="S134" s="5" t="str">
        <f aca="false">IF(R134="","",MAX(0,R134-G134))</f>
        <v/>
      </c>
      <c r="T134" s="21" t="str">
        <f aca="false">IF(S134="","",S134*K134)</f>
        <v/>
      </c>
      <c r="U134" s="5" t="str">
        <f aca="false">IF(A134="","",IF(J134&gt;Parâmetros!$C$14,"SIM","NAO"))</f>
        <v/>
      </c>
      <c r="V134" s="5" t="str">
        <f aca="false">IF(B134="","",TRIM(LEFT(B134,IFERROR(FIND(" ",B134)-1,LEN(B134)))))</f>
        <v/>
      </c>
      <c r="W134" s="22"/>
      <c r="X134" s="5" t="str">
        <f aca="false">IF(A134="","",IF(W134&lt;&gt;"",W134,V134))</f>
        <v/>
      </c>
      <c r="Y134" s="5" t="str">
        <f aca="false">IF(A134="","",IF(COUNTIFS($X$2:$X$2001,X134,$D$2:$D$2001,"&lt;&gt;"&amp;D134,$C$2:$C$2001,C134)&gt;0,"SIM","NAO"))</f>
        <v/>
      </c>
      <c r="Z134" s="5" t="str">
        <f aca="false">IF(A134="","",IF(J134="","",IFERROR(360/J134,"")))</f>
        <v/>
      </c>
      <c r="AA134" s="5" t="str">
        <f aca="false">IF(A134="","",IF(H134=0,"Parado (sem venda 90d)",IF(Z134&gt;12,"Alto (&gt;12x/ano)",IF(Z134&gt;=4,"Medio (4-12x/ano)","Baixo (&lt;4x/ano)"))))</f>
        <v/>
      </c>
    </row>
    <row r="135" customFormat="false" ht="15" hidden="false" customHeight="true" outlineLevel="0" collapsed="false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18"/>
      <c r="L135" s="19" t="str">
        <f aca="false">IF(A135="","",G135*K135)</f>
        <v/>
      </c>
      <c r="M135" s="20"/>
      <c r="N135" s="6"/>
      <c r="O135" s="6"/>
      <c r="P135" s="5" t="str">
        <f aca="false">IF(A135="","",H135/90)</f>
        <v/>
      </c>
      <c r="Q135" s="5" t="str">
        <f aca="false">IF(A135="","",IFERROR(INDEX(Parâmetros!$C$6:$C$10,MATCH(F135,Parâmetros!$B$6:$B$10,0)),""))</f>
        <v/>
      </c>
      <c r="R135" s="5" t="str">
        <f aca="false">IF(OR(A135="",P135="",Q135=""),"",P135*Q135)</f>
        <v/>
      </c>
      <c r="S135" s="5" t="str">
        <f aca="false">IF(R135="","",MAX(0,R135-G135))</f>
        <v/>
      </c>
      <c r="T135" s="21" t="str">
        <f aca="false">IF(S135="","",S135*K135)</f>
        <v/>
      </c>
      <c r="U135" s="5" t="str">
        <f aca="false">IF(A135="","",IF(J135&gt;Parâmetros!$C$14,"SIM","NAO"))</f>
        <v/>
      </c>
      <c r="V135" s="5" t="str">
        <f aca="false">IF(B135="","",TRIM(LEFT(B135,IFERROR(FIND(" ",B135)-1,LEN(B135)))))</f>
        <v/>
      </c>
      <c r="W135" s="22"/>
      <c r="X135" s="5" t="str">
        <f aca="false">IF(A135="","",IF(W135&lt;&gt;"",W135,V135))</f>
        <v/>
      </c>
      <c r="Y135" s="5" t="str">
        <f aca="false">IF(A135="","",IF(COUNTIFS($X$2:$X$2001,X135,$D$2:$D$2001,"&lt;&gt;"&amp;D135,$C$2:$C$2001,C135)&gt;0,"SIM","NAO"))</f>
        <v/>
      </c>
      <c r="Z135" s="5" t="str">
        <f aca="false">IF(A135="","",IF(J135="","",IFERROR(360/J135,"")))</f>
        <v/>
      </c>
      <c r="AA135" s="5" t="str">
        <f aca="false">IF(A135="","",IF(H135=0,"Parado (sem venda 90d)",IF(Z135&gt;12,"Alto (&gt;12x/ano)",IF(Z135&gt;=4,"Medio (4-12x/ano)","Baixo (&lt;4x/ano)"))))</f>
        <v/>
      </c>
    </row>
    <row r="136" customFormat="false" ht="15" hidden="false" customHeight="true" outlineLevel="0" collapsed="false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18"/>
      <c r="L136" s="19" t="str">
        <f aca="false">IF(A136="","",G136*K136)</f>
        <v/>
      </c>
      <c r="M136" s="20"/>
      <c r="N136" s="6"/>
      <c r="O136" s="6"/>
      <c r="P136" s="5" t="str">
        <f aca="false">IF(A136="","",H136/90)</f>
        <v/>
      </c>
      <c r="Q136" s="5" t="str">
        <f aca="false">IF(A136="","",IFERROR(INDEX(Parâmetros!$C$6:$C$10,MATCH(F136,Parâmetros!$B$6:$B$10,0)),""))</f>
        <v/>
      </c>
      <c r="R136" s="5" t="str">
        <f aca="false">IF(OR(A136="",P136="",Q136=""),"",P136*Q136)</f>
        <v/>
      </c>
      <c r="S136" s="5" t="str">
        <f aca="false">IF(R136="","",MAX(0,R136-G136))</f>
        <v/>
      </c>
      <c r="T136" s="21" t="str">
        <f aca="false">IF(S136="","",S136*K136)</f>
        <v/>
      </c>
      <c r="U136" s="5" t="str">
        <f aca="false">IF(A136="","",IF(J136&gt;Parâmetros!$C$14,"SIM","NAO"))</f>
        <v/>
      </c>
      <c r="V136" s="5" t="str">
        <f aca="false">IF(B136="","",TRIM(LEFT(B136,IFERROR(FIND(" ",B136)-1,LEN(B136)))))</f>
        <v/>
      </c>
      <c r="W136" s="22"/>
      <c r="X136" s="5" t="str">
        <f aca="false">IF(A136="","",IF(W136&lt;&gt;"",W136,V136))</f>
        <v/>
      </c>
      <c r="Y136" s="5" t="str">
        <f aca="false">IF(A136="","",IF(COUNTIFS($X$2:$X$2001,X136,$D$2:$D$2001,"&lt;&gt;"&amp;D136,$C$2:$C$2001,C136)&gt;0,"SIM","NAO"))</f>
        <v/>
      </c>
      <c r="Z136" s="5" t="str">
        <f aca="false">IF(A136="","",IF(J136="","",IFERROR(360/J136,"")))</f>
        <v/>
      </c>
      <c r="AA136" s="5" t="str">
        <f aca="false">IF(A136="","",IF(H136=0,"Parado (sem venda 90d)",IF(Z136&gt;12,"Alto (&gt;12x/ano)",IF(Z136&gt;=4,"Medio (4-12x/ano)","Baixo (&lt;4x/ano)"))))</f>
        <v/>
      </c>
    </row>
    <row r="137" customFormat="false" ht="15" hidden="false" customHeight="true" outlineLevel="0" collapsed="false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18"/>
      <c r="L137" s="19" t="str">
        <f aca="false">IF(A137="","",G137*K137)</f>
        <v/>
      </c>
      <c r="M137" s="20"/>
      <c r="N137" s="6"/>
      <c r="O137" s="6"/>
      <c r="P137" s="5" t="str">
        <f aca="false">IF(A137="","",H137/90)</f>
        <v/>
      </c>
      <c r="Q137" s="5" t="str">
        <f aca="false">IF(A137="","",IFERROR(INDEX(Parâmetros!$C$6:$C$10,MATCH(F137,Parâmetros!$B$6:$B$10,0)),""))</f>
        <v/>
      </c>
      <c r="R137" s="5" t="str">
        <f aca="false">IF(OR(A137="",P137="",Q137=""),"",P137*Q137)</f>
        <v/>
      </c>
      <c r="S137" s="5" t="str">
        <f aca="false">IF(R137="","",MAX(0,R137-G137))</f>
        <v/>
      </c>
      <c r="T137" s="21" t="str">
        <f aca="false">IF(S137="","",S137*K137)</f>
        <v/>
      </c>
      <c r="U137" s="5" t="str">
        <f aca="false">IF(A137="","",IF(J137&gt;Parâmetros!$C$14,"SIM","NAO"))</f>
        <v/>
      </c>
      <c r="V137" s="5" t="str">
        <f aca="false">IF(B137="","",TRIM(LEFT(B137,IFERROR(FIND(" ",B137)-1,LEN(B137)))))</f>
        <v/>
      </c>
      <c r="W137" s="22"/>
      <c r="X137" s="5" t="str">
        <f aca="false">IF(A137="","",IF(W137&lt;&gt;"",W137,V137))</f>
        <v/>
      </c>
      <c r="Y137" s="5" t="str">
        <f aca="false">IF(A137="","",IF(COUNTIFS($X$2:$X$2001,X137,$D$2:$D$2001,"&lt;&gt;"&amp;D137,$C$2:$C$2001,C137)&gt;0,"SIM","NAO"))</f>
        <v/>
      </c>
      <c r="Z137" s="5" t="str">
        <f aca="false">IF(A137="","",IF(J137="","",IFERROR(360/J137,"")))</f>
        <v/>
      </c>
      <c r="AA137" s="5" t="str">
        <f aca="false">IF(A137="","",IF(H137=0,"Parado (sem venda 90d)",IF(Z137&gt;12,"Alto (&gt;12x/ano)",IF(Z137&gt;=4,"Medio (4-12x/ano)","Baixo (&lt;4x/ano)"))))</f>
        <v/>
      </c>
    </row>
    <row r="138" customFormat="false" ht="15" hidden="false" customHeight="true" outlineLevel="0" collapsed="false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18"/>
      <c r="L138" s="19" t="str">
        <f aca="false">IF(A138="","",G138*K138)</f>
        <v/>
      </c>
      <c r="M138" s="20"/>
      <c r="N138" s="6"/>
      <c r="O138" s="6"/>
      <c r="P138" s="5" t="str">
        <f aca="false">IF(A138="","",H138/90)</f>
        <v/>
      </c>
      <c r="Q138" s="5" t="str">
        <f aca="false">IF(A138="","",IFERROR(INDEX(Parâmetros!$C$6:$C$10,MATCH(F138,Parâmetros!$B$6:$B$10,0)),""))</f>
        <v/>
      </c>
      <c r="R138" s="5" t="str">
        <f aca="false">IF(OR(A138="",P138="",Q138=""),"",P138*Q138)</f>
        <v/>
      </c>
      <c r="S138" s="5" t="str">
        <f aca="false">IF(R138="","",MAX(0,R138-G138))</f>
        <v/>
      </c>
      <c r="T138" s="21" t="str">
        <f aca="false">IF(S138="","",S138*K138)</f>
        <v/>
      </c>
      <c r="U138" s="5" t="str">
        <f aca="false">IF(A138="","",IF(J138&gt;Parâmetros!$C$14,"SIM","NAO"))</f>
        <v/>
      </c>
      <c r="V138" s="5" t="str">
        <f aca="false">IF(B138="","",TRIM(LEFT(B138,IFERROR(FIND(" ",B138)-1,LEN(B138)))))</f>
        <v/>
      </c>
      <c r="W138" s="22"/>
      <c r="X138" s="5" t="str">
        <f aca="false">IF(A138="","",IF(W138&lt;&gt;"",W138,V138))</f>
        <v/>
      </c>
      <c r="Y138" s="5" t="str">
        <f aca="false">IF(A138="","",IF(COUNTIFS($X$2:$X$2001,X138,$D$2:$D$2001,"&lt;&gt;"&amp;D138,$C$2:$C$2001,C138)&gt;0,"SIM","NAO"))</f>
        <v/>
      </c>
      <c r="Z138" s="5" t="str">
        <f aca="false">IF(A138="","",IF(J138="","",IFERROR(360/J138,"")))</f>
        <v/>
      </c>
      <c r="AA138" s="5" t="str">
        <f aca="false">IF(A138="","",IF(H138=0,"Parado (sem venda 90d)",IF(Z138&gt;12,"Alto (&gt;12x/ano)",IF(Z138&gt;=4,"Medio (4-12x/ano)","Baixo (&lt;4x/ano)"))))</f>
        <v/>
      </c>
    </row>
    <row r="139" customFormat="false" ht="15" hidden="false" customHeight="true" outlineLevel="0" collapsed="false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18"/>
      <c r="L139" s="19" t="str">
        <f aca="false">IF(A139="","",G139*K139)</f>
        <v/>
      </c>
      <c r="M139" s="20"/>
      <c r="N139" s="6"/>
      <c r="O139" s="6"/>
      <c r="P139" s="5" t="str">
        <f aca="false">IF(A139="","",H139/90)</f>
        <v/>
      </c>
      <c r="Q139" s="5" t="str">
        <f aca="false">IF(A139="","",IFERROR(INDEX(Parâmetros!$C$6:$C$10,MATCH(F139,Parâmetros!$B$6:$B$10,0)),""))</f>
        <v/>
      </c>
      <c r="R139" s="5" t="str">
        <f aca="false">IF(OR(A139="",P139="",Q139=""),"",P139*Q139)</f>
        <v/>
      </c>
      <c r="S139" s="5" t="str">
        <f aca="false">IF(R139="","",MAX(0,R139-G139))</f>
        <v/>
      </c>
      <c r="T139" s="21" t="str">
        <f aca="false">IF(S139="","",S139*K139)</f>
        <v/>
      </c>
      <c r="U139" s="5" t="str">
        <f aca="false">IF(A139="","",IF(J139&gt;Parâmetros!$C$14,"SIM","NAO"))</f>
        <v/>
      </c>
      <c r="V139" s="5" t="str">
        <f aca="false">IF(B139="","",TRIM(LEFT(B139,IFERROR(FIND(" ",B139)-1,LEN(B139)))))</f>
        <v/>
      </c>
      <c r="W139" s="22"/>
      <c r="X139" s="5" t="str">
        <f aca="false">IF(A139="","",IF(W139&lt;&gt;"",W139,V139))</f>
        <v/>
      </c>
      <c r="Y139" s="5" t="str">
        <f aca="false">IF(A139="","",IF(COUNTIFS($X$2:$X$2001,X139,$D$2:$D$2001,"&lt;&gt;"&amp;D139,$C$2:$C$2001,C139)&gt;0,"SIM","NAO"))</f>
        <v/>
      </c>
      <c r="Z139" s="5" t="str">
        <f aca="false">IF(A139="","",IF(J139="","",IFERROR(360/J139,"")))</f>
        <v/>
      </c>
      <c r="AA139" s="5" t="str">
        <f aca="false">IF(A139="","",IF(H139=0,"Parado (sem venda 90d)",IF(Z139&gt;12,"Alto (&gt;12x/ano)",IF(Z139&gt;=4,"Medio (4-12x/ano)","Baixo (&lt;4x/ano)"))))</f>
        <v/>
      </c>
    </row>
    <row r="140" customFormat="false" ht="15" hidden="false" customHeight="true" outlineLevel="0" collapsed="false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18"/>
      <c r="L140" s="19" t="str">
        <f aca="false">IF(A140="","",G140*K140)</f>
        <v/>
      </c>
      <c r="M140" s="20"/>
      <c r="N140" s="6"/>
      <c r="O140" s="6"/>
      <c r="P140" s="5" t="str">
        <f aca="false">IF(A140="","",H140/90)</f>
        <v/>
      </c>
      <c r="Q140" s="5" t="str">
        <f aca="false">IF(A140="","",IFERROR(INDEX(Parâmetros!$C$6:$C$10,MATCH(F140,Parâmetros!$B$6:$B$10,0)),""))</f>
        <v/>
      </c>
      <c r="R140" s="5" t="str">
        <f aca="false">IF(OR(A140="",P140="",Q140=""),"",P140*Q140)</f>
        <v/>
      </c>
      <c r="S140" s="5" t="str">
        <f aca="false">IF(R140="","",MAX(0,R140-G140))</f>
        <v/>
      </c>
      <c r="T140" s="21" t="str">
        <f aca="false">IF(S140="","",S140*K140)</f>
        <v/>
      </c>
      <c r="U140" s="5" t="str">
        <f aca="false">IF(A140="","",IF(J140&gt;Parâmetros!$C$14,"SIM","NAO"))</f>
        <v/>
      </c>
      <c r="V140" s="5" t="str">
        <f aca="false">IF(B140="","",TRIM(LEFT(B140,IFERROR(FIND(" ",B140)-1,LEN(B140)))))</f>
        <v/>
      </c>
      <c r="W140" s="22"/>
      <c r="X140" s="5" t="str">
        <f aca="false">IF(A140="","",IF(W140&lt;&gt;"",W140,V140))</f>
        <v/>
      </c>
      <c r="Y140" s="5" t="str">
        <f aca="false">IF(A140="","",IF(COUNTIFS($X$2:$X$2001,X140,$D$2:$D$2001,"&lt;&gt;"&amp;D140,$C$2:$C$2001,C140)&gt;0,"SIM","NAO"))</f>
        <v/>
      </c>
      <c r="Z140" s="5" t="str">
        <f aca="false">IF(A140="","",IF(J140="","",IFERROR(360/J140,"")))</f>
        <v/>
      </c>
      <c r="AA140" s="5" t="str">
        <f aca="false">IF(A140="","",IF(H140=0,"Parado (sem venda 90d)",IF(Z140&gt;12,"Alto (&gt;12x/ano)",IF(Z140&gt;=4,"Medio (4-12x/ano)","Baixo (&lt;4x/ano)"))))</f>
        <v/>
      </c>
    </row>
    <row r="141" customFormat="false" ht="15" hidden="false" customHeight="true" outlineLevel="0" collapsed="false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18"/>
      <c r="L141" s="19" t="str">
        <f aca="false">IF(A141="","",G141*K141)</f>
        <v/>
      </c>
      <c r="M141" s="20"/>
      <c r="N141" s="6"/>
      <c r="O141" s="6"/>
      <c r="P141" s="5" t="str">
        <f aca="false">IF(A141="","",H141/90)</f>
        <v/>
      </c>
      <c r="Q141" s="5" t="str">
        <f aca="false">IF(A141="","",IFERROR(INDEX(Parâmetros!$C$6:$C$10,MATCH(F141,Parâmetros!$B$6:$B$10,0)),""))</f>
        <v/>
      </c>
      <c r="R141" s="5" t="str">
        <f aca="false">IF(OR(A141="",P141="",Q141=""),"",P141*Q141)</f>
        <v/>
      </c>
      <c r="S141" s="5" t="str">
        <f aca="false">IF(R141="","",MAX(0,R141-G141))</f>
        <v/>
      </c>
      <c r="T141" s="21" t="str">
        <f aca="false">IF(S141="","",S141*K141)</f>
        <v/>
      </c>
      <c r="U141" s="5" t="str">
        <f aca="false">IF(A141="","",IF(J141&gt;Parâmetros!$C$14,"SIM","NAO"))</f>
        <v/>
      </c>
      <c r="V141" s="5" t="str">
        <f aca="false">IF(B141="","",TRIM(LEFT(B141,IFERROR(FIND(" ",B141)-1,LEN(B141)))))</f>
        <v/>
      </c>
      <c r="W141" s="22"/>
      <c r="X141" s="5" t="str">
        <f aca="false">IF(A141="","",IF(W141&lt;&gt;"",W141,V141))</f>
        <v/>
      </c>
      <c r="Y141" s="5" t="str">
        <f aca="false">IF(A141="","",IF(COUNTIFS($X$2:$X$2001,X141,$D$2:$D$2001,"&lt;&gt;"&amp;D141,$C$2:$C$2001,C141)&gt;0,"SIM","NAO"))</f>
        <v/>
      </c>
      <c r="Z141" s="5" t="str">
        <f aca="false">IF(A141="","",IF(J141="","",IFERROR(360/J141,"")))</f>
        <v/>
      </c>
      <c r="AA141" s="5" t="str">
        <f aca="false">IF(A141="","",IF(H141=0,"Parado (sem venda 90d)",IF(Z141&gt;12,"Alto (&gt;12x/ano)",IF(Z141&gt;=4,"Medio (4-12x/ano)","Baixo (&lt;4x/ano)"))))</f>
        <v/>
      </c>
    </row>
    <row r="142" customFormat="false" ht="15" hidden="false" customHeight="true" outlineLevel="0" collapsed="false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18"/>
      <c r="L142" s="19" t="str">
        <f aca="false">IF(A142="","",G142*K142)</f>
        <v/>
      </c>
      <c r="M142" s="20"/>
      <c r="N142" s="6"/>
      <c r="O142" s="6"/>
      <c r="P142" s="5" t="str">
        <f aca="false">IF(A142="","",H142/90)</f>
        <v/>
      </c>
      <c r="Q142" s="5" t="str">
        <f aca="false">IF(A142="","",IFERROR(INDEX(Parâmetros!$C$6:$C$10,MATCH(F142,Parâmetros!$B$6:$B$10,0)),""))</f>
        <v/>
      </c>
      <c r="R142" s="5" t="str">
        <f aca="false">IF(OR(A142="",P142="",Q142=""),"",P142*Q142)</f>
        <v/>
      </c>
      <c r="S142" s="5" t="str">
        <f aca="false">IF(R142="","",MAX(0,R142-G142))</f>
        <v/>
      </c>
      <c r="T142" s="21" t="str">
        <f aca="false">IF(S142="","",S142*K142)</f>
        <v/>
      </c>
      <c r="U142" s="5" t="str">
        <f aca="false">IF(A142="","",IF(J142&gt;Parâmetros!$C$14,"SIM","NAO"))</f>
        <v/>
      </c>
      <c r="V142" s="5" t="str">
        <f aca="false">IF(B142="","",TRIM(LEFT(B142,IFERROR(FIND(" ",B142)-1,LEN(B142)))))</f>
        <v/>
      </c>
      <c r="W142" s="22"/>
      <c r="X142" s="5" t="str">
        <f aca="false">IF(A142="","",IF(W142&lt;&gt;"",W142,V142))</f>
        <v/>
      </c>
      <c r="Y142" s="5" t="str">
        <f aca="false">IF(A142="","",IF(COUNTIFS($X$2:$X$2001,X142,$D$2:$D$2001,"&lt;&gt;"&amp;D142,$C$2:$C$2001,C142)&gt;0,"SIM","NAO"))</f>
        <v/>
      </c>
      <c r="Z142" s="5" t="str">
        <f aca="false">IF(A142="","",IF(J142="","",IFERROR(360/J142,"")))</f>
        <v/>
      </c>
      <c r="AA142" s="5" t="str">
        <f aca="false">IF(A142="","",IF(H142=0,"Parado (sem venda 90d)",IF(Z142&gt;12,"Alto (&gt;12x/ano)",IF(Z142&gt;=4,"Medio (4-12x/ano)","Baixo (&lt;4x/ano)"))))</f>
        <v/>
      </c>
    </row>
    <row r="143" customFormat="false" ht="15" hidden="false" customHeight="true" outlineLevel="0" collapsed="false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18"/>
      <c r="L143" s="19" t="str">
        <f aca="false">IF(A143="","",G143*K143)</f>
        <v/>
      </c>
      <c r="M143" s="20"/>
      <c r="N143" s="6"/>
      <c r="O143" s="6"/>
      <c r="P143" s="5" t="str">
        <f aca="false">IF(A143="","",H143/90)</f>
        <v/>
      </c>
      <c r="Q143" s="5" t="str">
        <f aca="false">IF(A143="","",IFERROR(INDEX(Parâmetros!$C$6:$C$10,MATCH(F143,Parâmetros!$B$6:$B$10,0)),""))</f>
        <v/>
      </c>
      <c r="R143" s="5" t="str">
        <f aca="false">IF(OR(A143="",P143="",Q143=""),"",P143*Q143)</f>
        <v/>
      </c>
      <c r="S143" s="5" t="str">
        <f aca="false">IF(R143="","",MAX(0,R143-G143))</f>
        <v/>
      </c>
      <c r="T143" s="21" t="str">
        <f aca="false">IF(S143="","",S143*K143)</f>
        <v/>
      </c>
      <c r="U143" s="5" t="str">
        <f aca="false">IF(A143="","",IF(J143&gt;Parâmetros!$C$14,"SIM","NAO"))</f>
        <v/>
      </c>
      <c r="V143" s="5" t="str">
        <f aca="false">IF(B143="","",TRIM(LEFT(B143,IFERROR(FIND(" ",B143)-1,LEN(B143)))))</f>
        <v/>
      </c>
      <c r="W143" s="22"/>
      <c r="X143" s="5" t="str">
        <f aca="false">IF(A143="","",IF(W143&lt;&gt;"",W143,V143))</f>
        <v/>
      </c>
      <c r="Y143" s="5" t="str">
        <f aca="false">IF(A143="","",IF(COUNTIFS($X$2:$X$2001,X143,$D$2:$D$2001,"&lt;&gt;"&amp;D143,$C$2:$C$2001,C143)&gt;0,"SIM","NAO"))</f>
        <v/>
      </c>
      <c r="Z143" s="5" t="str">
        <f aca="false">IF(A143="","",IF(J143="","",IFERROR(360/J143,"")))</f>
        <v/>
      </c>
      <c r="AA143" s="5" t="str">
        <f aca="false">IF(A143="","",IF(H143=0,"Parado (sem venda 90d)",IF(Z143&gt;12,"Alto (&gt;12x/ano)",IF(Z143&gt;=4,"Medio (4-12x/ano)","Baixo (&lt;4x/ano)"))))</f>
        <v/>
      </c>
    </row>
    <row r="144" customFormat="false" ht="15" hidden="false" customHeight="true" outlineLevel="0" collapsed="false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18"/>
      <c r="L144" s="19" t="str">
        <f aca="false">IF(A144="","",G144*K144)</f>
        <v/>
      </c>
      <c r="M144" s="20"/>
      <c r="N144" s="6"/>
      <c r="O144" s="6"/>
      <c r="P144" s="5" t="str">
        <f aca="false">IF(A144="","",H144/90)</f>
        <v/>
      </c>
      <c r="Q144" s="5" t="str">
        <f aca="false">IF(A144="","",IFERROR(INDEX(Parâmetros!$C$6:$C$10,MATCH(F144,Parâmetros!$B$6:$B$10,0)),""))</f>
        <v/>
      </c>
      <c r="R144" s="5" t="str">
        <f aca="false">IF(OR(A144="",P144="",Q144=""),"",P144*Q144)</f>
        <v/>
      </c>
      <c r="S144" s="5" t="str">
        <f aca="false">IF(R144="","",MAX(0,R144-G144))</f>
        <v/>
      </c>
      <c r="T144" s="21" t="str">
        <f aca="false">IF(S144="","",S144*K144)</f>
        <v/>
      </c>
      <c r="U144" s="5" t="str">
        <f aca="false">IF(A144="","",IF(J144&gt;Parâmetros!$C$14,"SIM","NAO"))</f>
        <v/>
      </c>
      <c r="V144" s="5" t="str">
        <f aca="false">IF(B144="","",TRIM(LEFT(B144,IFERROR(FIND(" ",B144)-1,LEN(B144)))))</f>
        <v/>
      </c>
      <c r="W144" s="22"/>
      <c r="X144" s="5" t="str">
        <f aca="false">IF(A144="","",IF(W144&lt;&gt;"",W144,V144))</f>
        <v/>
      </c>
      <c r="Y144" s="5" t="str">
        <f aca="false">IF(A144="","",IF(COUNTIFS($X$2:$X$2001,X144,$D$2:$D$2001,"&lt;&gt;"&amp;D144,$C$2:$C$2001,C144)&gt;0,"SIM","NAO"))</f>
        <v/>
      </c>
      <c r="Z144" s="5" t="str">
        <f aca="false">IF(A144="","",IF(J144="","",IFERROR(360/J144,"")))</f>
        <v/>
      </c>
      <c r="AA144" s="5" t="str">
        <f aca="false">IF(A144="","",IF(H144=0,"Parado (sem venda 90d)",IF(Z144&gt;12,"Alto (&gt;12x/ano)",IF(Z144&gt;=4,"Medio (4-12x/ano)","Baixo (&lt;4x/ano)"))))</f>
        <v/>
      </c>
    </row>
    <row r="145" customFormat="false" ht="15" hidden="false" customHeight="true" outlineLevel="0" collapsed="false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18"/>
      <c r="L145" s="19" t="str">
        <f aca="false">IF(A145="","",G145*K145)</f>
        <v/>
      </c>
      <c r="M145" s="20"/>
      <c r="N145" s="6"/>
      <c r="O145" s="6"/>
      <c r="P145" s="5" t="str">
        <f aca="false">IF(A145="","",H145/90)</f>
        <v/>
      </c>
      <c r="Q145" s="5" t="str">
        <f aca="false">IF(A145="","",IFERROR(INDEX(Parâmetros!$C$6:$C$10,MATCH(F145,Parâmetros!$B$6:$B$10,0)),""))</f>
        <v/>
      </c>
      <c r="R145" s="5" t="str">
        <f aca="false">IF(OR(A145="",P145="",Q145=""),"",P145*Q145)</f>
        <v/>
      </c>
      <c r="S145" s="5" t="str">
        <f aca="false">IF(R145="","",MAX(0,R145-G145))</f>
        <v/>
      </c>
      <c r="T145" s="21" t="str">
        <f aca="false">IF(S145="","",S145*K145)</f>
        <v/>
      </c>
      <c r="U145" s="5" t="str">
        <f aca="false">IF(A145="","",IF(J145&gt;Parâmetros!$C$14,"SIM","NAO"))</f>
        <v/>
      </c>
      <c r="V145" s="5" t="str">
        <f aca="false">IF(B145="","",TRIM(LEFT(B145,IFERROR(FIND(" ",B145)-1,LEN(B145)))))</f>
        <v/>
      </c>
      <c r="W145" s="22"/>
      <c r="X145" s="5" t="str">
        <f aca="false">IF(A145="","",IF(W145&lt;&gt;"",W145,V145))</f>
        <v/>
      </c>
      <c r="Y145" s="5" t="str">
        <f aca="false">IF(A145="","",IF(COUNTIFS($X$2:$X$2001,X145,$D$2:$D$2001,"&lt;&gt;"&amp;D145,$C$2:$C$2001,C145)&gt;0,"SIM","NAO"))</f>
        <v/>
      </c>
      <c r="Z145" s="5" t="str">
        <f aca="false">IF(A145="","",IF(J145="","",IFERROR(360/J145,"")))</f>
        <v/>
      </c>
      <c r="AA145" s="5" t="str">
        <f aca="false">IF(A145="","",IF(H145=0,"Parado (sem venda 90d)",IF(Z145&gt;12,"Alto (&gt;12x/ano)",IF(Z145&gt;=4,"Medio (4-12x/ano)","Baixo (&lt;4x/ano)"))))</f>
        <v/>
      </c>
    </row>
    <row r="146" customFormat="false" ht="15" hidden="false" customHeight="true" outlineLevel="0" collapsed="false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18"/>
      <c r="L146" s="19" t="str">
        <f aca="false">IF(A146="","",G146*K146)</f>
        <v/>
      </c>
      <c r="M146" s="20"/>
      <c r="N146" s="6"/>
      <c r="O146" s="6"/>
      <c r="P146" s="5" t="str">
        <f aca="false">IF(A146="","",H146/90)</f>
        <v/>
      </c>
      <c r="Q146" s="5" t="str">
        <f aca="false">IF(A146="","",IFERROR(INDEX(Parâmetros!$C$6:$C$10,MATCH(F146,Parâmetros!$B$6:$B$10,0)),""))</f>
        <v/>
      </c>
      <c r="R146" s="5" t="str">
        <f aca="false">IF(OR(A146="",P146="",Q146=""),"",P146*Q146)</f>
        <v/>
      </c>
      <c r="S146" s="5" t="str">
        <f aca="false">IF(R146="","",MAX(0,R146-G146))</f>
        <v/>
      </c>
      <c r="T146" s="21" t="str">
        <f aca="false">IF(S146="","",S146*K146)</f>
        <v/>
      </c>
      <c r="U146" s="5" t="str">
        <f aca="false">IF(A146="","",IF(J146&gt;Parâmetros!$C$14,"SIM","NAO"))</f>
        <v/>
      </c>
      <c r="V146" s="5" t="str">
        <f aca="false">IF(B146="","",TRIM(LEFT(B146,IFERROR(FIND(" ",B146)-1,LEN(B146)))))</f>
        <v/>
      </c>
      <c r="W146" s="22"/>
      <c r="X146" s="5" t="str">
        <f aca="false">IF(A146="","",IF(W146&lt;&gt;"",W146,V146))</f>
        <v/>
      </c>
      <c r="Y146" s="5" t="str">
        <f aca="false">IF(A146="","",IF(COUNTIFS($X$2:$X$2001,X146,$D$2:$D$2001,"&lt;&gt;"&amp;D146,$C$2:$C$2001,C146)&gt;0,"SIM","NAO"))</f>
        <v/>
      </c>
      <c r="Z146" s="5" t="str">
        <f aca="false">IF(A146="","",IF(J146="","",IFERROR(360/J146,"")))</f>
        <v/>
      </c>
      <c r="AA146" s="5" t="str">
        <f aca="false">IF(A146="","",IF(H146=0,"Parado (sem venda 90d)",IF(Z146&gt;12,"Alto (&gt;12x/ano)",IF(Z146&gt;=4,"Medio (4-12x/ano)","Baixo (&lt;4x/ano)"))))</f>
        <v/>
      </c>
    </row>
    <row r="147" customFormat="false" ht="15" hidden="false" customHeight="true" outlineLevel="0" collapsed="false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18"/>
      <c r="L147" s="19" t="str">
        <f aca="false">IF(A147="","",G147*K147)</f>
        <v/>
      </c>
      <c r="M147" s="20"/>
      <c r="N147" s="6"/>
      <c r="O147" s="6"/>
      <c r="P147" s="5" t="str">
        <f aca="false">IF(A147="","",H147/90)</f>
        <v/>
      </c>
      <c r="Q147" s="5" t="str">
        <f aca="false">IF(A147="","",IFERROR(INDEX(Parâmetros!$C$6:$C$10,MATCH(F147,Parâmetros!$B$6:$B$10,0)),""))</f>
        <v/>
      </c>
      <c r="R147" s="5" t="str">
        <f aca="false">IF(OR(A147="",P147="",Q147=""),"",P147*Q147)</f>
        <v/>
      </c>
      <c r="S147" s="5" t="str">
        <f aca="false">IF(R147="","",MAX(0,R147-G147))</f>
        <v/>
      </c>
      <c r="T147" s="21" t="str">
        <f aca="false">IF(S147="","",S147*K147)</f>
        <v/>
      </c>
      <c r="U147" s="5" t="str">
        <f aca="false">IF(A147="","",IF(J147&gt;Parâmetros!$C$14,"SIM","NAO"))</f>
        <v/>
      </c>
      <c r="V147" s="5" t="str">
        <f aca="false">IF(B147="","",TRIM(LEFT(B147,IFERROR(FIND(" ",B147)-1,LEN(B147)))))</f>
        <v/>
      </c>
      <c r="W147" s="22"/>
      <c r="X147" s="5" t="str">
        <f aca="false">IF(A147="","",IF(W147&lt;&gt;"",W147,V147))</f>
        <v/>
      </c>
      <c r="Y147" s="5" t="str">
        <f aca="false">IF(A147="","",IF(COUNTIFS($X$2:$X$2001,X147,$D$2:$D$2001,"&lt;&gt;"&amp;D147,$C$2:$C$2001,C147)&gt;0,"SIM","NAO"))</f>
        <v/>
      </c>
      <c r="Z147" s="5" t="str">
        <f aca="false">IF(A147="","",IF(J147="","",IFERROR(360/J147,"")))</f>
        <v/>
      </c>
      <c r="AA147" s="5" t="str">
        <f aca="false">IF(A147="","",IF(H147=0,"Parado (sem venda 90d)",IF(Z147&gt;12,"Alto (&gt;12x/ano)",IF(Z147&gt;=4,"Medio (4-12x/ano)","Baixo (&lt;4x/ano)"))))</f>
        <v/>
      </c>
    </row>
    <row r="148" customFormat="false" ht="15" hidden="false" customHeight="true" outlineLevel="0" collapsed="false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18"/>
      <c r="L148" s="19" t="str">
        <f aca="false">IF(A148="","",G148*K148)</f>
        <v/>
      </c>
      <c r="M148" s="20"/>
      <c r="N148" s="6"/>
      <c r="O148" s="6"/>
      <c r="P148" s="5" t="str">
        <f aca="false">IF(A148="","",H148/90)</f>
        <v/>
      </c>
      <c r="Q148" s="5" t="str">
        <f aca="false">IF(A148="","",IFERROR(INDEX(Parâmetros!$C$6:$C$10,MATCH(F148,Parâmetros!$B$6:$B$10,0)),""))</f>
        <v/>
      </c>
      <c r="R148" s="5" t="str">
        <f aca="false">IF(OR(A148="",P148="",Q148=""),"",P148*Q148)</f>
        <v/>
      </c>
      <c r="S148" s="5" t="str">
        <f aca="false">IF(R148="","",MAX(0,R148-G148))</f>
        <v/>
      </c>
      <c r="T148" s="21" t="str">
        <f aca="false">IF(S148="","",S148*K148)</f>
        <v/>
      </c>
      <c r="U148" s="5" t="str">
        <f aca="false">IF(A148="","",IF(J148&gt;Parâmetros!$C$14,"SIM","NAO"))</f>
        <v/>
      </c>
      <c r="V148" s="5" t="str">
        <f aca="false">IF(B148="","",TRIM(LEFT(B148,IFERROR(FIND(" ",B148)-1,LEN(B148)))))</f>
        <v/>
      </c>
      <c r="W148" s="22"/>
      <c r="X148" s="5" t="str">
        <f aca="false">IF(A148="","",IF(W148&lt;&gt;"",W148,V148))</f>
        <v/>
      </c>
      <c r="Y148" s="5" t="str">
        <f aca="false">IF(A148="","",IF(COUNTIFS($X$2:$X$2001,X148,$D$2:$D$2001,"&lt;&gt;"&amp;D148,$C$2:$C$2001,C148)&gt;0,"SIM","NAO"))</f>
        <v/>
      </c>
      <c r="Z148" s="5" t="str">
        <f aca="false">IF(A148="","",IF(J148="","",IFERROR(360/J148,"")))</f>
        <v/>
      </c>
      <c r="AA148" s="5" t="str">
        <f aca="false">IF(A148="","",IF(H148=0,"Parado (sem venda 90d)",IF(Z148&gt;12,"Alto (&gt;12x/ano)",IF(Z148&gt;=4,"Medio (4-12x/ano)","Baixo (&lt;4x/ano)"))))</f>
        <v/>
      </c>
    </row>
    <row r="149" customFormat="false" ht="15" hidden="false" customHeight="true" outlineLevel="0" collapsed="false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18"/>
      <c r="L149" s="19" t="str">
        <f aca="false">IF(A149="","",G149*K149)</f>
        <v/>
      </c>
      <c r="M149" s="20"/>
      <c r="N149" s="6"/>
      <c r="O149" s="6"/>
      <c r="P149" s="5" t="str">
        <f aca="false">IF(A149="","",H149/90)</f>
        <v/>
      </c>
      <c r="Q149" s="5" t="str">
        <f aca="false">IF(A149="","",IFERROR(INDEX(Parâmetros!$C$6:$C$10,MATCH(F149,Parâmetros!$B$6:$B$10,0)),""))</f>
        <v/>
      </c>
      <c r="R149" s="5" t="str">
        <f aca="false">IF(OR(A149="",P149="",Q149=""),"",P149*Q149)</f>
        <v/>
      </c>
      <c r="S149" s="5" t="str">
        <f aca="false">IF(R149="","",MAX(0,R149-G149))</f>
        <v/>
      </c>
      <c r="T149" s="21" t="str">
        <f aca="false">IF(S149="","",S149*K149)</f>
        <v/>
      </c>
      <c r="U149" s="5" t="str">
        <f aca="false">IF(A149="","",IF(J149&gt;Parâmetros!$C$14,"SIM","NAO"))</f>
        <v/>
      </c>
      <c r="V149" s="5" t="str">
        <f aca="false">IF(B149="","",TRIM(LEFT(B149,IFERROR(FIND(" ",B149)-1,LEN(B149)))))</f>
        <v/>
      </c>
      <c r="W149" s="22"/>
      <c r="X149" s="5" t="str">
        <f aca="false">IF(A149="","",IF(W149&lt;&gt;"",W149,V149))</f>
        <v/>
      </c>
      <c r="Y149" s="5" t="str">
        <f aca="false">IF(A149="","",IF(COUNTIFS($X$2:$X$2001,X149,$D$2:$D$2001,"&lt;&gt;"&amp;D149,$C$2:$C$2001,C149)&gt;0,"SIM","NAO"))</f>
        <v/>
      </c>
      <c r="Z149" s="5" t="str">
        <f aca="false">IF(A149="","",IF(J149="","",IFERROR(360/J149,"")))</f>
        <v/>
      </c>
      <c r="AA149" s="5" t="str">
        <f aca="false">IF(A149="","",IF(H149=0,"Parado (sem venda 90d)",IF(Z149&gt;12,"Alto (&gt;12x/ano)",IF(Z149&gt;=4,"Medio (4-12x/ano)","Baixo (&lt;4x/ano)"))))</f>
        <v/>
      </c>
    </row>
    <row r="150" customFormat="false" ht="15" hidden="false" customHeight="true" outlineLevel="0" collapsed="false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18"/>
      <c r="L150" s="19" t="str">
        <f aca="false">IF(A150="","",G150*K150)</f>
        <v/>
      </c>
      <c r="M150" s="20"/>
      <c r="N150" s="6"/>
      <c r="O150" s="6"/>
      <c r="P150" s="5" t="str">
        <f aca="false">IF(A150="","",H150/90)</f>
        <v/>
      </c>
      <c r="Q150" s="5" t="str">
        <f aca="false">IF(A150="","",IFERROR(INDEX(Parâmetros!$C$6:$C$10,MATCH(F150,Parâmetros!$B$6:$B$10,0)),""))</f>
        <v/>
      </c>
      <c r="R150" s="5" t="str">
        <f aca="false">IF(OR(A150="",P150="",Q150=""),"",P150*Q150)</f>
        <v/>
      </c>
      <c r="S150" s="5" t="str">
        <f aca="false">IF(R150="","",MAX(0,R150-G150))</f>
        <v/>
      </c>
      <c r="T150" s="21" t="str">
        <f aca="false">IF(S150="","",S150*K150)</f>
        <v/>
      </c>
      <c r="U150" s="5" t="str">
        <f aca="false">IF(A150="","",IF(J150&gt;Parâmetros!$C$14,"SIM","NAO"))</f>
        <v/>
      </c>
      <c r="V150" s="5" t="str">
        <f aca="false">IF(B150="","",TRIM(LEFT(B150,IFERROR(FIND(" ",B150)-1,LEN(B150)))))</f>
        <v/>
      </c>
      <c r="W150" s="22"/>
      <c r="X150" s="5" t="str">
        <f aca="false">IF(A150="","",IF(W150&lt;&gt;"",W150,V150))</f>
        <v/>
      </c>
      <c r="Y150" s="5" t="str">
        <f aca="false">IF(A150="","",IF(COUNTIFS($X$2:$X$2001,X150,$D$2:$D$2001,"&lt;&gt;"&amp;D150,$C$2:$C$2001,C150)&gt;0,"SIM","NAO"))</f>
        <v/>
      </c>
      <c r="Z150" s="5" t="str">
        <f aca="false">IF(A150="","",IF(J150="","",IFERROR(360/J150,"")))</f>
        <v/>
      </c>
      <c r="AA150" s="5" t="str">
        <f aca="false">IF(A150="","",IF(H150=0,"Parado (sem venda 90d)",IF(Z150&gt;12,"Alto (&gt;12x/ano)",IF(Z150&gt;=4,"Medio (4-12x/ano)","Baixo (&lt;4x/ano)"))))</f>
        <v/>
      </c>
    </row>
    <row r="151" customFormat="false" ht="15" hidden="false" customHeight="true" outlineLevel="0" collapsed="false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18"/>
      <c r="L151" s="19" t="str">
        <f aca="false">IF(A151="","",G151*K151)</f>
        <v/>
      </c>
      <c r="M151" s="20"/>
      <c r="N151" s="6"/>
      <c r="O151" s="6"/>
      <c r="P151" s="5" t="str">
        <f aca="false">IF(A151="","",H151/90)</f>
        <v/>
      </c>
      <c r="Q151" s="5" t="str">
        <f aca="false">IF(A151="","",IFERROR(INDEX(Parâmetros!$C$6:$C$10,MATCH(F151,Parâmetros!$B$6:$B$10,0)),""))</f>
        <v/>
      </c>
      <c r="R151" s="5" t="str">
        <f aca="false">IF(OR(A151="",P151="",Q151=""),"",P151*Q151)</f>
        <v/>
      </c>
      <c r="S151" s="5" t="str">
        <f aca="false">IF(R151="","",MAX(0,R151-G151))</f>
        <v/>
      </c>
      <c r="T151" s="21" t="str">
        <f aca="false">IF(S151="","",S151*K151)</f>
        <v/>
      </c>
      <c r="U151" s="5" t="str">
        <f aca="false">IF(A151="","",IF(J151&gt;Parâmetros!$C$14,"SIM","NAO"))</f>
        <v/>
      </c>
      <c r="V151" s="5" t="str">
        <f aca="false">IF(B151="","",TRIM(LEFT(B151,IFERROR(FIND(" ",B151)-1,LEN(B151)))))</f>
        <v/>
      </c>
      <c r="W151" s="22"/>
      <c r="X151" s="5" t="str">
        <f aca="false">IF(A151="","",IF(W151&lt;&gt;"",W151,V151))</f>
        <v/>
      </c>
      <c r="Y151" s="5" t="str">
        <f aca="false">IF(A151="","",IF(COUNTIFS($X$2:$X$2001,X151,$D$2:$D$2001,"&lt;&gt;"&amp;D151,$C$2:$C$2001,C151)&gt;0,"SIM","NAO"))</f>
        <v/>
      </c>
      <c r="Z151" s="5" t="str">
        <f aca="false">IF(A151="","",IF(J151="","",IFERROR(360/J151,"")))</f>
        <v/>
      </c>
      <c r="AA151" s="5" t="str">
        <f aca="false">IF(A151="","",IF(H151=0,"Parado (sem venda 90d)",IF(Z151&gt;12,"Alto (&gt;12x/ano)",IF(Z151&gt;=4,"Medio (4-12x/ano)","Baixo (&lt;4x/ano)"))))</f>
        <v/>
      </c>
    </row>
    <row r="152" customFormat="false" ht="15" hidden="false" customHeight="true" outlineLevel="0" collapsed="false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18"/>
      <c r="L152" s="19" t="str">
        <f aca="false">IF(A152="","",G152*K152)</f>
        <v/>
      </c>
      <c r="M152" s="20"/>
      <c r="N152" s="6"/>
      <c r="O152" s="6"/>
      <c r="P152" s="5" t="str">
        <f aca="false">IF(A152="","",H152/90)</f>
        <v/>
      </c>
      <c r="Q152" s="5" t="str">
        <f aca="false">IF(A152="","",IFERROR(INDEX(Parâmetros!$C$6:$C$10,MATCH(F152,Parâmetros!$B$6:$B$10,0)),""))</f>
        <v/>
      </c>
      <c r="R152" s="5" t="str">
        <f aca="false">IF(OR(A152="",P152="",Q152=""),"",P152*Q152)</f>
        <v/>
      </c>
      <c r="S152" s="5" t="str">
        <f aca="false">IF(R152="","",MAX(0,R152-G152))</f>
        <v/>
      </c>
      <c r="T152" s="21" t="str">
        <f aca="false">IF(S152="","",S152*K152)</f>
        <v/>
      </c>
      <c r="U152" s="5" t="str">
        <f aca="false">IF(A152="","",IF(J152&gt;Parâmetros!$C$14,"SIM","NAO"))</f>
        <v/>
      </c>
      <c r="V152" s="5" t="str">
        <f aca="false">IF(B152="","",TRIM(LEFT(B152,IFERROR(FIND(" ",B152)-1,LEN(B152)))))</f>
        <v/>
      </c>
      <c r="W152" s="22"/>
      <c r="X152" s="5" t="str">
        <f aca="false">IF(A152="","",IF(W152&lt;&gt;"",W152,V152))</f>
        <v/>
      </c>
      <c r="Y152" s="5" t="str">
        <f aca="false">IF(A152="","",IF(COUNTIFS($X$2:$X$2001,X152,$D$2:$D$2001,"&lt;&gt;"&amp;D152,$C$2:$C$2001,C152)&gt;0,"SIM","NAO"))</f>
        <v/>
      </c>
      <c r="Z152" s="5" t="str">
        <f aca="false">IF(A152="","",IF(J152="","",IFERROR(360/J152,"")))</f>
        <v/>
      </c>
      <c r="AA152" s="5" t="str">
        <f aca="false">IF(A152="","",IF(H152=0,"Parado (sem venda 90d)",IF(Z152&gt;12,"Alto (&gt;12x/ano)",IF(Z152&gt;=4,"Medio (4-12x/ano)","Baixo (&lt;4x/ano)"))))</f>
        <v/>
      </c>
    </row>
    <row r="153" customFormat="false" ht="15" hidden="false" customHeight="true" outlineLevel="0" collapsed="false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18"/>
      <c r="L153" s="19" t="str">
        <f aca="false">IF(A153="","",G153*K153)</f>
        <v/>
      </c>
      <c r="M153" s="20"/>
      <c r="N153" s="6"/>
      <c r="O153" s="6"/>
      <c r="P153" s="5" t="str">
        <f aca="false">IF(A153="","",H153/90)</f>
        <v/>
      </c>
      <c r="Q153" s="5" t="str">
        <f aca="false">IF(A153="","",IFERROR(INDEX(Parâmetros!$C$6:$C$10,MATCH(F153,Parâmetros!$B$6:$B$10,0)),""))</f>
        <v/>
      </c>
      <c r="R153" s="5" t="str">
        <f aca="false">IF(OR(A153="",P153="",Q153=""),"",P153*Q153)</f>
        <v/>
      </c>
      <c r="S153" s="5" t="str">
        <f aca="false">IF(R153="","",MAX(0,R153-G153))</f>
        <v/>
      </c>
      <c r="T153" s="21" t="str">
        <f aca="false">IF(S153="","",S153*K153)</f>
        <v/>
      </c>
      <c r="U153" s="5" t="str">
        <f aca="false">IF(A153="","",IF(J153&gt;Parâmetros!$C$14,"SIM","NAO"))</f>
        <v/>
      </c>
      <c r="V153" s="5" t="str">
        <f aca="false">IF(B153="","",TRIM(LEFT(B153,IFERROR(FIND(" ",B153)-1,LEN(B153)))))</f>
        <v/>
      </c>
      <c r="W153" s="22"/>
      <c r="X153" s="5" t="str">
        <f aca="false">IF(A153="","",IF(W153&lt;&gt;"",W153,V153))</f>
        <v/>
      </c>
      <c r="Y153" s="5" t="str">
        <f aca="false">IF(A153="","",IF(COUNTIFS($X$2:$X$2001,X153,$D$2:$D$2001,"&lt;&gt;"&amp;D153,$C$2:$C$2001,C153)&gt;0,"SIM","NAO"))</f>
        <v/>
      </c>
      <c r="Z153" s="5" t="str">
        <f aca="false">IF(A153="","",IF(J153="","",IFERROR(360/J153,"")))</f>
        <v/>
      </c>
      <c r="AA153" s="5" t="str">
        <f aca="false">IF(A153="","",IF(H153=0,"Parado (sem venda 90d)",IF(Z153&gt;12,"Alto (&gt;12x/ano)",IF(Z153&gt;=4,"Medio (4-12x/ano)","Baixo (&lt;4x/ano)"))))</f>
        <v/>
      </c>
    </row>
    <row r="154" customFormat="false" ht="15" hidden="false" customHeight="true" outlineLevel="0" collapsed="false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18"/>
      <c r="L154" s="19" t="str">
        <f aca="false">IF(A154="","",G154*K154)</f>
        <v/>
      </c>
      <c r="M154" s="20"/>
      <c r="N154" s="6"/>
      <c r="O154" s="6"/>
      <c r="P154" s="5" t="str">
        <f aca="false">IF(A154="","",H154/90)</f>
        <v/>
      </c>
      <c r="Q154" s="5" t="str">
        <f aca="false">IF(A154="","",IFERROR(INDEX(Parâmetros!$C$6:$C$10,MATCH(F154,Parâmetros!$B$6:$B$10,0)),""))</f>
        <v/>
      </c>
      <c r="R154" s="5" t="str">
        <f aca="false">IF(OR(A154="",P154="",Q154=""),"",P154*Q154)</f>
        <v/>
      </c>
      <c r="S154" s="5" t="str">
        <f aca="false">IF(R154="","",MAX(0,R154-G154))</f>
        <v/>
      </c>
      <c r="T154" s="21" t="str">
        <f aca="false">IF(S154="","",S154*K154)</f>
        <v/>
      </c>
      <c r="U154" s="5" t="str">
        <f aca="false">IF(A154="","",IF(J154&gt;Parâmetros!$C$14,"SIM","NAO"))</f>
        <v/>
      </c>
      <c r="V154" s="5" t="str">
        <f aca="false">IF(B154="","",TRIM(LEFT(B154,IFERROR(FIND(" ",B154)-1,LEN(B154)))))</f>
        <v/>
      </c>
      <c r="W154" s="22"/>
      <c r="X154" s="5" t="str">
        <f aca="false">IF(A154="","",IF(W154&lt;&gt;"",W154,V154))</f>
        <v/>
      </c>
      <c r="Y154" s="5" t="str">
        <f aca="false">IF(A154="","",IF(COUNTIFS($X$2:$X$2001,X154,$D$2:$D$2001,"&lt;&gt;"&amp;D154,$C$2:$C$2001,C154)&gt;0,"SIM","NAO"))</f>
        <v/>
      </c>
      <c r="Z154" s="5" t="str">
        <f aca="false">IF(A154="","",IF(J154="","",IFERROR(360/J154,"")))</f>
        <v/>
      </c>
      <c r="AA154" s="5" t="str">
        <f aca="false">IF(A154="","",IF(H154=0,"Parado (sem venda 90d)",IF(Z154&gt;12,"Alto (&gt;12x/ano)",IF(Z154&gt;=4,"Medio (4-12x/ano)","Baixo (&lt;4x/ano)"))))</f>
        <v/>
      </c>
    </row>
    <row r="155" customFormat="false" ht="15" hidden="false" customHeight="true" outlineLevel="0" collapsed="false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18"/>
      <c r="L155" s="19" t="str">
        <f aca="false">IF(A155="","",G155*K155)</f>
        <v/>
      </c>
      <c r="M155" s="20"/>
      <c r="N155" s="6"/>
      <c r="O155" s="6"/>
      <c r="P155" s="5" t="str">
        <f aca="false">IF(A155="","",H155/90)</f>
        <v/>
      </c>
      <c r="Q155" s="5" t="str">
        <f aca="false">IF(A155="","",IFERROR(INDEX(Parâmetros!$C$6:$C$10,MATCH(F155,Parâmetros!$B$6:$B$10,0)),""))</f>
        <v/>
      </c>
      <c r="R155" s="5" t="str">
        <f aca="false">IF(OR(A155="",P155="",Q155=""),"",P155*Q155)</f>
        <v/>
      </c>
      <c r="S155" s="5" t="str">
        <f aca="false">IF(R155="","",MAX(0,R155-G155))</f>
        <v/>
      </c>
      <c r="T155" s="21" t="str">
        <f aca="false">IF(S155="","",S155*K155)</f>
        <v/>
      </c>
      <c r="U155" s="5" t="str">
        <f aca="false">IF(A155="","",IF(J155&gt;Parâmetros!$C$14,"SIM","NAO"))</f>
        <v/>
      </c>
      <c r="V155" s="5" t="str">
        <f aca="false">IF(B155="","",TRIM(LEFT(B155,IFERROR(FIND(" ",B155)-1,LEN(B155)))))</f>
        <v/>
      </c>
      <c r="W155" s="22"/>
      <c r="X155" s="5" t="str">
        <f aca="false">IF(A155="","",IF(W155&lt;&gt;"",W155,V155))</f>
        <v/>
      </c>
      <c r="Y155" s="5" t="str">
        <f aca="false">IF(A155="","",IF(COUNTIFS($X$2:$X$2001,X155,$D$2:$D$2001,"&lt;&gt;"&amp;D155,$C$2:$C$2001,C155)&gt;0,"SIM","NAO"))</f>
        <v/>
      </c>
      <c r="Z155" s="5" t="str">
        <f aca="false">IF(A155="","",IF(J155="","",IFERROR(360/J155,"")))</f>
        <v/>
      </c>
      <c r="AA155" s="5" t="str">
        <f aca="false">IF(A155="","",IF(H155=0,"Parado (sem venda 90d)",IF(Z155&gt;12,"Alto (&gt;12x/ano)",IF(Z155&gt;=4,"Medio (4-12x/ano)","Baixo (&lt;4x/ano)"))))</f>
        <v/>
      </c>
    </row>
    <row r="156" customFormat="false" ht="15" hidden="false" customHeight="true" outlineLevel="0" collapsed="false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18"/>
      <c r="L156" s="19" t="str">
        <f aca="false">IF(A156="","",G156*K156)</f>
        <v/>
      </c>
      <c r="M156" s="20"/>
      <c r="N156" s="6"/>
      <c r="O156" s="6"/>
      <c r="P156" s="5" t="str">
        <f aca="false">IF(A156="","",H156/90)</f>
        <v/>
      </c>
      <c r="Q156" s="5" t="str">
        <f aca="false">IF(A156="","",IFERROR(INDEX(Parâmetros!$C$6:$C$10,MATCH(F156,Parâmetros!$B$6:$B$10,0)),""))</f>
        <v/>
      </c>
      <c r="R156" s="5" t="str">
        <f aca="false">IF(OR(A156="",P156="",Q156=""),"",P156*Q156)</f>
        <v/>
      </c>
      <c r="S156" s="5" t="str">
        <f aca="false">IF(R156="","",MAX(0,R156-G156))</f>
        <v/>
      </c>
      <c r="T156" s="21" t="str">
        <f aca="false">IF(S156="","",S156*K156)</f>
        <v/>
      </c>
      <c r="U156" s="5" t="str">
        <f aca="false">IF(A156="","",IF(J156&gt;Parâmetros!$C$14,"SIM","NAO"))</f>
        <v/>
      </c>
      <c r="V156" s="5" t="str">
        <f aca="false">IF(B156="","",TRIM(LEFT(B156,IFERROR(FIND(" ",B156)-1,LEN(B156)))))</f>
        <v/>
      </c>
      <c r="W156" s="22"/>
      <c r="X156" s="5" t="str">
        <f aca="false">IF(A156="","",IF(W156&lt;&gt;"",W156,V156))</f>
        <v/>
      </c>
      <c r="Y156" s="5" t="str">
        <f aca="false">IF(A156="","",IF(COUNTIFS($X$2:$X$2001,X156,$D$2:$D$2001,"&lt;&gt;"&amp;D156,$C$2:$C$2001,C156)&gt;0,"SIM","NAO"))</f>
        <v/>
      </c>
      <c r="Z156" s="5" t="str">
        <f aca="false">IF(A156="","",IF(J156="","",IFERROR(360/J156,"")))</f>
        <v/>
      </c>
      <c r="AA156" s="5" t="str">
        <f aca="false">IF(A156="","",IF(H156=0,"Parado (sem venda 90d)",IF(Z156&gt;12,"Alto (&gt;12x/ano)",IF(Z156&gt;=4,"Medio (4-12x/ano)","Baixo (&lt;4x/ano)"))))</f>
        <v/>
      </c>
    </row>
    <row r="157" customFormat="false" ht="15" hidden="false" customHeight="true" outlineLevel="0" collapsed="false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18"/>
      <c r="L157" s="19" t="str">
        <f aca="false">IF(A157="","",G157*K157)</f>
        <v/>
      </c>
      <c r="M157" s="20"/>
      <c r="N157" s="6"/>
      <c r="O157" s="6"/>
      <c r="P157" s="5" t="str">
        <f aca="false">IF(A157="","",H157/90)</f>
        <v/>
      </c>
      <c r="Q157" s="5" t="str">
        <f aca="false">IF(A157="","",IFERROR(INDEX(Parâmetros!$C$6:$C$10,MATCH(F157,Parâmetros!$B$6:$B$10,0)),""))</f>
        <v/>
      </c>
      <c r="R157" s="5" t="str">
        <f aca="false">IF(OR(A157="",P157="",Q157=""),"",P157*Q157)</f>
        <v/>
      </c>
      <c r="S157" s="5" t="str">
        <f aca="false">IF(R157="","",MAX(0,R157-G157))</f>
        <v/>
      </c>
      <c r="T157" s="21" t="str">
        <f aca="false">IF(S157="","",S157*K157)</f>
        <v/>
      </c>
      <c r="U157" s="5" t="str">
        <f aca="false">IF(A157="","",IF(J157&gt;Parâmetros!$C$14,"SIM","NAO"))</f>
        <v/>
      </c>
      <c r="V157" s="5" t="str">
        <f aca="false">IF(B157="","",TRIM(LEFT(B157,IFERROR(FIND(" ",B157)-1,LEN(B157)))))</f>
        <v/>
      </c>
      <c r="W157" s="22"/>
      <c r="X157" s="5" t="str">
        <f aca="false">IF(A157="","",IF(W157&lt;&gt;"",W157,V157))</f>
        <v/>
      </c>
      <c r="Y157" s="5" t="str">
        <f aca="false">IF(A157="","",IF(COUNTIFS($X$2:$X$2001,X157,$D$2:$D$2001,"&lt;&gt;"&amp;D157,$C$2:$C$2001,C157)&gt;0,"SIM","NAO"))</f>
        <v/>
      </c>
      <c r="Z157" s="5" t="str">
        <f aca="false">IF(A157="","",IF(J157="","",IFERROR(360/J157,"")))</f>
        <v/>
      </c>
      <c r="AA157" s="5" t="str">
        <f aca="false">IF(A157="","",IF(H157=0,"Parado (sem venda 90d)",IF(Z157&gt;12,"Alto (&gt;12x/ano)",IF(Z157&gt;=4,"Medio (4-12x/ano)","Baixo (&lt;4x/ano)"))))</f>
        <v/>
      </c>
    </row>
    <row r="158" customFormat="false" ht="15" hidden="false" customHeight="true" outlineLevel="0" collapsed="false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18"/>
      <c r="L158" s="19" t="str">
        <f aca="false">IF(A158="","",G158*K158)</f>
        <v/>
      </c>
      <c r="M158" s="20"/>
      <c r="N158" s="6"/>
      <c r="O158" s="6"/>
      <c r="P158" s="5" t="str">
        <f aca="false">IF(A158="","",H158/90)</f>
        <v/>
      </c>
      <c r="Q158" s="5" t="str">
        <f aca="false">IF(A158="","",IFERROR(INDEX(Parâmetros!$C$6:$C$10,MATCH(F158,Parâmetros!$B$6:$B$10,0)),""))</f>
        <v/>
      </c>
      <c r="R158" s="5" t="str">
        <f aca="false">IF(OR(A158="",P158="",Q158=""),"",P158*Q158)</f>
        <v/>
      </c>
      <c r="S158" s="5" t="str">
        <f aca="false">IF(R158="","",MAX(0,R158-G158))</f>
        <v/>
      </c>
      <c r="T158" s="21" t="str">
        <f aca="false">IF(S158="","",S158*K158)</f>
        <v/>
      </c>
      <c r="U158" s="5" t="str">
        <f aca="false">IF(A158="","",IF(J158&gt;Parâmetros!$C$14,"SIM","NAO"))</f>
        <v/>
      </c>
      <c r="V158" s="5" t="str">
        <f aca="false">IF(B158="","",TRIM(LEFT(B158,IFERROR(FIND(" ",B158)-1,LEN(B158)))))</f>
        <v/>
      </c>
      <c r="W158" s="22"/>
      <c r="X158" s="5" t="str">
        <f aca="false">IF(A158="","",IF(W158&lt;&gt;"",W158,V158))</f>
        <v/>
      </c>
      <c r="Y158" s="5" t="str">
        <f aca="false">IF(A158="","",IF(COUNTIFS($X$2:$X$2001,X158,$D$2:$D$2001,"&lt;&gt;"&amp;D158,$C$2:$C$2001,C158)&gt;0,"SIM","NAO"))</f>
        <v/>
      </c>
      <c r="Z158" s="5" t="str">
        <f aca="false">IF(A158="","",IF(J158="","",IFERROR(360/J158,"")))</f>
        <v/>
      </c>
      <c r="AA158" s="5" t="str">
        <f aca="false">IF(A158="","",IF(H158=0,"Parado (sem venda 90d)",IF(Z158&gt;12,"Alto (&gt;12x/ano)",IF(Z158&gt;=4,"Medio (4-12x/ano)","Baixo (&lt;4x/ano)"))))</f>
        <v/>
      </c>
    </row>
    <row r="159" customFormat="false" ht="15" hidden="false" customHeight="true" outlineLevel="0" collapsed="false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18"/>
      <c r="L159" s="19" t="str">
        <f aca="false">IF(A159="","",G159*K159)</f>
        <v/>
      </c>
      <c r="M159" s="20"/>
      <c r="N159" s="6"/>
      <c r="O159" s="6"/>
      <c r="P159" s="5" t="str">
        <f aca="false">IF(A159="","",H159/90)</f>
        <v/>
      </c>
      <c r="Q159" s="5" t="str">
        <f aca="false">IF(A159="","",IFERROR(INDEX(Parâmetros!$C$6:$C$10,MATCH(F159,Parâmetros!$B$6:$B$10,0)),""))</f>
        <v/>
      </c>
      <c r="R159" s="5" t="str">
        <f aca="false">IF(OR(A159="",P159="",Q159=""),"",P159*Q159)</f>
        <v/>
      </c>
      <c r="S159" s="5" t="str">
        <f aca="false">IF(R159="","",MAX(0,R159-G159))</f>
        <v/>
      </c>
      <c r="T159" s="21" t="str">
        <f aca="false">IF(S159="","",S159*K159)</f>
        <v/>
      </c>
      <c r="U159" s="5" t="str">
        <f aca="false">IF(A159="","",IF(J159&gt;Parâmetros!$C$14,"SIM","NAO"))</f>
        <v/>
      </c>
      <c r="V159" s="5" t="str">
        <f aca="false">IF(B159="","",TRIM(LEFT(B159,IFERROR(FIND(" ",B159)-1,LEN(B159)))))</f>
        <v/>
      </c>
      <c r="W159" s="22"/>
      <c r="X159" s="5" t="str">
        <f aca="false">IF(A159="","",IF(W159&lt;&gt;"",W159,V159))</f>
        <v/>
      </c>
      <c r="Y159" s="5" t="str">
        <f aca="false">IF(A159="","",IF(COUNTIFS($X$2:$X$2001,X159,$D$2:$D$2001,"&lt;&gt;"&amp;D159,$C$2:$C$2001,C159)&gt;0,"SIM","NAO"))</f>
        <v/>
      </c>
      <c r="Z159" s="5" t="str">
        <f aca="false">IF(A159="","",IF(J159="","",IFERROR(360/J159,"")))</f>
        <v/>
      </c>
      <c r="AA159" s="5" t="str">
        <f aca="false">IF(A159="","",IF(H159=0,"Parado (sem venda 90d)",IF(Z159&gt;12,"Alto (&gt;12x/ano)",IF(Z159&gt;=4,"Medio (4-12x/ano)","Baixo (&lt;4x/ano)"))))</f>
        <v/>
      </c>
    </row>
    <row r="160" customFormat="false" ht="15" hidden="false" customHeight="true" outlineLevel="0" collapsed="false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18"/>
      <c r="L160" s="19" t="str">
        <f aca="false">IF(A160="","",G160*K160)</f>
        <v/>
      </c>
      <c r="M160" s="20"/>
      <c r="N160" s="6"/>
      <c r="O160" s="6"/>
      <c r="P160" s="5" t="str">
        <f aca="false">IF(A160="","",H160/90)</f>
        <v/>
      </c>
      <c r="Q160" s="5" t="str">
        <f aca="false">IF(A160="","",IFERROR(INDEX(Parâmetros!$C$6:$C$10,MATCH(F160,Parâmetros!$B$6:$B$10,0)),""))</f>
        <v/>
      </c>
      <c r="R160" s="5" t="str">
        <f aca="false">IF(OR(A160="",P160="",Q160=""),"",P160*Q160)</f>
        <v/>
      </c>
      <c r="S160" s="5" t="str">
        <f aca="false">IF(R160="","",MAX(0,R160-G160))</f>
        <v/>
      </c>
      <c r="T160" s="21" t="str">
        <f aca="false">IF(S160="","",S160*K160)</f>
        <v/>
      </c>
      <c r="U160" s="5" t="str">
        <f aca="false">IF(A160="","",IF(J160&gt;Parâmetros!$C$14,"SIM","NAO"))</f>
        <v/>
      </c>
      <c r="V160" s="5" t="str">
        <f aca="false">IF(B160="","",TRIM(LEFT(B160,IFERROR(FIND(" ",B160)-1,LEN(B160)))))</f>
        <v/>
      </c>
      <c r="W160" s="22"/>
      <c r="X160" s="5" t="str">
        <f aca="false">IF(A160="","",IF(W160&lt;&gt;"",W160,V160))</f>
        <v/>
      </c>
      <c r="Y160" s="5" t="str">
        <f aca="false">IF(A160="","",IF(COUNTIFS($X$2:$X$2001,X160,$D$2:$D$2001,"&lt;&gt;"&amp;D160,$C$2:$C$2001,C160)&gt;0,"SIM","NAO"))</f>
        <v/>
      </c>
      <c r="Z160" s="5" t="str">
        <f aca="false">IF(A160="","",IF(J160="","",IFERROR(360/J160,"")))</f>
        <v/>
      </c>
      <c r="AA160" s="5" t="str">
        <f aca="false">IF(A160="","",IF(H160=0,"Parado (sem venda 90d)",IF(Z160&gt;12,"Alto (&gt;12x/ano)",IF(Z160&gt;=4,"Medio (4-12x/ano)","Baixo (&lt;4x/ano)"))))</f>
        <v/>
      </c>
    </row>
    <row r="161" customFormat="false" ht="15" hidden="false" customHeight="true" outlineLevel="0" collapsed="false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18"/>
      <c r="L161" s="19" t="str">
        <f aca="false">IF(A161="","",G161*K161)</f>
        <v/>
      </c>
      <c r="M161" s="20"/>
      <c r="N161" s="6"/>
      <c r="O161" s="6"/>
      <c r="P161" s="5" t="str">
        <f aca="false">IF(A161="","",H161/90)</f>
        <v/>
      </c>
      <c r="Q161" s="5" t="str">
        <f aca="false">IF(A161="","",IFERROR(INDEX(Parâmetros!$C$6:$C$10,MATCH(F161,Parâmetros!$B$6:$B$10,0)),""))</f>
        <v/>
      </c>
      <c r="R161" s="5" t="str">
        <f aca="false">IF(OR(A161="",P161="",Q161=""),"",P161*Q161)</f>
        <v/>
      </c>
      <c r="S161" s="5" t="str">
        <f aca="false">IF(R161="","",MAX(0,R161-G161))</f>
        <v/>
      </c>
      <c r="T161" s="21" t="str">
        <f aca="false">IF(S161="","",S161*K161)</f>
        <v/>
      </c>
      <c r="U161" s="5" t="str">
        <f aca="false">IF(A161="","",IF(J161&gt;Parâmetros!$C$14,"SIM","NAO"))</f>
        <v/>
      </c>
      <c r="V161" s="5" t="str">
        <f aca="false">IF(B161="","",TRIM(LEFT(B161,IFERROR(FIND(" ",B161)-1,LEN(B161)))))</f>
        <v/>
      </c>
      <c r="W161" s="22"/>
      <c r="X161" s="5" t="str">
        <f aca="false">IF(A161="","",IF(W161&lt;&gt;"",W161,V161))</f>
        <v/>
      </c>
      <c r="Y161" s="5" t="str">
        <f aca="false">IF(A161="","",IF(COUNTIFS($X$2:$X$2001,X161,$D$2:$D$2001,"&lt;&gt;"&amp;D161,$C$2:$C$2001,C161)&gt;0,"SIM","NAO"))</f>
        <v/>
      </c>
      <c r="Z161" s="5" t="str">
        <f aca="false">IF(A161="","",IF(J161="","",IFERROR(360/J161,"")))</f>
        <v/>
      </c>
      <c r="AA161" s="5" t="str">
        <f aca="false">IF(A161="","",IF(H161=0,"Parado (sem venda 90d)",IF(Z161&gt;12,"Alto (&gt;12x/ano)",IF(Z161&gt;=4,"Medio (4-12x/ano)","Baixo (&lt;4x/ano)"))))</f>
        <v/>
      </c>
    </row>
    <row r="162" customFormat="false" ht="15" hidden="false" customHeight="true" outlineLevel="0" collapsed="false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18"/>
      <c r="L162" s="19" t="str">
        <f aca="false">IF(A162="","",G162*K162)</f>
        <v/>
      </c>
      <c r="M162" s="20"/>
      <c r="N162" s="6"/>
      <c r="O162" s="6"/>
      <c r="P162" s="5" t="str">
        <f aca="false">IF(A162="","",H162/90)</f>
        <v/>
      </c>
      <c r="Q162" s="5" t="str">
        <f aca="false">IF(A162="","",IFERROR(INDEX(Parâmetros!$C$6:$C$10,MATCH(F162,Parâmetros!$B$6:$B$10,0)),""))</f>
        <v/>
      </c>
      <c r="R162" s="5" t="str">
        <f aca="false">IF(OR(A162="",P162="",Q162=""),"",P162*Q162)</f>
        <v/>
      </c>
      <c r="S162" s="5" t="str">
        <f aca="false">IF(R162="","",MAX(0,R162-G162))</f>
        <v/>
      </c>
      <c r="T162" s="21" t="str">
        <f aca="false">IF(S162="","",S162*K162)</f>
        <v/>
      </c>
      <c r="U162" s="5" t="str">
        <f aca="false">IF(A162="","",IF(J162&gt;Parâmetros!$C$14,"SIM","NAO"))</f>
        <v/>
      </c>
      <c r="V162" s="5" t="str">
        <f aca="false">IF(B162="","",TRIM(LEFT(B162,IFERROR(FIND(" ",B162)-1,LEN(B162)))))</f>
        <v/>
      </c>
      <c r="W162" s="22"/>
      <c r="X162" s="5" t="str">
        <f aca="false">IF(A162="","",IF(W162&lt;&gt;"",W162,V162))</f>
        <v/>
      </c>
      <c r="Y162" s="5" t="str">
        <f aca="false">IF(A162="","",IF(COUNTIFS($X$2:$X$2001,X162,$D$2:$D$2001,"&lt;&gt;"&amp;D162,$C$2:$C$2001,C162)&gt;0,"SIM","NAO"))</f>
        <v/>
      </c>
      <c r="Z162" s="5" t="str">
        <f aca="false">IF(A162="","",IF(J162="","",IFERROR(360/J162,"")))</f>
        <v/>
      </c>
      <c r="AA162" s="5" t="str">
        <f aca="false">IF(A162="","",IF(H162=0,"Parado (sem venda 90d)",IF(Z162&gt;12,"Alto (&gt;12x/ano)",IF(Z162&gt;=4,"Medio (4-12x/ano)","Baixo (&lt;4x/ano)"))))</f>
        <v/>
      </c>
    </row>
    <row r="163" customFormat="false" ht="15" hidden="false" customHeight="true" outlineLevel="0" collapsed="false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18"/>
      <c r="L163" s="19" t="str">
        <f aca="false">IF(A163="","",G163*K163)</f>
        <v/>
      </c>
      <c r="M163" s="20"/>
      <c r="N163" s="6"/>
      <c r="O163" s="6"/>
      <c r="P163" s="5" t="str">
        <f aca="false">IF(A163="","",H163/90)</f>
        <v/>
      </c>
      <c r="Q163" s="5" t="str">
        <f aca="false">IF(A163="","",IFERROR(INDEX(Parâmetros!$C$6:$C$10,MATCH(F163,Parâmetros!$B$6:$B$10,0)),""))</f>
        <v/>
      </c>
      <c r="R163" s="5" t="str">
        <f aca="false">IF(OR(A163="",P163="",Q163=""),"",P163*Q163)</f>
        <v/>
      </c>
      <c r="S163" s="5" t="str">
        <f aca="false">IF(R163="","",MAX(0,R163-G163))</f>
        <v/>
      </c>
      <c r="T163" s="21" t="str">
        <f aca="false">IF(S163="","",S163*K163)</f>
        <v/>
      </c>
      <c r="U163" s="5" t="str">
        <f aca="false">IF(A163="","",IF(J163&gt;Parâmetros!$C$14,"SIM","NAO"))</f>
        <v/>
      </c>
      <c r="V163" s="5" t="str">
        <f aca="false">IF(B163="","",TRIM(LEFT(B163,IFERROR(FIND(" ",B163)-1,LEN(B163)))))</f>
        <v/>
      </c>
      <c r="W163" s="22"/>
      <c r="X163" s="5" t="str">
        <f aca="false">IF(A163="","",IF(W163&lt;&gt;"",W163,V163))</f>
        <v/>
      </c>
      <c r="Y163" s="5" t="str">
        <f aca="false">IF(A163="","",IF(COUNTIFS($X$2:$X$2001,X163,$D$2:$D$2001,"&lt;&gt;"&amp;D163,$C$2:$C$2001,C163)&gt;0,"SIM","NAO"))</f>
        <v/>
      </c>
      <c r="Z163" s="5" t="str">
        <f aca="false">IF(A163="","",IF(J163="","",IFERROR(360/J163,"")))</f>
        <v/>
      </c>
      <c r="AA163" s="5" t="str">
        <f aca="false">IF(A163="","",IF(H163=0,"Parado (sem venda 90d)",IF(Z163&gt;12,"Alto (&gt;12x/ano)",IF(Z163&gt;=4,"Medio (4-12x/ano)","Baixo (&lt;4x/ano)"))))</f>
        <v/>
      </c>
    </row>
    <row r="164" customFormat="false" ht="15" hidden="false" customHeight="true" outlineLevel="0" collapsed="false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18"/>
      <c r="L164" s="19" t="str">
        <f aca="false">IF(A164="","",G164*K164)</f>
        <v/>
      </c>
      <c r="M164" s="20"/>
      <c r="N164" s="6"/>
      <c r="O164" s="6"/>
      <c r="P164" s="5" t="str">
        <f aca="false">IF(A164="","",H164/90)</f>
        <v/>
      </c>
      <c r="Q164" s="5" t="str">
        <f aca="false">IF(A164="","",IFERROR(INDEX(Parâmetros!$C$6:$C$10,MATCH(F164,Parâmetros!$B$6:$B$10,0)),""))</f>
        <v/>
      </c>
      <c r="R164" s="5" t="str">
        <f aca="false">IF(OR(A164="",P164="",Q164=""),"",P164*Q164)</f>
        <v/>
      </c>
      <c r="S164" s="5" t="str">
        <f aca="false">IF(R164="","",MAX(0,R164-G164))</f>
        <v/>
      </c>
      <c r="T164" s="21" t="str">
        <f aca="false">IF(S164="","",S164*K164)</f>
        <v/>
      </c>
      <c r="U164" s="5" t="str">
        <f aca="false">IF(A164="","",IF(J164&gt;Parâmetros!$C$14,"SIM","NAO"))</f>
        <v/>
      </c>
      <c r="V164" s="5" t="str">
        <f aca="false">IF(B164="","",TRIM(LEFT(B164,IFERROR(FIND(" ",B164)-1,LEN(B164)))))</f>
        <v/>
      </c>
      <c r="W164" s="22"/>
      <c r="X164" s="5" t="str">
        <f aca="false">IF(A164="","",IF(W164&lt;&gt;"",W164,V164))</f>
        <v/>
      </c>
      <c r="Y164" s="5" t="str">
        <f aca="false">IF(A164="","",IF(COUNTIFS($X$2:$X$2001,X164,$D$2:$D$2001,"&lt;&gt;"&amp;D164,$C$2:$C$2001,C164)&gt;0,"SIM","NAO"))</f>
        <v/>
      </c>
      <c r="Z164" s="5" t="str">
        <f aca="false">IF(A164="","",IF(J164="","",IFERROR(360/J164,"")))</f>
        <v/>
      </c>
      <c r="AA164" s="5" t="str">
        <f aca="false">IF(A164="","",IF(H164=0,"Parado (sem venda 90d)",IF(Z164&gt;12,"Alto (&gt;12x/ano)",IF(Z164&gt;=4,"Medio (4-12x/ano)","Baixo (&lt;4x/ano)"))))</f>
        <v/>
      </c>
    </row>
    <row r="165" customFormat="false" ht="15" hidden="false" customHeight="true" outlineLevel="0" collapsed="false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18"/>
      <c r="L165" s="19" t="str">
        <f aca="false">IF(A165="","",G165*K165)</f>
        <v/>
      </c>
      <c r="M165" s="20"/>
      <c r="N165" s="6"/>
      <c r="O165" s="6"/>
      <c r="P165" s="5" t="str">
        <f aca="false">IF(A165="","",H165/90)</f>
        <v/>
      </c>
      <c r="Q165" s="5" t="str">
        <f aca="false">IF(A165="","",IFERROR(INDEX(Parâmetros!$C$6:$C$10,MATCH(F165,Parâmetros!$B$6:$B$10,0)),""))</f>
        <v/>
      </c>
      <c r="R165" s="5" t="str">
        <f aca="false">IF(OR(A165="",P165="",Q165=""),"",P165*Q165)</f>
        <v/>
      </c>
      <c r="S165" s="5" t="str">
        <f aca="false">IF(R165="","",MAX(0,R165-G165))</f>
        <v/>
      </c>
      <c r="T165" s="21" t="str">
        <f aca="false">IF(S165="","",S165*K165)</f>
        <v/>
      </c>
      <c r="U165" s="5" t="str">
        <f aca="false">IF(A165="","",IF(J165&gt;Parâmetros!$C$14,"SIM","NAO"))</f>
        <v/>
      </c>
      <c r="V165" s="5" t="str">
        <f aca="false">IF(B165="","",TRIM(LEFT(B165,IFERROR(FIND(" ",B165)-1,LEN(B165)))))</f>
        <v/>
      </c>
      <c r="W165" s="22"/>
      <c r="X165" s="5" t="str">
        <f aca="false">IF(A165="","",IF(W165&lt;&gt;"",W165,V165))</f>
        <v/>
      </c>
      <c r="Y165" s="5" t="str">
        <f aca="false">IF(A165="","",IF(COUNTIFS($X$2:$X$2001,X165,$D$2:$D$2001,"&lt;&gt;"&amp;D165,$C$2:$C$2001,C165)&gt;0,"SIM","NAO"))</f>
        <v/>
      </c>
      <c r="Z165" s="5" t="str">
        <f aca="false">IF(A165="","",IF(J165="","",IFERROR(360/J165,"")))</f>
        <v/>
      </c>
      <c r="AA165" s="5" t="str">
        <f aca="false">IF(A165="","",IF(H165=0,"Parado (sem venda 90d)",IF(Z165&gt;12,"Alto (&gt;12x/ano)",IF(Z165&gt;=4,"Medio (4-12x/ano)","Baixo (&lt;4x/ano)"))))</f>
        <v/>
      </c>
    </row>
    <row r="166" customFormat="false" ht="15" hidden="false" customHeight="true" outlineLevel="0" collapsed="false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18"/>
      <c r="L166" s="19" t="str">
        <f aca="false">IF(A166="","",G166*K166)</f>
        <v/>
      </c>
      <c r="M166" s="20"/>
      <c r="N166" s="6"/>
      <c r="O166" s="6"/>
      <c r="P166" s="5" t="str">
        <f aca="false">IF(A166="","",H166/90)</f>
        <v/>
      </c>
      <c r="Q166" s="5" t="str">
        <f aca="false">IF(A166="","",IFERROR(INDEX(Parâmetros!$C$6:$C$10,MATCH(F166,Parâmetros!$B$6:$B$10,0)),""))</f>
        <v/>
      </c>
      <c r="R166" s="5" t="str">
        <f aca="false">IF(OR(A166="",P166="",Q166=""),"",P166*Q166)</f>
        <v/>
      </c>
      <c r="S166" s="5" t="str">
        <f aca="false">IF(R166="","",MAX(0,R166-G166))</f>
        <v/>
      </c>
      <c r="T166" s="21" t="str">
        <f aca="false">IF(S166="","",S166*K166)</f>
        <v/>
      </c>
      <c r="U166" s="5" t="str">
        <f aca="false">IF(A166="","",IF(J166&gt;Parâmetros!$C$14,"SIM","NAO"))</f>
        <v/>
      </c>
      <c r="V166" s="5" t="str">
        <f aca="false">IF(B166="","",TRIM(LEFT(B166,IFERROR(FIND(" ",B166)-1,LEN(B166)))))</f>
        <v/>
      </c>
      <c r="W166" s="22"/>
      <c r="X166" s="5" t="str">
        <f aca="false">IF(A166="","",IF(W166&lt;&gt;"",W166,V166))</f>
        <v/>
      </c>
      <c r="Y166" s="5" t="str">
        <f aca="false">IF(A166="","",IF(COUNTIFS($X$2:$X$2001,X166,$D$2:$D$2001,"&lt;&gt;"&amp;D166,$C$2:$C$2001,C166)&gt;0,"SIM","NAO"))</f>
        <v/>
      </c>
      <c r="Z166" s="5" t="str">
        <f aca="false">IF(A166="","",IF(J166="","",IFERROR(360/J166,"")))</f>
        <v/>
      </c>
      <c r="AA166" s="5" t="str">
        <f aca="false">IF(A166="","",IF(H166=0,"Parado (sem venda 90d)",IF(Z166&gt;12,"Alto (&gt;12x/ano)",IF(Z166&gt;=4,"Medio (4-12x/ano)","Baixo (&lt;4x/ano)"))))</f>
        <v/>
      </c>
    </row>
    <row r="167" customFormat="false" ht="15" hidden="false" customHeight="true" outlineLevel="0" collapsed="false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18"/>
      <c r="L167" s="19" t="str">
        <f aca="false">IF(A167="","",G167*K167)</f>
        <v/>
      </c>
      <c r="M167" s="20"/>
      <c r="N167" s="6"/>
      <c r="O167" s="6"/>
      <c r="P167" s="5" t="str">
        <f aca="false">IF(A167="","",H167/90)</f>
        <v/>
      </c>
      <c r="Q167" s="5" t="str">
        <f aca="false">IF(A167="","",IFERROR(INDEX(Parâmetros!$C$6:$C$10,MATCH(F167,Parâmetros!$B$6:$B$10,0)),""))</f>
        <v/>
      </c>
      <c r="R167" s="5" t="str">
        <f aca="false">IF(OR(A167="",P167="",Q167=""),"",P167*Q167)</f>
        <v/>
      </c>
      <c r="S167" s="5" t="str">
        <f aca="false">IF(R167="","",MAX(0,R167-G167))</f>
        <v/>
      </c>
      <c r="T167" s="21" t="str">
        <f aca="false">IF(S167="","",S167*K167)</f>
        <v/>
      </c>
      <c r="U167" s="5" t="str">
        <f aca="false">IF(A167="","",IF(J167&gt;Parâmetros!$C$14,"SIM","NAO"))</f>
        <v/>
      </c>
      <c r="V167" s="5" t="str">
        <f aca="false">IF(B167="","",TRIM(LEFT(B167,IFERROR(FIND(" ",B167)-1,LEN(B167)))))</f>
        <v/>
      </c>
      <c r="W167" s="22"/>
      <c r="X167" s="5" t="str">
        <f aca="false">IF(A167="","",IF(W167&lt;&gt;"",W167,V167))</f>
        <v/>
      </c>
      <c r="Y167" s="5" t="str">
        <f aca="false">IF(A167="","",IF(COUNTIFS($X$2:$X$2001,X167,$D$2:$D$2001,"&lt;&gt;"&amp;D167,$C$2:$C$2001,C167)&gt;0,"SIM","NAO"))</f>
        <v/>
      </c>
      <c r="Z167" s="5" t="str">
        <f aca="false">IF(A167="","",IF(J167="","",IFERROR(360/J167,"")))</f>
        <v/>
      </c>
      <c r="AA167" s="5" t="str">
        <f aca="false">IF(A167="","",IF(H167=0,"Parado (sem venda 90d)",IF(Z167&gt;12,"Alto (&gt;12x/ano)",IF(Z167&gt;=4,"Medio (4-12x/ano)","Baixo (&lt;4x/ano)"))))</f>
        <v/>
      </c>
    </row>
    <row r="168" customFormat="false" ht="15" hidden="false" customHeight="true" outlineLevel="0" collapsed="false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18"/>
      <c r="L168" s="19" t="str">
        <f aca="false">IF(A168="","",G168*K168)</f>
        <v/>
      </c>
      <c r="M168" s="20"/>
      <c r="N168" s="6"/>
      <c r="O168" s="6"/>
      <c r="P168" s="5" t="str">
        <f aca="false">IF(A168="","",H168/90)</f>
        <v/>
      </c>
      <c r="Q168" s="5" t="str">
        <f aca="false">IF(A168="","",IFERROR(INDEX(Parâmetros!$C$6:$C$10,MATCH(F168,Parâmetros!$B$6:$B$10,0)),""))</f>
        <v/>
      </c>
      <c r="R168" s="5" t="str">
        <f aca="false">IF(OR(A168="",P168="",Q168=""),"",P168*Q168)</f>
        <v/>
      </c>
      <c r="S168" s="5" t="str">
        <f aca="false">IF(R168="","",MAX(0,R168-G168))</f>
        <v/>
      </c>
      <c r="T168" s="21" t="str">
        <f aca="false">IF(S168="","",S168*K168)</f>
        <v/>
      </c>
      <c r="U168" s="5" t="str">
        <f aca="false">IF(A168="","",IF(J168&gt;Parâmetros!$C$14,"SIM","NAO"))</f>
        <v/>
      </c>
      <c r="V168" s="5" t="str">
        <f aca="false">IF(B168="","",TRIM(LEFT(B168,IFERROR(FIND(" ",B168)-1,LEN(B168)))))</f>
        <v/>
      </c>
      <c r="W168" s="22"/>
      <c r="X168" s="5" t="str">
        <f aca="false">IF(A168="","",IF(W168&lt;&gt;"",W168,V168))</f>
        <v/>
      </c>
      <c r="Y168" s="5" t="str">
        <f aca="false">IF(A168="","",IF(COUNTIFS($X$2:$X$2001,X168,$D$2:$D$2001,"&lt;&gt;"&amp;D168,$C$2:$C$2001,C168)&gt;0,"SIM","NAO"))</f>
        <v/>
      </c>
      <c r="Z168" s="5" t="str">
        <f aca="false">IF(A168="","",IF(J168="","",IFERROR(360/J168,"")))</f>
        <v/>
      </c>
      <c r="AA168" s="5" t="str">
        <f aca="false">IF(A168="","",IF(H168=0,"Parado (sem venda 90d)",IF(Z168&gt;12,"Alto (&gt;12x/ano)",IF(Z168&gt;=4,"Medio (4-12x/ano)","Baixo (&lt;4x/ano)"))))</f>
        <v/>
      </c>
    </row>
    <row r="169" customFormat="false" ht="15" hidden="false" customHeight="true" outlineLevel="0" collapsed="false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18"/>
      <c r="L169" s="19" t="str">
        <f aca="false">IF(A169="","",G169*K169)</f>
        <v/>
      </c>
      <c r="M169" s="20"/>
      <c r="N169" s="6"/>
      <c r="O169" s="6"/>
      <c r="P169" s="5" t="str">
        <f aca="false">IF(A169="","",H169/90)</f>
        <v/>
      </c>
      <c r="Q169" s="5" t="str">
        <f aca="false">IF(A169="","",IFERROR(INDEX(Parâmetros!$C$6:$C$10,MATCH(F169,Parâmetros!$B$6:$B$10,0)),""))</f>
        <v/>
      </c>
      <c r="R169" s="5" t="str">
        <f aca="false">IF(OR(A169="",P169="",Q169=""),"",P169*Q169)</f>
        <v/>
      </c>
      <c r="S169" s="5" t="str">
        <f aca="false">IF(R169="","",MAX(0,R169-G169))</f>
        <v/>
      </c>
      <c r="T169" s="21" t="str">
        <f aca="false">IF(S169="","",S169*K169)</f>
        <v/>
      </c>
      <c r="U169" s="5" t="str">
        <f aca="false">IF(A169="","",IF(J169&gt;Parâmetros!$C$14,"SIM","NAO"))</f>
        <v/>
      </c>
      <c r="V169" s="5" t="str">
        <f aca="false">IF(B169="","",TRIM(LEFT(B169,IFERROR(FIND(" ",B169)-1,LEN(B169)))))</f>
        <v/>
      </c>
      <c r="W169" s="22"/>
      <c r="X169" s="5" t="str">
        <f aca="false">IF(A169="","",IF(W169&lt;&gt;"",W169,V169))</f>
        <v/>
      </c>
      <c r="Y169" s="5" t="str">
        <f aca="false">IF(A169="","",IF(COUNTIFS($X$2:$X$2001,X169,$D$2:$D$2001,"&lt;&gt;"&amp;D169,$C$2:$C$2001,C169)&gt;0,"SIM","NAO"))</f>
        <v/>
      </c>
      <c r="Z169" s="5" t="str">
        <f aca="false">IF(A169="","",IF(J169="","",IFERROR(360/J169,"")))</f>
        <v/>
      </c>
      <c r="AA169" s="5" t="str">
        <f aca="false">IF(A169="","",IF(H169=0,"Parado (sem venda 90d)",IF(Z169&gt;12,"Alto (&gt;12x/ano)",IF(Z169&gt;=4,"Medio (4-12x/ano)","Baixo (&lt;4x/ano)"))))</f>
        <v/>
      </c>
    </row>
    <row r="170" customFormat="false" ht="15" hidden="false" customHeight="true" outlineLevel="0" collapsed="false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18"/>
      <c r="L170" s="19" t="str">
        <f aca="false">IF(A170="","",G170*K170)</f>
        <v/>
      </c>
      <c r="M170" s="20"/>
      <c r="N170" s="6"/>
      <c r="O170" s="6"/>
      <c r="P170" s="5" t="str">
        <f aca="false">IF(A170="","",H170/90)</f>
        <v/>
      </c>
      <c r="Q170" s="5" t="str">
        <f aca="false">IF(A170="","",IFERROR(INDEX(Parâmetros!$C$6:$C$10,MATCH(F170,Parâmetros!$B$6:$B$10,0)),""))</f>
        <v/>
      </c>
      <c r="R170" s="5" t="str">
        <f aca="false">IF(OR(A170="",P170="",Q170=""),"",P170*Q170)</f>
        <v/>
      </c>
      <c r="S170" s="5" t="str">
        <f aca="false">IF(R170="","",MAX(0,R170-G170))</f>
        <v/>
      </c>
      <c r="T170" s="21" t="str">
        <f aca="false">IF(S170="","",S170*K170)</f>
        <v/>
      </c>
      <c r="U170" s="5" t="str">
        <f aca="false">IF(A170="","",IF(J170&gt;Parâmetros!$C$14,"SIM","NAO"))</f>
        <v/>
      </c>
      <c r="V170" s="5" t="str">
        <f aca="false">IF(B170="","",TRIM(LEFT(B170,IFERROR(FIND(" ",B170)-1,LEN(B170)))))</f>
        <v/>
      </c>
      <c r="W170" s="22"/>
      <c r="X170" s="5" t="str">
        <f aca="false">IF(A170="","",IF(W170&lt;&gt;"",W170,V170))</f>
        <v/>
      </c>
      <c r="Y170" s="5" t="str">
        <f aca="false">IF(A170="","",IF(COUNTIFS($X$2:$X$2001,X170,$D$2:$D$2001,"&lt;&gt;"&amp;D170,$C$2:$C$2001,C170)&gt;0,"SIM","NAO"))</f>
        <v/>
      </c>
      <c r="Z170" s="5" t="str">
        <f aca="false">IF(A170="","",IF(J170="","",IFERROR(360/J170,"")))</f>
        <v/>
      </c>
      <c r="AA170" s="5" t="str">
        <f aca="false">IF(A170="","",IF(H170=0,"Parado (sem venda 90d)",IF(Z170&gt;12,"Alto (&gt;12x/ano)",IF(Z170&gt;=4,"Medio (4-12x/ano)","Baixo (&lt;4x/ano)"))))</f>
        <v/>
      </c>
    </row>
    <row r="171" customFormat="false" ht="15" hidden="false" customHeight="true" outlineLevel="0" collapsed="false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18"/>
      <c r="L171" s="19" t="str">
        <f aca="false">IF(A171="","",G171*K171)</f>
        <v/>
      </c>
      <c r="M171" s="20"/>
      <c r="N171" s="6"/>
      <c r="O171" s="6"/>
      <c r="P171" s="5" t="str">
        <f aca="false">IF(A171="","",H171/90)</f>
        <v/>
      </c>
      <c r="Q171" s="5" t="str">
        <f aca="false">IF(A171="","",IFERROR(INDEX(Parâmetros!$C$6:$C$10,MATCH(F171,Parâmetros!$B$6:$B$10,0)),""))</f>
        <v/>
      </c>
      <c r="R171" s="5" t="str">
        <f aca="false">IF(OR(A171="",P171="",Q171=""),"",P171*Q171)</f>
        <v/>
      </c>
      <c r="S171" s="5" t="str">
        <f aca="false">IF(R171="","",MAX(0,R171-G171))</f>
        <v/>
      </c>
      <c r="T171" s="21" t="str">
        <f aca="false">IF(S171="","",S171*K171)</f>
        <v/>
      </c>
      <c r="U171" s="5" t="str">
        <f aca="false">IF(A171="","",IF(J171&gt;Parâmetros!$C$14,"SIM","NAO"))</f>
        <v/>
      </c>
      <c r="V171" s="5" t="str">
        <f aca="false">IF(B171="","",TRIM(LEFT(B171,IFERROR(FIND(" ",B171)-1,LEN(B171)))))</f>
        <v/>
      </c>
      <c r="W171" s="22"/>
      <c r="X171" s="5" t="str">
        <f aca="false">IF(A171="","",IF(W171&lt;&gt;"",W171,V171))</f>
        <v/>
      </c>
      <c r="Y171" s="5" t="str">
        <f aca="false">IF(A171="","",IF(COUNTIFS($X$2:$X$2001,X171,$D$2:$D$2001,"&lt;&gt;"&amp;D171,$C$2:$C$2001,C171)&gt;0,"SIM","NAO"))</f>
        <v/>
      </c>
      <c r="Z171" s="5" t="str">
        <f aca="false">IF(A171="","",IF(J171="","",IFERROR(360/J171,"")))</f>
        <v/>
      </c>
      <c r="AA171" s="5" t="str">
        <f aca="false">IF(A171="","",IF(H171=0,"Parado (sem venda 90d)",IF(Z171&gt;12,"Alto (&gt;12x/ano)",IF(Z171&gt;=4,"Medio (4-12x/ano)","Baixo (&lt;4x/ano)"))))</f>
        <v/>
      </c>
    </row>
    <row r="172" customFormat="false" ht="15" hidden="false" customHeight="true" outlineLevel="0" collapsed="false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18"/>
      <c r="L172" s="19" t="str">
        <f aca="false">IF(A172="","",G172*K172)</f>
        <v/>
      </c>
      <c r="M172" s="20"/>
      <c r="N172" s="6"/>
      <c r="O172" s="6"/>
      <c r="P172" s="5" t="str">
        <f aca="false">IF(A172="","",H172/90)</f>
        <v/>
      </c>
      <c r="Q172" s="5" t="str">
        <f aca="false">IF(A172="","",IFERROR(INDEX(Parâmetros!$C$6:$C$10,MATCH(F172,Parâmetros!$B$6:$B$10,0)),""))</f>
        <v/>
      </c>
      <c r="R172" s="5" t="str">
        <f aca="false">IF(OR(A172="",P172="",Q172=""),"",P172*Q172)</f>
        <v/>
      </c>
      <c r="S172" s="5" t="str">
        <f aca="false">IF(R172="","",MAX(0,R172-G172))</f>
        <v/>
      </c>
      <c r="T172" s="21" t="str">
        <f aca="false">IF(S172="","",S172*K172)</f>
        <v/>
      </c>
      <c r="U172" s="5" t="str">
        <f aca="false">IF(A172="","",IF(J172&gt;Parâmetros!$C$14,"SIM","NAO"))</f>
        <v/>
      </c>
      <c r="V172" s="5" t="str">
        <f aca="false">IF(B172="","",TRIM(LEFT(B172,IFERROR(FIND(" ",B172)-1,LEN(B172)))))</f>
        <v/>
      </c>
      <c r="W172" s="22"/>
      <c r="X172" s="5" t="str">
        <f aca="false">IF(A172="","",IF(W172&lt;&gt;"",W172,V172))</f>
        <v/>
      </c>
      <c r="Y172" s="5" t="str">
        <f aca="false">IF(A172="","",IF(COUNTIFS($X$2:$X$2001,X172,$D$2:$D$2001,"&lt;&gt;"&amp;D172,$C$2:$C$2001,C172)&gt;0,"SIM","NAO"))</f>
        <v/>
      </c>
      <c r="Z172" s="5" t="str">
        <f aca="false">IF(A172="","",IF(J172="","",IFERROR(360/J172,"")))</f>
        <v/>
      </c>
      <c r="AA172" s="5" t="str">
        <f aca="false">IF(A172="","",IF(H172=0,"Parado (sem venda 90d)",IF(Z172&gt;12,"Alto (&gt;12x/ano)",IF(Z172&gt;=4,"Medio (4-12x/ano)","Baixo (&lt;4x/ano)"))))</f>
        <v/>
      </c>
    </row>
    <row r="173" customFormat="false" ht="15" hidden="false" customHeight="true" outlineLevel="0" collapsed="false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18"/>
      <c r="L173" s="19" t="str">
        <f aca="false">IF(A173="","",G173*K173)</f>
        <v/>
      </c>
      <c r="M173" s="20"/>
      <c r="N173" s="6"/>
      <c r="O173" s="6"/>
      <c r="P173" s="5" t="str">
        <f aca="false">IF(A173="","",H173/90)</f>
        <v/>
      </c>
      <c r="Q173" s="5" t="str">
        <f aca="false">IF(A173="","",IFERROR(INDEX(Parâmetros!$C$6:$C$10,MATCH(F173,Parâmetros!$B$6:$B$10,0)),""))</f>
        <v/>
      </c>
      <c r="R173" s="5" t="str">
        <f aca="false">IF(OR(A173="",P173="",Q173=""),"",P173*Q173)</f>
        <v/>
      </c>
      <c r="S173" s="5" t="str">
        <f aca="false">IF(R173="","",MAX(0,R173-G173))</f>
        <v/>
      </c>
      <c r="T173" s="21" t="str">
        <f aca="false">IF(S173="","",S173*K173)</f>
        <v/>
      </c>
      <c r="U173" s="5" t="str">
        <f aca="false">IF(A173="","",IF(J173&gt;Parâmetros!$C$14,"SIM","NAO"))</f>
        <v/>
      </c>
      <c r="V173" s="5" t="str">
        <f aca="false">IF(B173="","",TRIM(LEFT(B173,IFERROR(FIND(" ",B173)-1,LEN(B173)))))</f>
        <v/>
      </c>
      <c r="W173" s="22"/>
      <c r="X173" s="5" t="str">
        <f aca="false">IF(A173="","",IF(W173&lt;&gt;"",W173,V173))</f>
        <v/>
      </c>
      <c r="Y173" s="5" t="str">
        <f aca="false">IF(A173="","",IF(COUNTIFS($X$2:$X$2001,X173,$D$2:$D$2001,"&lt;&gt;"&amp;D173,$C$2:$C$2001,C173)&gt;0,"SIM","NAO"))</f>
        <v/>
      </c>
      <c r="Z173" s="5" t="str">
        <f aca="false">IF(A173="","",IF(J173="","",IFERROR(360/J173,"")))</f>
        <v/>
      </c>
      <c r="AA173" s="5" t="str">
        <f aca="false">IF(A173="","",IF(H173=0,"Parado (sem venda 90d)",IF(Z173&gt;12,"Alto (&gt;12x/ano)",IF(Z173&gt;=4,"Medio (4-12x/ano)","Baixo (&lt;4x/ano)"))))</f>
        <v/>
      </c>
    </row>
    <row r="174" customFormat="false" ht="15" hidden="false" customHeight="true" outlineLevel="0" collapsed="false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18"/>
      <c r="L174" s="19" t="str">
        <f aca="false">IF(A174="","",G174*K174)</f>
        <v/>
      </c>
      <c r="M174" s="20"/>
      <c r="N174" s="6"/>
      <c r="O174" s="6"/>
      <c r="P174" s="5" t="str">
        <f aca="false">IF(A174="","",H174/90)</f>
        <v/>
      </c>
      <c r="Q174" s="5" t="str">
        <f aca="false">IF(A174="","",IFERROR(INDEX(Parâmetros!$C$6:$C$10,MATCH(F174,Parâmetros!$B$6:$B$10,0)),""))</f>
        <v/>
      </c>
      <c r="R174" s="5" t="str">
        <f aca="false">IF(OR(A174="",P174="",Q174=""),"",P174*Q174)</f>
        <v/>
      </c>
      <c r="S174" s="5" t="str">
        <f aca="false">IF(R174="","",MAX(0,R174-G174))</f>
        <v/>
      </c>
      <c r="T174" s="21" t="str">
        <f aca="false">IF(S174="","",S174*K174)</f>
        <v/>
      </c>
      <c r="U174" s="5" t="str">
        <f aca="false">IF(A174="","",IF(J174&gt;Parâmetros!$C$14,"SIM","NAO"))</f>
        <v/>
      </c>
      <c r="V174" s="5" t="str">
        <f aca="false">IF(B174="","",TRIM(LEFT(B174,IFERROR(FIND(" ",B174)-1,LEN(B174)))))</f>
        <v/>
      </c>
      <c r="W174" s="22"/>
      <c r="X174" s="5" t="str">
        <f aca="false">IF(A174="","",IF(W174&lt;&gt;"",W174,V174))</f>
        <v/>
      </c>
      <c r="Y174" s="5" t="str">
        <f aca="false">IF(A174="","",IF(COUNTIFS($X$2:$X$2001,X174,$D$2:$D$2001,"&lt;&gt;"&amp;D174,$C$2:$C$2001,C174)&gt;0,"SIM","NAO"))</f>
        <v/>
      </c>
      <c r="Z174" s="5" t="str">
        <f aca="false">IF(A174="","",IF(J174="","",IFERROR(360/J174,"")))</f>
        <v/>
      </c>
      <c r="AA174" s="5" t="str">
        <f aca="false">IF(A174="","",IF(H174=0,"Parado (sem venda 90d)",IF(Z174&gt;12,"Alto (&gt;12x/ano)",IF(Z174&gt;=4,"Medio (4-12x/ano)","Baixo (&lt;4x/ano)"))))</f>
        <v/>
      </c>
    </row>
    <row r="175" customFormat="false" ht="15" hidden="false" customHeight="true" outlineLevel="0" collapsed="false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18"/>
      <c r="L175" s="19" t="str">
        <f aca="false">IF(A175="","",G175*K175)</f>
        <v/>
      </c>
      <c r="M175" s="20"/>
      <c r="N175" s="6"/>
      <c r="O175" s="6"/>
      <c r="P175" s="5" t="str">
        <f aca="false">IF(A175="","",H175/90)</f>
        <v/>
      </c>
      <c r="Q175" s="5" t="str">
        <f aca="false">IF(A175="","",IFERROR(INDEX(Parâmetros!$C$6:$C$10,MATCH(F175,Parâmetros!$B$6:$B$10,0)),""))</f>
        <v/>
      </c>
      <c r="R175" s="5" t="str">
        <f aca="false">IF(OR(A175="",P175="",Q175=""),"",P175*Q175)</f>
        <v/>
      </c>
      <c r="S175" s="5" t="str">
        <f aca="false">IF(R175="","",MAX(0,R175-G175))</f>
        <v/>
      </c>
      <c r="T175" s="21" t="str">
        <f aca="false">IF(S175="","",S175*K175)</f>
        <v/>
      </c>
      <c r="U175" s="5" t="str">
        <f aca="false">IF(A175="","",IF(J175&gt;Parâmetros!$C$14,"SIM","NAO"))</f>
        <v/>
      </c>
      <c r="V175" s="5" t="str">
        <f aca="false">IF(B175="","",TRIM(LEFT(B175,IFERROR(FIND(" ",B175)-1,LEN(B175)))))</f>
        <v/>
      </c>
      <c r="W175" s="22"/>
      <c r="X175" s="5" t="str">
        <f aca="false">IF(A175="","",IF(W175&lt;&gt;"",W175,V175))</f>
        <v/>
      </c>
      <c r="Y175" s="5" t="str">
        <f aca="false">IF(A175="","",IF(COUNTIFS($X$2:$X$2001,X175,$D$2:$D$2001,"&lt;&gt;"&amp;D175,$C$2:$C$2001,C175)&gt;0,"SIM","NAO"))</f>
        <v/>
      </c>
      <c r="Z175" s="5" t="str">
        <f aca="false">IF(A175="","",IF(J175="","",IFERROR(360/J175,"")))</f>
        <v/>
      </c>
      <c r="AA175" s="5" t="str">
        <f aca="false">IF(A175="","",IF(H175=0,"Parado (sem venda 90d)",IF(Z175&gt;12,"Alto (&gt;12x/ano)",IF(Z175&gt;=4,"Medio (4-12x/ano)","Baixo (&lt;4x/ano)"))))</f>
        <v/>
      </c>
    </row>
    <row r="176" customFormat="false" ht="15" hidden="false" customHeight="true" outlineLevel="0" collapsed="false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18"/>
      <c r="L176" s="19" t="str">
        <f aca="false">IF(A176="","",G176*K176)</f>
        <v/>
      </c>
      <c r="M176" s="20"/>
      <c r="N176" s="6"/>
      <c r="O176" s="6"/>
      <c r="P176" s="5" t="str">
        <f aca="false">IF(A176="","",H176/90)</f>
        <v/>
      </c>
      <c r="Q176" s="5" t="str">
        <f aca="false">IF(A176="","",IFERROR(INDEX(Parâmetros!$C$6:$C$10,MATCH(F176,Parâmetros!$B$6:$B$10,0)),""))</f>
        <v/>
      </c>
      <c r="R176" s="5" t="str">
        <f aca="false">IF(OR(A176="",P176="",Q176=""),"",P176*Q176)</f>
        <v/>
      </c>
      <c r="S176" s="5" t="str">
        <f aca="false">IF(R176="","",MAX(0,R176-G176))</f>
        <v/>
      </c>
      <c r="T176" s="21" t="str">
        <f aca="false">IF(S176="","",S176*K176)</f>
        <v/>
      </c>
      <c r="U176" s="5" t="str">
        <f aca="false">IF(A176="","",IF(J176&gt;Parâmetros!$C$14,"SIM","NAO"))</f>
        <v/>
      </c>
      <c r="V176" s="5" t="str">
        <f aca="false">IF(B176="","",TRIM(LEFT(B176,IFERROR(FIND(" ",B176)-1,LEN(B176)))))</f>
        <v/>
      </c>
      <c r="W176" s="22"/>
      <c r="X176" s="5" t="str">
        <f aca="false">IF(A176="","",IF(W176&lt;&gt;"",W176,V176))</f>
        <v/>
      </c>
      <c r="Y176" s="5" t="str">
        <f aca="false">IF(A176="","",IF(COUNTIFS($X$2:$X$2001,X176,$D$2:$D$2001,"&lt;&gt;"&amp;D176,$C$2:$C$2001,C176)&gt;0,"SIM","NAO"))</f>
        <v/>
      </c>
      <c r="Z176" s="5" t="str">
        <f aca="false">IF(A176="","",IF(J176="","",IFERROR(360/J176,"")))</f>
        <v/>
      </c>
      <c r="AA176" s="5" t="str">
        <f aca="false">IF(A176="","",IF(H176=0,"Parado (sem venda 90d)",IF(Z176&gt;12,"Alto (&gt;12x/ano)",IF(Z176&gt;=4,"Medio (4-12x/ano)","Baixo (&lt;4x/ano)"))))</f>
        <v/>
      </c>
    </row>
    <row r="177" customFormat="false" ht="15" hidden="false" customHeight="true" outlineLevel="0" collapsed="false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18"/>
      <c r="L177" s="19" t="str">
        <f aca="false">IF(A177="","",G177*K177)</f>
        <v/>
      </c>
      <c r="M177" s="20"/>
      <c r="N177" s="6"/>
      <c r="O177" s="6"/>
      <c r="P177" s="5" t="str">
        <f aca="false">IF(A177="","",H177/90)</f>
        <v/>
      </c>
      <c r="Q177" s="5" t="str">
        <f aca="false">IF(A177="","",IFERROR(INDEX(Parâmetros!$C$6:$C$10,MATCH(F177,Parâmetros!$B$6:$B$10,0)),""))</f>
        <v/>
      </c>
      <c r="R177" s="5" t="str">
        <f aca="false">IF(OR(A177="",P177="",Q177=""),"",P177*Q177)</f>
        <v/>
      </c>
      <c r="S177" s="5" t="str">
        <f aca="false">IF(R177="","",MAX(0,R177-G177))</f>
        <v/>
      </c>
      <c r="T177" s="21" t="str">
        <f aca="false">IF(S177="","",S177*K177)</f>
        <v/>
      </c>
      <c r="U177" s="5" t="str">
        <f aca="false">IF(A177="","",IF(J177&gt;Parâmetros!$C$14,"SIM","NAO"))</f>
        <v/>
      </c>
      <c r="V177" s="5" t="str">
        <f aca="false">IF(B177="","",TRIM(LEFT(B177,IFERROR(FIND(" ",B177)-1,LEN(B177)))))</f>
        <v/>
      </c>
      <c r="W177" s="22"/>
      <c r="X177" s="5" t="str">
        <f aca="false">IF(A177="","",IF(W177&lt;&gt;"",W177,V177))</f>
        <v/>
      </c>
      <c r="Y177" s="5" t="str">
        <f aca="false">IF(A177="","",IF(COUNTIFS($X$2:$X$2001,X177,$D$2:$D$2001,"&lt;&gt;"&amp;D177,$C$2:$C$2001,C177)&gt;0,"SIM","NAO"))</f>
        <v/>
      </c>
      <c r="Z177" s="5" t="str">
        <f aca="false">IF(A177="","",IF(J177="","",IFERROR(360/J177,"")))</f>
        <v/>
      </c>
      <c r="AA177" s="5" t="str">
        <f aca="false">IF(A177="","",IF(H177=0,"Parado (sem venda 90d)",IF(Z177&gt;12,"Alto (&gt;12x/ano)",IF(Z177&gt;=4,"Medio (4-12x/ano)","Baixo (&lt;4x/ano)"))))</f>
        <v/>
      </c>
    </row>
    <row r="178" customFormat="false" ht="15" hidden="false" customHeight="true" outlineLevel="0" collapsed="false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18"/>
      <c r="L178" s="19" t="str">
        <f aca="false">IF(A178="","",G178*K178)</f>
        <v/>
      </c>
      <c r="M178" s="20"/>
      <c r="N178" s="6"/>
      <c r="O178" s="6"/>
      <c r="P178" s="5" t="str">
        <f aca="false">IF(A178="","",H178/90)</f>
        <v/>
      </c>
      <c r="Q178" s="5" t="str">
        <f aca="false">IF(A178="","",IFERROR(INDEX(Parâmetros!$C$6:$C$10,MATCH(F178,Parâmetros!$B$6:$B$10,0)),""))</f>
        <v/>
      </c>
      <c r="R178" s="5" t="str">
        <f aca="false">IF(OR(A178="",P178="",Q178=""),"",P178*Q178)</f>
        <v/>
      </c>
      <c r="S178" s="5" t="str">
        <f aca="false">IF(R178="","",MAX(0,R178-G178))</f>
        <v/>
      </c>
      <c r="T178" s="21" t="str">
        <f aca="false">IF(S178="","",S178*K178)</f>
        <v/>
      </c>
      <c r="U178" s="5" t="str">
        <f aca="false">IF(A178="","",IF(J178&gt;Parâmetros!$C$14,"SIM","NAO"))</f>
        <v/>
      </c>
      <c r="V178" s="5" t="str">
        <f aca="false">IF(B178="","",TRIM(LEFT(B178,IFERROR(FIND(" ",B178)-1,LEN(B178)))))</f>
        <v/>
      </c>
      <c r="W178" s="22"/>
      <c r="X178" s="5" t="str">
        <f aca="false">IF(A178="","",IF(W178&lt;&gt;"",W178,V178))</f>
        <v/>
      </c>
      <c r="Y178" s="5" t="str">
        <f aca="false">IF(A178="","",IF(COUNTIFS($X$2:$X$2001,X178,$D$2:$D$2001,"&lt;&gt;"&amp;D178,$C$2:$C$2001,C178)&gt;0,"SIM","NAO"))</f>
        <v/>
      </c>
      <c r="Z178" s="5" t="str">
        <f aca="false">IF(A178="","",IF(J178="","",IFERROR(360/J178,"")))</f>
        <v/>
      </c>
      <c r="AA178" s="5" t="str">
        <f aca="false">IF(A178="","",IF(H178=0,"Parado (sem venda 90d)",IF(Z178&gt;12,"Alto (&gt;12x/ano)",IF(Z178&gt;=4,"Medio (4-12x/ano)","Baixo (&lt;4x/ano)"))))</f>
        <v/>
      </c>
    </row>
    <row r="179" customFormat="false" ht="15" hidden="false" customHeight="true" outlineLevel="0" collapsed="false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18"/>
      <c r="L179" s="19" t="str">
        <f aca="false">IF(A179="","",G179*K179)</f>
        <v/>
      </c>
      <c r="M179" s="20"/>
      <c r="N179" s="6"/>
      <c r="O179" s="6"/>
      <c r="P179" s="5" t="str">
        <f aca="false">IF(A179="","",H179/90)</f>
        <v/>
      </c>
      <c r="Q179" s="5" t="str">
        <f aca="false">IF(A179="","",IFERROR(INDEX(Parâmetros!$C$6:$C$10,MATCH(F179,Parâmetros!$B$6:$B$10,0)),""))</f>
        <v/>
      </c>
      <c r="R179" s="5" t="str">
        <f aca="false">IF(OR(A179="",P179="",Q179=""),"",P179*Q179)</f>
        <v/>
      </c>
      <c r="S179" s="5" t="str">
        <f aca="false">IF(R179="","",MAX(0,R179-G179))</f>
        <v/>
      </c>
      <c r="T179" s="21" t="str">
        <f aca="false">IF(S179="","",S179*K179)</f>
        <v/>
      </c>
      <c r="U179" s="5" t="str">
        <f aca="false">IF(A179="","",IF(J179&gt;Parâmetros!$C$14,"SIM","NAO"))</f>
        <v/>
      </c>
      <c r="V179" s="5" t="str">
        <f aca="false">IF(B179="","",TRIM(LEFT(B179,IFERROR(FIND(" ",B179)-1,LEN(B179)))))</f>
        <v/>
      </c>
      <c r="W179" s="22"/>
      <c r="X179" s="5" t="str">
        <f aca="false">IF(A179="","",IF(W179&lt;&gt;"",W179,V179))</f>
        <v/>
      </c>
      <c r="Y179" s="5" t="str">
        <f aca="false">IF(A179="","",IF(COUNTIFS($X$2:$X$2001,X179,$D$2:$D$2001,"&lt;&gt;"&amp;D179,$C$2:$C$2001,C179)&gt;0,"SIM","NAO"))</f>
        <v/>
      </c>
      <c r="Z179" s="5" t="str">
        <f aca="false">IF(A179="","",IF(J179="","",IFERROR(360/J179,"")))</f>
        <v/>
      </c>
      <c r="AA179" s="5" t="str">
        <f aca="false">IF(A179="","",IF(H179=0,"Parado (sem venda 90d)",IF(Z179&gt;12,"Alto (&gt;12x/ano)",IF(Z179&gt;=4,"Medio (4-12x/ano)","Baixo (&lt;4x/ano)"))))</f>
        <v/>
      </c>
    </row>
    <row r="180" customFormat="false" ht="15" hidden="false" customHeight="true" outlineLevel="0" collapsed="false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18"/>
      <c r="L180" s="19" t="str">
        <f aca="false">IF(A180="","",G180*K180)</f>
        <v/>
      </c>
      <c r="M180" s="20"/>
      <c r="N180" s="6"/>
      <c r="O180" s="6"/>
      <c r="P180" s="5" t="str">
        <f aca="false">IF(A180="","",H180/90)</f>
        <v/>
      </c>
      <c r="Q180" s="5" t="str">
        <f aca="false">IF(A180="","",IFERROR(INDEX(Parâmetros!$C$6:$C$10,MATCH(F180,Parâmetros!$B$6:$B$10,0)),""))</f>
        <v/>
      </c>
      <c r="R180" s="5" t="str">
        <f aca="false">IF(OR(A180="",P180="",Q180=""),"",P180*Q180)</f>
        <v/>
      </c>
      <c r="S180" s="5" t="str">
        <f aca="false">IF(R180="","",MAX(0,R180-G180))</f>
        <v/>
      </c>
      <c r="T180" s="21" t="str">
        <f aca="false">IF(S180="","",S180*K180)</f>
        <v/>
      </c>
      <c r="U180" s="5" t="str">
        <f aca="false">IF(A180="","",IF(J180&gt;Parâmetros!$C$14,"SIM","NAO"))</f>
        <v/>
      </c>
      <c r="V180" s="5" t="str">
        <f aca="false">IF(B180="","",TRIM(LEFT(B180,IFERROR(FIND(" ",B180)-1,LEN(B180)))))</f>
        <v/>
      </c>
      <c r="W180" s="22"/>
      <c r="X180" s="5" t="str">
        <f aca="false">IF(A180="","",IF(W180&lt;&gt;"",W180,V180))</f>
        <v/>
      </c>
      <c r="Y180" s="5" t="str">
        <f aca="false">IF(A180="","",IF(COUNTIFS($X$2:$X$2001,X180,$D$2:$D$2001,"&lt;&gt;"&amp;D180,$C$2:$C$2001,C180)&gt;0,"SIM","NAO"))</f>
        <v/>
      </c>
      <c r="Z180" s="5" t="str">
        <f aca="false">IF(A180="","",IF(J180="","",IFERROR(360/J180,"")))</f>
        <v/>
      </c>
      <c r="AA180" s="5" t="str">
        <f aca="false">IF(A180="","",IF(H180=0,"Parado (sem venda 90d)",IF(Z180&gt;12,"Alto (&gt;12x/ano)",IF(Z180&gt;=4,"Medio (4-12x/ano)","Baixo (&lt;4x/ano)"))))</f>
        <v/>
      </c>
    </row>
    <row r="181" customFormat="false" ht="15" hidden="false" customHeight="true" outlineLevel="0" collapsed="false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18"/>
      <c r="L181" s="19" t="str">
        <f aca="false">IF(A181="","",G181*K181)</f>
        <v/>
      </c>
      <c r="M181" s="20"/>
      <c r="N181" s="6"/>
      <c r="O181" s="6"/>
      <c r="P181" s="5" t="str">
        <f aca="false">IF(A181="","",H181/90)</f>
        <v/>
      </c>
      <c r="Q181" s="5" t="str">
        <f aca="false">IF(A181="","",IFERROR(INDEX(Parâmetros!$C$6:$C$10,MATCH(F181,Parâmetros!$B$6:$B$10,0)),""))</f>
        <v/>
      </c>
      <c r="R181" s="5" t="str">
        <f aca="false">IF(OR(A181="",P181="",Q181=""),"",P181*Q181)</f>
        <v/>
      </c>
      <c r="S181" s="5" t="str">
        <f aca="false">IF(R181="","",MAX(0,R181-G181))</f>
        <v/>
      </c>
      <c r="T181" s="21" t="str">
        <f aca="false">IF(S181="","",S181*K181)</f>
        <v/>
      </c>
      <c r="U181" s="5" t="str">
        <f aca="false">IF(A181="","",IF(J181&gt;Parâmetros!$C$14,"SIM","NAO"))</f>
        <v/>
      </c>
      <c r="V181" s="5" t="str">
        <f aca="false">IF(B181="","",TRIM(LEFT(B181,IFERROR(FIND(" ",B181)-1,LEN(B181)))))</f>
        <v/>
      </c>
      <c r="W181" s="22"/>
      <c r="X181" s="5" t="str">
        <f aca="false">IF(A181="","",IF(W181&lt;&gt;"",W181,V181))</f>
        <v/>
      </c>
      <c r="Y181" s="5" t="str">
        <f aca="false">IF(A181="","",IF(COUNTIFS($X$2:$X$2001,X181,$D$2:$D$2001,"&lt;&gt;"&amp;D181,$C$2:$C$2001,C181)&gt;0,"SIM","NAO"))</f>
        <v/>
      </c>
      <c r="Z181" s="5" t="str">
        <f aca="false">IF(A181="","",IF(J181="","",IFERROR(360/J181,"")))</f>
        <v/>
      </c>
      <c r="AA181" s="5" t="str">
        <f aca="false">IF(A181="","",IF(H181=0,"Parado (sem venda 90d)",IF(Z181&gt;12,"Alto (&gt;12x/ano)",IF(Z181&gt;=4,"Medio (4-12x/ano)","Baixo (&lt;4x/ano)"))))</f>
        <v/>
      </c>
    </row>
    <row r="182" customFormat="false" ht="15" hidden="false" customHeight="true" outlineLevel="0" collapsed="false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18"/>
      <c r="L182" s="19" t="str">
        <f aca="false">IF(A182="","",G182*K182)</f>
        <v/>
      </c>
      <c r="M182" s="20"/>
      <c r="N182" s="6"/>
      <c r="O182" s="6"/>
      <c r="P182" s="5" t="str">
        <f aca="false">IF(A182="","",H182/90)</f>
        <v/>
      </c>
      <c r="Q182" s="5" t="str">
        <f aca="false">IF(A182="","",IFERROR(INDEX(Parâmetros!$C$6:$C$10,MATCH(F182,Parâmetros!$B$6:$B$10,0)),""))</f>
        <v/>
      </c>
      <c r="R182" s="5" t="str">
        <f aca="false">IF(OR(A182="",P182="",Q182=""),"",P182*Q182)</f>
        <v/>
      </c>
      <c r="S182" s="5" t="str">
        <f aca="false">IF(R182="","",MAX(0,R182-G182))</f>
        <v/>
      </c>
      <c r="T182" s="21" t="str">
        <f aca="false">IF(S182="","",S182*K182)</f>
        <v/>
      </c>
      <c r="U182" s="5" t="str">
        <f aca="false">IF(A182="","",IF(J182&gt;Parâmetros!$C$14,"SIM","NAO"))</f>
        <v/>
      </c>
      <c r="V182" s="5" t="str">
        <f aca="false">IF(B182="","",TRIM(LEFT(B182,IFERROR(FIND(" ",B182)-1,LEN(B182)))))</f>
        <v/>
      </c>
      <c r="W182" s="22"/>
      <c r="X182" s="5" t="str">
        <f aca="false">IF(A182="","",IF(W182&lt;&gt;"",W182,V182))</f>
        <v/>
      </c>
      <c r="Y182" s="5" t="str">
        <f aca="false">IF(A182="","",IF(COUNTIFS($X$2:$X$2001,X182,$D$2:$D$2001,"&lt;&gt;"&amp;D182,$C$2:$C$2001,C182)&gt;0,"SIM","NAO"))</f>
        <v/>
      </c>
      <c r="Z182" s="5" t="str">
        <f aca="false">IF(A182="","",IF(J182="","",IFERROR(360/J182,"")))</f>
        <v/>
      </c>
      <c r="AA182" s="5" t="str">
        <f aca="false">IF(A182="","",IF(H182=0,"Parado (sem venda 90d)",IF(Z182&gt;12,"Alto (&gt;12x/ano)",IF(Z182&gt;=4,"Medio (4-12x/ano)","Baixo (&lt;4x/ano)"))))</f>
        <v/>
      </c>
    </row>
    <row r="183" customFormat="false" ht="15" hidden="false" customHeight="true" outlineLevel="0" collapsed="false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18"/>
      <c r="L183" s="19" t="str">
        <f aca="false">IF(A183="","",G183*K183)</f>
        <v/>
      </c>
      <c r="M183" s="20"/>
      <c r="N183" s="6"/>
      <c r="O183" s="6"/>
      <c r="P183" s="5" t="str">
        <f aca="false">IF(A183="","",H183/90)</f>
        <v/>
      </c>
      <c r="Q183" s="5" t="str">
        <f aca="false">IF(A183="","",IFERROR(INDEX(Parâmetros!$C$6:$C$10,MATCH(F183,Parâmetros!$B$6:$B$10,0)),""))</f>
        <v/>
      </c>
      <c r="R183" s="5" t="str">
        <f aca="false">IF(OR(A183="",P183="",Q183=""),"",P183*Q183)</f>
        <v/>
      </c>
      <c r="S183" s="5" t="str">
        <f aca="false">IF(R183="","",MAX(0,R183-G183))</f>
        <v/>
      </c>
      <c r="T183" s="21" t="str">
        <f aca="false">IF(S183="","",S183*K183)</f>
        <v/>
      </c>
      <c r="U183" s="5" t="str">
        <f aca="false">IF(A183="","",IF(J183&gt;Parâmetros!$C$14,"SIM","NAO"))</f>
        <v/>
      </c>
      <c r="V183" s="5" t="str">
        <f aca="false">IF(B183="","",TRIM(LEFT(B183,IFERROR(FIND(" ",B183)-1,LEN(B183)))))</f>
        <v/>
      </c>
      <c r="W183" s="22"/>
      <c r="X183" s="5" t="str">
        <f aca="false">IF(A183="","",IF(W183&lt;&gt;"",W183,V183))</f>
        <v/>
      </c>
      <c r="Y183" s="5" t="str">
        <f aca="false">IF(A183="","",IF(COUNTIFS($X$2:$X$2001,X183,$D$2:$D$2001,"&lt;&gt;"&amp;D183,$C$2:$C$2001,C183)&gt;0,"SIM","NAO"))</f>
        <v/>
      </c>
      <c r="Z183" s="5" t="str">
        <f aca="false">IF(A183="","",IF(J183="","",IFERROR(360/J183,"")))</f>
        <v/>
      </c>
      <c r="AA183" s="5" t="str">
        <f aca="false">IF(A183="","",IF(H183=0,"Parado (sem venda 90d)",IF(Z183&gt;12,"Alto (&gt;12x/ano)",IF(Z183&gt;=4,"Medio (4-12x/ano)","Baixo (&lt;4x/ano)"))))</f>
        <v/>
      </c>
    </row>
    <row r="184" customFormat="false" ht="15" hidden="false" customHeight="true" outlineLevel="0" collapsed="false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18"/>
      <c r="L184" s="19" t="str">
        <f aca="false">IF(A184="","",G184*K184)</f>
        <v/>
      </c>
      <c r="M184" s="20"/>
      <c r="N184" s="6"/>
      <c r="O184" s="6"/>
      <c r="P184" s="5" t="str">
        <f aca="false">IF(A184="","",H184/90)</f>
        <v/>
      </c>
      <c r="Q184" s="5" t="str">
        <f aca="false">IF(A184="","",IFERROR(INDEX(Parâmetros!$C$6:$C$10,MATCH(F184,Parâmetros!$B$6:$B$10,0)),""))</f>
        <v/>
      </c>
      <c r="R184" s="5" t="str">
        <f aca="false">IF(OR(A184="",P184="",Q184=""),"",P184*Q184)</f>
        <v/>
      </c>
      <c r="S184" s="5" t="str">
        <f aca="false">IF(R184="","",MAX(0,R184-G184))</f>
        <v/>
      </c>
      <c r="T184" s="21" t="str">
        <f aca="false">IF(S184="","",S184*K184)</f>
        <v/>
      </c>
      <c r="U184" s="5" t="str">
        <f aca="false">IF(A184="","",IF(J184&gt;Parâmetros!$C$14,"SIM","NAO"))</f>
        <v/>
      </c>
      <c r="V184" s="5" t="str">
        <f aca="false">IF(B184="","",TRIM(LEFT(B184,IFERROR(FIND(" ",B184)-1,LEN(B184)))))</f>
        <v/>
      </c>
      <c r="W184" s="22"/>
      <c r="X184" s="5" t="str">
        <f aca="false">IF(A184="","",IF(W184&lt;&gt;"",W184,V184))</f>
        <v/>
      </c>
      <c r="Y184" s="5" t="str">
        <f aca="false">IF(A184="","",IF(COUNTIFS($X$2:$X$2001,X184,$D$2:$D$2001,"&lt;&gt;"&amp;D184,$C$2:$C$2001,C184)&gt;0,"SIM","NAO"))</f>
        <v/>
      </c>
      <c r="Z184" s="5" t="str">
        <f aca="false">IF(A184="","",IF(J184="","",IFERROR(360/J184,"")))</f>
        <v/>
      </c>
      <c r="AA184" s="5" t="str">
        <f aca="false">IF(A184="","",IF(H184=0,"Parado (sem venda 90d)",IF(Z184&gt;12,"Alto (&gt;12x/ano)",IF(Z184&gt;=4,"Medio (4-12x/ano)","Baixo (&lt;4x/ano)"))))</f>
        <v/>
      </c>
    </row>
    <row r="185" customFormat="false" ht="15" hidden="false" customHeight="true" outlineLevel="0" collapsed="false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18"/>
      <c r="L185" s="19" t="str">
        <f aca="false">IF(A185="","",G185*K185)</f>
        <v/>
      </c>
      <c r="M185" s="20"/>
      <c r="N185" s="6"/>
      <c r="O185" s="6"/>
      <c r="P185" s="5" t="str">
        <f aca="false">IF(A185="","",H185/90)</f>
        <v/>
      </c>
      <c r="Q185" s="5" t="str">
        <f aca="false">IF(A185="","",IFERROR(INDEX(Parâmetros!$C$6:$C$10,MATCH(F185,Parâmetros!$B$6:$B$10,0)),""))</f>
        <v/>
      </c>
      <c r="R185" s="5" t="str">
        <f aca="false">IF(OR(A185="",P185="",Q185=""),"",P185*Q185)</f>
        <v/>
      </c>
      <c r="S185" s="5" t="str">
        <f aca="false">IF(R185="","",MAX(0,R185-G185))</f>
        <v/>
      </c>
      <c r="T185" s="21" t="str">
        <f aca="false">IF(S185="","",S185*K185)</f>
        <v/>
      </c>
      <c r="U185" s="5" t="str">
        <f aca="false">IF(A185="","",IF(J185&gt;Parâmetros!$C$14,"SIM","NAO"))</f>
        <v/>
      </c>
      <c r="V185" s="5" t="str">
        <f aca="false">IF(B185="","",TRIM(LEFT(B185,IFERROR(FIND(" ",B185)-1,LEN(B185)))))</f>
        <v/>
      </c>
      <c r="W185" s="22"/>
      <c r="X185" s="5" t="str">
        <f aca="false">IF(A185="","",IF(W185&lt;&gt;"",W185,V185))</f>
        <v/>
      </c>
      <c r="Y185" s="5" t="str">
        <f aca="false">IF(A185="","",IF(COUNTIFS($X$2:$X$2001,X185,$D$2:$D$2001,"&lt;&gt;"&amp;D185,$C$2:$C$2001,C185)&gt;0,"SIM","NAO"))</f>
        <v/>
      </c>
      <c r="Z185" s="5" t="str">
        <f aca="false">IF(A185="","",IF(J185="","",IFERROR(360/J185,"")))</f>
        <v/>
      </c>
      <c r="AA185" s="5" t="str">
        <f aca="false">IF(A185="","",IF(H185=0,"Parado (sem venda 90d)",IF(Z185&gt;12,"Alto (&gt;12x/ano)",IF(Z185&gt;=4,"Medio (4-12x/ano)","Baixo (&lt;4x/ano)"))))</f>
        <v/>
      </c>
    </row>
    <row r="186" customFormat="false" ht="15" hidden="false" customHeight="true" outlineLevel="0" collapsed="false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18"/>
      <c r="L186" s="19" t="str">
        <f aca="false">IF(A186="","",G186*K186)</f>
        <v/>
      </c>
      <c r="M186" s="20"/>
      <c r="N186" s="6"/>
      <c r="O186" s="6"/>
      <c r="P186" s="5" t="str">
        <f aca="false">IF(A186="","",H186/90)</f>
        <v/>
      </c>
      <c r="Q186" s="5" t="str">
        <f aca="false">IF(A186="","",IFERROR(INDEX(Parâmetros!$C$6:$C$10,MATCH(F186,Parâmetros!$B$6:$B$10,0)),""))</f>
        <v/>
      </c>
      <c r="R186" s="5" t="str">
        <f aca="false">IF(OR(A186="",P186="",Q186=""),"",P186*Q186)</f>
        <v/>
      </c>
      <c r="S186" s="5" t="str">
        <f aca="false">IF(R186="","",MAX(0,R186-G186))</f>
        <v/>
      </c>
      <c r="T186" s="21" t="str">
        <f aca="false">IF(S186="","",S186*K186)</f>
        <v/>
      </c>
      <c r="U186" s="5" t="str">
        <f aca="false">IF(A186="","",IF(J186&gt;Parâmetros!$C$14,"SIM","NAO"))</f>
        <v/>
      </c>
      <c r="V186" s="5" t="str">
        <f aca="false">IF(B186="","",TRIM(LEFT(B186,IFERROR(FIND(" ",B186)-1,LEN(B186)))))</f>
        <v/>
      </c>
      <c r="W186" s="22"/>
      <c r="X186" s="5" t="str">
        <f aca="false">IF(A186="","",IF(W186&lt;&gt;"",W186,V186))</f>
        <v/>
      </c>
      <c r="Y186" s="5" t="str">
        <f aca="false">IF(A186="","",IF(COUNTIFS($X$2:$X$2001,X186,$D$2:$D$2001,"&lt;&gt;"&amp;D186,$C$2:$C$2001,C186)&gt;0,"SIM","NAO"))</f>
        <v/>
      </c>
      <c r="Z186" s="5" t="str">
        <f aca="false">IF(A186="","",IF(J186="","",IFERROR(360/J186,"")))</f>
        <v/>
      </c>
      <c r="AA186" s="5" t="str">
        <f aca="false">IF(A186="","",IF(H186=0,"Parado (sem venda 90d)",IF(Z186&gt;12,"Alto (&gt;12x/ano)",IF(Z186&gt;=4,"Medio (4-12x/ano)","Baixo (&lt;4x/ano)"))))</f>
        <v/>
      </c>
    </row>
    <row r="187" customFormat="false" ht="15" hidden="false" customHeight="true" outlineLevel="0" collapsed="false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18"/>
      <c r="L187" s="19" t="str">
        <f aca="false">IF(A187="","",G187*K187)</f>
        <v/>
      </c>
      <c r="M187" s="20"/>
      <c r="N187" s="6"/>
      <c r="O187" s="6"/>
      <c r="P187" s="5" t="str">
        <f aca="false">IF(A187="","",H187/90)</f>
        <v/>
      </c>
      <c r="Q187" s="5" t="str">
        <f aca="false">IF(A187="","",IFERROR(INDEX(Parâmetros!$C$6:$C$10,MATCH(F187,Parâmetros!$B$6:$B$10,0)),""))</f>
        <v/>
      </c>
      <c r="R187" s="5" t="str">
        <f aca="false">IF(OR(A187="",P187="",Q187=""),"",P187*Q187)</f>
        <v/>
      </c>
      <c r="S187" s="5" t="str">
        <f aca="false">IF(R187="","",MAX(0,R187-G187))</f>
        <v/>
      </c>
      <c r="T187" s="21" t="str">
        <f aca="false">IF(S187="","",S187*K187)</f>
        <v/>
      </c>
      <c r="U187" s="5" t="str">
        <f aca="false">IF(A187="","",IF(J187&gt;Parâmetros!$C$14,"SIM","NAO"))</f>
        <v/>
      </c>
      <c r="V187" s="5" t="str">
        <f aca="false">IF(B187="","",TRIM(LEFT(B187,IFERROR(FIND(" ",B187)-1,LEN(B187)))))</f>
        <v/>
      </c>
      <c r="W187" s="22"/>
      <c r="X187" s="5" t="str">
        <f aca="false">IF(A187="","",IF(W187&lt;&gt;"",W187,V187))</f>
        <v/>
      </c>
      <c r="Y187" s="5" t="str">
        <f aca="false">IF(A187="","",IF(COUNTIFS($X$2:$X$2001,X187,$D$2:$D$2001,"&lt;&gt;"&amp;D187,$C$2:$C$2001,C187)&gt;0,"SIM","NAO"))</f>
        <v/>
      </c>
      <c r="Z187" s="5" t="str">
        <f aca="false">IF(A187="","",IF(J187="","",IFERROR(360/J187,"")))</f>
        <v/>
      </c>
      <c r="AA187" s="5" t="str">
        <f aca="false">IF(A187="","",IF(H187=0,"Parado (sem venda 90d)",IF(Z187&gt;12,"Alto (&gt;12x/ano)",IF(Z187&gt;=4,"Medio (4-12x/ano)","Baixo (&lt;4x/ano)"))))</f>
        <v/>
      </c>
    </row>
    <row r="188" customFormat="false" ht="15" hidden="false" customHeight="true" outlineLevel="0" collapsed="false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18"/>
      <c r="L188" s="19" t="str">
        <f aca="false">IF(A188="","",G188*K188)</f>
        <v/>
      </c>
      <c r="M188" s="20"/>
      <c r="N188" s="6"/>
      <c r="O188" s="6"/>
      <c r="P188" s="5" t="str">
        <f aca="false">IF(A188="","",H188/90)</f>
        <v/>
      </c>
      <c r="Q188" s="5" t="str">
        <f aca="false">IF(A188="","",IFERROR(INDEX(Parâmetros!$C$6:$C$10,MATCH(F188,Parâmetros!$B$6:$B$10,0)),""))</f>
        <v/>
      </c>
      <c r="R188" s="5" t="str">
        <f aca="false">IF(OR(A188="",P188="",Q188=""),"",P188*Q188)</f>
        <v/>
      </c>
      <c r="S188" s="5" t="str">
        <f aca="false">IF(R188="","",MAX(0,R188-G188))</f>
        <v/>
      </c>
      <c r="T188" s="21" t="str">
        <f aca="false">IF(S188="","",S188*K188)</f>
        <v/>
      </c>
      <c r="U188" s="5" t="str">
        <f aca="false">IF(A188="","",IF(J188&gt;Parâmetros!$C$14,"SIM","NAO"))</f>
        <v/>
      </c>
      <c r="V188" s="5" t="str">
        <f aca="false">IF(B188="","",TRIM(LEFT(B188,IFERROR(FIND(" ",B188)-1,LEN(B188)))))</f>
        <v/>
      </c>
      <c r="W188" s="22"/>
      <c r="X188" s="5" t="str">
        <f aca="false">IF(A188="","",IF(W188&lt;&gt;"",W188,V188))</f>
        <v/>
      </c>
      <c r="Y188" s="5" t="str">
        <f aca="false">IF(A188="","",IF(COUNTIFS($X$2:$X$2001,X188,$D$2:$D$2001,"&lt;&gt;"&amp;D188,$C$2:$C$2001,C188)&gt;0,"SIM","NAO"))</f>
        <v/>
      </c>
      <c r="Z188" s="5" t="str">
        <f aca="false">IF(A188="","",IF(J188="","",IFERROR(360/J188,"")))</f>
        <v/>
      </c>
      <c r="AA188" s="5" t="str">
        <f aca="false">IF(A188="","",IF(H188=0,"Parado (sem venda 90d)",IF(Z188&gt;12,"Alto (&gt;12x/ano)",IF(Z188&gt;=4,"Medio (4-12x/ano)","Baixo (&lt;4x/ano)"))))</f>
        <v/>
      </c>
    </row>
    <row r="189" customFormat="false" ht="15" hidden="false" customHeight="true" outlineLevel="0" collapsed="false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18"/>
      <c r="L189" s="19" t="str">
        <f aca="false">IF(A189="","",G189*K189)</f>
        <v/>
      </c>
      <c r="M189" s="20"/>
      <c r="N189" s="6"/>
      <c r="O189" s="6"/>
      <c r="P189" s="5" t="str">
        <f aca="false">IF(A189="","",H189/90)</f>
        <v/>
      </c>
      <c r="Q189" s="5" t="str">
        <f aca="false">IF(A189="","",IFERROR(INDEX(Parâmetros!$C$6:$C$10,MATCH(F189,Parâmetros!$B$6:$B$10,0)),""))</f>
        <v/>
      </c>
      <c r="R189" s="5" t="str">
        <f aca="false">IF(OR(A189="",P189="",Q189=""),"",P189*Q189)</f>
        <v/>
      </c>
      <c r="S189" s="5" t="str">
        <f aca="false">IF(R189="","",MAX(0,R189-G189))</f>
        <v/>
      </c>
      <c r="T189" s="21" t="str">
        <f aca="false">IF(S189="","",S189*K189)</f>
        <v/>
      </c>
      <c r="U189" s="5" t="str">
        <f aca="false">IF(A189="","",IF(J189&gt;Parâmetros!$C$14,"SIM","NAO"))</f>
        <v/>
      </c>
      <c r="V189" s="5" t="str">
        <f aca="false">IF(B189="","",TRIM(LEFT(B189,IFERROR(FIND(" ",B189)-1,LEN(B189)))))</f>
        <v/>
      </c>
      <c r="W189" s="22"/>
      <c r="X189" s="5" t="str">
        <f aca="false">IF(A189="","",IF(W189&lt;&gt;"",W189,V189))</f>
        <v/>
      </c>
      <c r="Y189" s="5" t="str">
        <f aca="false">IF(A189="","",IF(COUNTIFS($X$2:$X$2001,X189,$D$2:$D$2001,"&lt;&gt;"&amp;D189,$C$2:$C$2001,C189)&gt;0,"SIM","NAO"))</f>
        <v/>
      </c>
      <c r="Z189" s="5" t="str">
        <f aca="false">IF(A189="","",IF(J189="","",IFERROR(360/J189,"")))</f>
        <v/>
      </c>
      <c r="AA189" s="5" t="str">
        <f aca="false">IF(A189="","",IF(H189=0,"Parado (sem venda 90d)",IF(Z189&gt;12,"Alto (&gt;12x/ano)",IF(Z189&gt;=4,"Medio (4-12x/ano)","Baixo (&lt;4x/ano)"))))</f>
        <v/>
      </c>
    </row>
    <row r="190" customFormat="false" ht="15" hidden="false" customHeight="true" outlineLevel="0" collapsed="false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18"/>
      <c r="L190" s="19" t="str">
        <f aca="false">IF(A190="","",G190*K190)</f>
        <v/>
      </c>
      <c r="M190" s="20"/>
      <c r="N190" s="6"/>
      <c r="O190" s="6"/>
      <c r="P190" s="5" t="str">
        <f aca="false">IF(A190="","",H190/90)</f>
        <v/>
      </c>
      <c r="Q190" s="5" t="str">
        <f aca="false">IF(A190="","",IFERROR(INDEX(Parâmetros!$C$6:$C$10,MATCH(F190,Parâmetros!$B$6:$B$10,0)),""))</f>
        <v/>
      </c>
      <c r="R190" s="5" t="str">
        <f aca="false">IF(OR(A190="",P190="",Q190=""),"",P190*Q190)</f>
        <v/>
      </c>
      <c r="S190" s="5" t="str">
        <f aca="false">IF(R190="","",MAX(0,R190-G190))</f>
        <v/>
      </c>
      <c r="T190" s="21" t="str">
        <f aca="false">IF(S190="","",S190*K190)</f>
        <v/>
      </c>
      <c r="U190" s="5" t="str">
        <f aca="false">IF(A190="","",IF(J190&gt;Parâmetros!$C$14,"SIM","NAO"))</f>
        <v/>
      </c>
      <c r="V190" s="5" t="str">
        <f aca="false">IF(B190="","",TRIM(LEFT(B190,IFERROR(FIND(" ",B190)-1,LEN(B190)))))</f>
        <v/>
      </c>
      <c r="W190" s="22"/>
      <c r="X190" s="5" t="str">
        <f aca="false">IF(A190="","",IF(W190&lt;&gt;"",W190,V190))</f>
        <v/>
      </c>
      <c r="Y190" s="5" t="str">
        <f aca="false">IF(A190="","",IF(COUNTIFS($X$2:$X$2001,X190,$D$2:$D$2001,"&lt;&gt;"&amp;D190,$C$2:$C$2001,C190)&gt;0,"SIM","NAO"))</f>
        <v/>
      </c>
      <c r="Z190" s="5" t="str">
        <f aca="false">IF(A190="","",IF(J190="","",IFERROR(360/J190,"")))</f>
        <v/>
      </c>
      <c r="AA190" s="5" t="str">
        <f aca="false">IF(A190="","",IF(H190=0,"Parado (sem venda 90d)",IF(Z190&gt;12,"Alto (&gt;12x/ano)",IF(Z190&gt;=4,"Medio (4-12x/ano)","Baixo (&lt;4x/ano)"))))</f>
        <v/>
      </c>
    </row>
    <row r="191" customFormat="false" ht="15" hidden="false" customHeight="true" outlineLevel="0" collapsed="false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18"/>
      <c r="L191" s="19" t="str">
        <f aca="false">IF(A191="","",G191*K191)</f>
        <v/>
      </c>
      <c r="M191" s="20"/>
      <c r="N191" s="6"/>
      <c r="O191" s="6"/>
      <c r="P191" s="5" t="str">
        <f aca="false">IF(A191="","",H191/90)</f>
        <v/>
      </c>
      <c r="Q191" s="5" t="str">
        <f aca="false">IF(A191="","",IFERROR(INDEX(Parâmetros!$C$6:$C$10,MATCH(F191,Parâmetros!$B$6:$B$10,0)),""))</f>
        <v/>
      </c>
      <c r="R191" s="5" t="str">
        <f aca="false">IF(OR(A191="",P191="",Q191=""),"",P191*Q191)</f>
        <v/>
      </c>
      <c r="S191" s="5" t="str">
        <f aca="false">IF(R191="","",MAX(0,R191-G191))</f>
        <v/>
      </c>
      <c r="T191" s="21" t="str">
        <f aca="false">IF(S191="","",S191*K191)</f>
        <v/>
      </c>
      <c r="U191" s="5" t="str">
        <f aca="false">IF(A191="","",IF(J191&gt;Parâmetros!$C$14,"SIM","NAO"))</f>
        <v/>
      </c>
      <c r="V191" s="5" t="str">
        <f aca="false">IF(B191="","",TRIM(LEFT(B191,IFERROR(FIND(" ",B191)-1,LEN(B191)))))</f>
        <v/>
      </c>
      <c r="W191" s="22"/>
      <c r="X191" s="5" t="str">
        <f aca="false">IF(A191="","",IF(W191&lt;&gt;"",W191,V191))</f>
        <v/>
      </c>
      <c r="Y191" s="5" t="str">
        <f aca="false">IF(A191="","",IF(COUNTIFS($X$2:$X$2001,X191,$D$2:$D$2001,"&lt;&gt;"&amp;D191,$C$2:$C$2001,C191)&gt;0,"SIM","NAO"))</f>
        <v/>
      </c>
      <c r="Z191" s="5" t="str">
        <f aca="false">IF(A191="","",IF(J191="","",IFERROR(360/J191,"")))</f>
        <v/>
      </c>
      <c r="AA191" s="5" t="str">
        <f aca="false">IF(A191="","",IF(H191=0,"Parado (sem venda 90d)",IF(Z191&gt;12,"Alto (&gt;12x/ano)",IF(Z191&gt;=4,"Medio (4-12x/ano)","Baixo (&lt;4x/ano)"))))</f>
        <v/>
      </c>
    </row>
    <row r="192" customFormat="false" ht="15" hidden="false" customHeight="true" outlineLevel="0" collapsed="false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18"/>
      <c r="L192" s="19" t="str">
        <f aca="false">IF(A192="","",G192*K192)</f>
        <v/>
      </c>
      <c r="M192" s="20"/>
      <c r="N192" s="6"/>
      <c r="O192" s="6"/>
      <c r="P192" s="5" t="str">
        <f aca="false">IF(A192="","",H192/90)</f>
        <v/>
      </c>
      <c r="Q192" s="5" t="str">
        <f aca="false">IF(A192="","",IFERROR(INDEX(Parâmetros!$C$6:$C$10,MATCH(F192,Parâmetros!$B$6:$B$10,0)),""))</f>
        <v/>
      </c>
      <c r="R192" s="5" t="str">
        <f aca="false">IF(OR(A192="",P192="",Q192=""),"",P192*Q192)</f>
        <v/>
      </c>
      <c r="S192" s="5" t="str">
        <f aca="false">IF(R192="","",MAX(0,R192-G192))</f>
        <v/>
      </c>
      <c r="T192" s="21" t="str">
        <f aca="false">IF(S192="","",S192*K192)</f>
        <v/>
      </c>
      <c r="U192" s="5" t="str">
        <f aca="false">IF(A192="","",IF(J192&gt;Parâmetros!$C$14,"SIM","NAO"))</f>
        <v/>
      </c>
      <c r="V192" s="5" t="str">
        <f aca="false">IF(B192="","",TRIM(LEFT(B192,IFERROR(FIND(" ",B192)-1,LEN(B192)))))</f>
        <v/>
      </c>
      <c r="W192" s="22"/>
      <c r="X192" s="5" t="str">
        <f aca="false">IF(A192="","",IF(W192&lt;&gt;"",W192,V192))</f>
        <v/>
      </c>
      <c r="Y192" s="5" t="str">
        <f aca="false">IF(A192="","",IF(COUNTIFS($X$2:$X$2001,X192,$D$2:$D$2001,"&lt;&gt;"&amp;D192,$C$2:$C$2001,C192)&gt;0,"SIM","NAO"))</f>
        <v/>
      </c>
      <c r="Z192" s="5" t="str">
        <f aca="false">IF(A192="","",IF(J192="","",IFERROR(360/J192,"")))</f>
        <v/>
      </c>
      <c r="AA192" s="5" t="str">
        <f aca="false">IF(A192="","",IF(H192=0,"Parado (sem venda 90d)",IF(Z192&gt;12,"Alto (&gt;12x/ano)",IF(Z192&gt;=4,"Medio (4-12x/ano)","Baixo (&lt;4x/ano)"))))</f>
        <v/>
      </c>
    </row>
    <row r="193" customFormat="false" ht="15" hidden="false" customHeight="true" outlineLevel="0" collapsed="false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18"/>
      <c r="L193" s="19" t="str">
        <f aca="false">IF(A193="","",G193*K193)</f>
        <v/>
      </c>
      <c r="M193" s="20"/>
      <c r="N193" s="6"/>
      <c r="O193" s="6"/>
      <c r="P193" s="5" t="str">
        <f aca="false">IF(A193="","",H193/90)</f>
        <v/>
      </c>
      <c r="Q193" s="5" t="str">
        <f aca="false">IF(A193="","",IFERROR(INDEX(Parâmetros!$C$6:$C$10,MATCH(F193,Parâmetros!$B$6:$B$10,0)),""))</f>
        <v/>
      </c>
      <c r="R193" s="5" t="str">
        <f aca="false">IF(OR(A193="",P193="",Q193=""),"",P193*Q193)</f>
        <v/>
      </c>
      <c r="S193" s="5" t="str">
        <f aca="false">IF(R193="","",MAX(0,R193-G193))</f>
        <v/>
      </c>
      <c r="T193" s="21" t="str">
        <f aca="false">IF(S193="","",S193*K193)</f>
        <v/>
      </c>
      <c r="U193" s="5" t="str">
        <f aca="false">IF(A193="","",IF(J193&gt;Parâmetros!$C$14,"SIM","NAO"))</f>
        <v/>
      </c>
      <c r="V193" s="5" t="str">
        <f aca="false">IF(B193="","",TRIM(LEFT(B193,IFERROR(FIND(" ",B193)-1,LEN(B193)))))</f>
        <v/>
      </c>
      <c r="W193" s="22"/>
      <c r="X193" s="5" t="str">
        <f aca="false">IF(A193="","",IF(W193&lt;&gt;"",W193,V193))</f>
        <v/>
      </c>
      <c r="Y193" s="5" t="str">
        <f aca="false">IF(A193="","",IF(COUNTIFS($X$2:$X$2001,X193,$D$2:$D$2001,"&lt;&gt;"&amp;D193,$C$2:$C$2001,C193)&gt;0,"SIM","NAO"))</f>
        <v/>
      </c>
      <c r="Z193" s="5" t="str">
        <f aca="false">IF(A193="","",IF(J193="","",IFERROR(360/J193,"")))</f>
        <v/>
      </c>
      <c r="AA193" s="5" t="str">
        <f aca="false">IF(A193="","",IF(H193=0,"Parado (sem venda 90d)",IF(Z193&gt;12,"Alto (&gt;12x/ano)",IF(Z193&gt;=4,"Medio (4-12x/ano)","Baixo (&lt;4x/ano)"))))</f>
        <v/>
      </c>
    </row>
    <row r="194" customFormat="false" ht="15" hidden="false" customHeight="true" outlineLevel="0" collapsed="false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18"/>
      <c r="L194" s="19" t="str">
        <f aca="false">IF(A194="","",G194*K194)</f>
        <v/>
      </c>
      <c r="M194" s="20"/>
      <c r="N194" s="6"/>
      <c r="O194" s="6"/>
      <c r="P194" s="5" t="str">
        <f aca="false">IF(A194="","",H194/90)</f>
        <v/>
      </c>
      <c r="Q194" s="5" t="str">
        <f aca="false">IF(A194="","",IFERROR(INDEX(Parâmetros!$C$6:$C$10,MATCH(F194,Parâmetros!$B$6:$B$10,0)),""))</f>
        <v/>
      </c>
      <c r="R194" s="5" t="str">
        <f aca="false">IF(OR(A194="",P194="",Q194=""),"",P194*Q194)</f>
        <v/>
      </c>
      <c r="S194" s="5" t="str">
        <f aca="false">IF(R194="","",MAX(0,R194-G194))</f>
        <v/>
      </c>
      <c r="T194" s="21" t="str">
        <f aca="false">IF(S194="","",S194*K194)</f>
        <v/>
      </c>
      <c r="U194" s="5" t="str">
        <f aca="false">IF(A194="","",IF(J194&gt;Parâmetros!$C$14,"SIM","NAO"))</f>
        <v/>
      </c>
      <c r="V194" s="5" t="str">
        <f aca="false">IF(B194="","",TRIM(LEFT(B194,IFERROR(FIND(" ",B194)-1,LEN(B194)))))</f>
        <v/>
      </c>
      <c r="W194" s="22"/>
      <c r="X194" s="5" t="str">
        <f aca="false">IF(A194="","",IF(W194&lt;&gt;"",W194,V194))</f>
        <v/>
      </c>
      <c r="Y194" s="5" t="str">
        <f aca="false">IF(A194="","",IF(COUNTIFS($X$2:$X$2001,X194,$D$2:$D$2001,"&lt;&gt;"&amp;D194,$C$2:$C$2001,C194)&gt;0,"SIM","NAO"))</f>
        <v/>
      </c>
      <c r="Z194" s="5" t="str">
        <f aca="false">IF(A194="","",IF(J194="","",IFERROR(360/J194,"")))</f>
        <v/>
      </c>
      <c r="AA194" s="5" t="str">
        <f aca="false">IF(A194="","",IF(H194=0,"Parado (sem venda 90d)",IF(Z194&gt;12,"Alto (&gt;12x/ano)",IF(Z194&gt;=4,"Medio (4-12x/ano)","Baixo (&lt;4x/ano)"))))</f>
        <v/>
      </c>
    </row>
    <row r="195" customFormat="false" ht="15" hidden="false" customHeight="true" outlineLevel="0" collapsed="false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18"/>
      <c r="L195" s="19" t="str">
        <f aca="false">IF(A195="","",G195*K195)</f>
        <v/>
      </c>
      <c r="M195" s="20"/>
      <c r="N195" s="6"/>
      <c r="O195" s="6"/>
      <c r="P195" s="5" t="str">
        <f aca="false">IF(A195="","",H195/90)</f>
        <v/>
      </c>
      <c r="Q195" s="5" t="str">
        <f aca="false">IF(A195="","",IFERROR(INDEX(Parâmetros!$C$6:$C$10,MATCH(F195,Parâmetros!$B$6:$B$10,0)),""))</f>
        <v/>
      </c>
      <c r="R195" s="5" t="str">
        <f aca="false">IF(OR(A195="",P195="",Q195=""),"",P195*Q195)</f>
        <v/>
      </c>
      <c r="S195" s="5" t="str">
        <f aca="false">IF(R195="","",MAX(0,R195-G195))</f>
        <v/>
      </c>
      <c r="T195" s="21" t="str">
        <f aca="false">IF(S195="","",S195*K195)</f>
        <v/>
      </c>
      <c r="U195" s="5" t="str">
        <f aca="false">IF(A195="","",IF(J195&gt;Parâmetros!$C$14,"SIM","NAO"))</f>
        <v/>
      </c>
      <c r="V195" s="5" t="str">
        <f aca="false">IF(B195="","",TRIM(LEFT(B195,IFERROR(FIND(" ",B195)-1,LEN(B195)))))</f>
        <v/>
      </c>
      <c r="W195" s="22"/>
      <c r="X195" s="5" t="str">
        <f aca="false">IF(A195="","",IF(W195&lt;&gt;"",W195,V195))</f>
        <v/>
      </c>
      <c r="Y195" s="5" t="str">
        <f aca="false">IF(A195="","",IF(COUNTIFS($X$2:$X$2001,X195,$D$2:$D$2001,"&lt;&gt;"&amp;D195,$C$2:$C$2001,C195)&gt;0,"SIM","NAO"))</f>
        <v/>
      </c>
      <c r="Z195" s="5" t="str">
        <f aca="false">IF(A195="","",IF(J195="","",IFERROR(360/J195,"")))</f>
        <v/>
      </c>
      <c r="AA195" s="5" t="str">
        <f aca="false">IF(A195="","",IF(H195=0,"Parado (sem venda 90d)",IF(Z195&gt;12,"Alto (&gt;12x/ano)",IF(Z195&gt;=4,"Medio (4-12x/ano)","Baixo (&lt;4x/ano)"))))</f>
        <v/>
      </c>
    </row>
    <row r="196" customFormat="false" ht="15" hidden="false" customHeight="true" outlineLevel="0" collapsed="false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18"/>
      <c r="L196" s="19" t="str">
        <f aca="false">IF(A196="","",G196*K196)</f>
        <v/>
      </c>
      <c r="M196" s="20"/>
      <c r="N196" s="6"/>
      <c r="O196" s="6"/>
      <c r="P196" s="5" t="str">
        <f aca="false">IF(A196="","",H196/90)</f>
        <v/>
      </c>
      <c r="Q196" s="5" t="str">
        <f aca="false">IF(A196="","",IFERROR(INDEX(Parâmetros!$C$6:$C$10,MATCH(F196,Parâmetros!$B$6:$B$10,0)),""))</f>
        <v/>
      </c>
      <c r="R196" s="5" t="str">
        <f aca="false">IF(OR(A196="",P196="",Q196=""),"",P196*Q196)</f>
        <v/>
      </c>
      <c r="S196" s="5" t="str">
        <f aca="false">IF(R196="","",MAX(0,R196-G196))</f>
        <v/>
      </c>
      <c r="T196" s="21" t="str">
        <f aca="false">IF(S196="","",S196*K196)</f>
        <v/>
      </c>
      <c r="U196" s="5" t="str">
        <f aca="false">IF(A196="","",IF(J196&gt;Parâmetros!$C$14,"SIM","NAO"))</f>
        <v/>
      </c>
      <c r="V196" s="5" t="str">
        <f aca="false">IF(B196="","",TRIM(LEFT(B196,IFERROR(FIND(" ",B196)-1,LEN(B196)))))</f>
        <v/>
      </c>
      <c r="W196" s="22"/>
      <c r="X196" s="5" t="str">
        <f aca="false">IF(A196="","",IF(W196&lt;&gt;"",W196,V196))</f>
        <v/>
      </c>
      <c r="Y196" s="5" t="str">
        <f aca="false">IF(A196="","",IF(COUNTIFS($X$2:$X$2001,X196,$D$2:$D$2001,"&lt;&gt;"&amp;D196,$C$2:$C$2001,C196)&gt;0,"SIM","NAO"))</f>
        <v/>
      </c>
      <c r="Z196" s="5" t="str">
        <f aca="false">IF(A196="","",IF(J196="","",IFERROR(360/J196,"")))</f>
        <v/>
      </c>
      <c r="AA196" s="5" t="str">
        <f aca="false">IF(A196="","",IF(H196=0,"Parado (sem venda 90d)",IF(Z196&gt;12,"Alto (&gt;12x/ano)",IF(Z196&gt;=4,"Medio (4-12x/ano)","Baixo (&lt;4x/ano)"))))</f>
        <v/>
      </c>
    </row>
    <row r="197" customFormat="false" ht="15" hidden="false" customHeight="true" outlineLevel="0" collapsed="false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18"/>
      <c r="L197" s="19" t="str">
        <f aca="false">IF(A197="","",G197*K197)</f>
        <v/>
      </c>
      <c r="M197" s="20"/>
      <c r="N197" s="6"/>
      <c r="O197" s="6"/>
      <c r="P197" s="5" t="str">
        <f aca="false">IF(A197="","",H197/90)</f>
        <v/>
      </c>
      <c r="Q197" s="5" t="str">
        <f aca="false">IF(A197="","",IFERROR(INDEX(Parâmetros!$C$6:$C$10,MATCH(F197,Parâmetros!$B$6:$B$10,0)),""))</f>
        <v/>
      </c>
      <c r="R197" s="5" t="str">
        <f aca="false">IF(OR(A197="",P197="",Q197=""),"",P197*Q197)</f>
        <v/>
      </c>
      <c r="S197" s="5" t="str">
        <f aca="false">IF(R197="","",MAX(0,R197-G197))</f>
        <v/>
      </c>
      <c r="T197" s="21" t="str">
        <f aca="false">IF(S197="","",S197*K197)</f>
        <v/>
      </c>
      <c r="U197" s="5" t="str">
        <f aca="false">IF(A197="","",IF(J197&gt;Parâmetros!$C$14,"SIM","NAO"))</f>
        <v/>
      </c>
      <c r="V197" s="5" t="str">
        <f aca="false">IF(B197="","",TRIM(LEFT(B197,IFERROR(FIND(" ",B197)-1,LEN(B197)))))</f>
        <v/>
      </c>
      <c r="W197" s="22"/>
      <c r="X197" s="5" t="str">
        <f aca="false">IF(A197="","",IF(W197&lt;&gt;"",W197,V197))</f>
        <v/>
      </c>
      <c r="Y197" s="5" t="str">
        <f aca="false">IF(A197="","",IF(COUNTIFS($X$2:$X$2001,X197,$D$2:$D$2001,"&lt;&gt;"&amp;D197,$C$2:$C$2001,C197)&gt;0,"SIM","NAO"))</f>
        <v/>
      </c>
      <c r="Z197" s="5" t="str">
        <f aca="false">IF(A197="","",IF(J197="","",IFERROR(360/J197,"")))</f>
        <v/>
      </c>
      <c r="AA197" s="5" t="str">
        <f aca="false">IF(A197="","",IF(H197=0,"Parado (sem venda 90d)",IF(Z197&gt;12,"Alto (&gt;12x/ano)",IF(Z197&gt;=4,"Medio (4-12x/ano)","Baixo (&lt;4x/ano)"))))</f>
        <v/>
      </c>
    </row>
    <row r="198" customFormat="false" ht="15" hidden="false" customHeight="true" outlineLevel="0" collapsed="false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18"/>
      <c r="L198" s="19" t="str">
        <f aca="false">IF(A198="","",G198*K198)</f>
        <v/>
      </c>
      <c r="M198" s="20"/>
      <c r="N198" s="6"/>
      <c r="O198" s="6"/>
      <c r="P198" s="5" t="str">
        <f aca="false">IF(A198="","",H198/90)</f>
        <v/>
      </c>
      <c r="Q198" s="5" t="str">
        <f aca="false">IF(A198="","",IFERROR(INDEX(Parâmetros!$C$6:$C$10,MATCH(F198,Parâmetros!$B$6:$B$10,0)),""))</f>
        <v/>
      </c>
      <c r="R198" s="5" t="str">
        <f aca="false">IF(OR(A198="",P198="",Q198=""),"",P198*Q198)</f>
        <v/>
      </c>
      <c r="S198" s="5" t="str">
        <f aca="false">IF(R198="","",MAX(0,R198-G198))</f>
        <v/>
      </c>
      <c r="T198" s="21" t="str">
        <f aca="false">IF(S198="","",S198*K198)</f>
        <v/>
      </c>
      <c r="U198" s="5" t="str">
        <f aca="false">IF(A198="","",IF(J198&gt;Parâmetros!$C$14,"SIM","NAO"))</f>
        <v/>
      </c>
      <c r="V198" s="5" t="str">
        <f aca="false">IF(B198="","",TRIM(LEFT(B198,IFERROR(FIND(" ",B198)-1,LEN(B198)))))</f>
        <v/>
      </c>
      <c r="W198" s="22"/>
      <c r="X198" s="5" t="str">
        <f aca="false">IF(A198="","",IF(W198&lt;&gt;"",W198,V198))</f>
        <v/>
      </c>
      <c r="Y198" s="5" t="str">
        <f aca="false">IF(A198="","",IF(COUNTIFS($X$2:$X$2001,X198,$D$2:$D$2001,"&lt;&gt;"&amp;D198,$C$2:$C$2001,C198)&gt;0,"SIM","NAO"))</f>
        <v/>
      </c>
      <c r="Z198" s="5" t="str">
        <f aca="false">IF(A198="","",IF(J198="","",IFERROR(360/J198,"")))</f>
        <v/>
      </c>
      <c r="AA198" s="5" t="str">
        <f aca="false">IF(A198="","",IF(H198=0,"Parado (sem venda 90d)",IF(Z198&gt;12,"Alto (&gt;12x/ano)",IF(Z198&gt;=4,"Medio (4-12x/ano)","Baixo (&lt;4x/ano)"))))</f>
        <v/>
      </c>
    </row>
    <row r="199" customFormat="false" ht="15" hidden="false" customHeight="true" outlineLevel="0" collapsed="false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18"/>
      <c r="L199" s="19" t="str">
        <f aca="false">IF(A199="","",G199*K199)</f>
        <v/>
      </c>
      <c r="M199" s="20"/>
      <c r="N199" s="6"/>
      <c r="O199" s="6"/>
      <c r="P199" s="5" t="str">
        <f aca="false">IF(A199="","",H199/90)</f>
        <v/>
      </c>
      <c r="Q199" s="5" t="str">
        <f aca="false">IF(A199="","",IFERROR(INDEX(Parâmetros!$C$6:$C$10,MATCH(F199,Parâmetros!$B$6:$B$10,0)),""))</f>
        <v/>
      </c>
      <c r="R199" s="5" t="str">
        <f aca="false">IF(OR(A199="",P199="",Q199=""),"",P199*Q199)</f>
        <v/>
      </c>
      <c r="S199" s="5" t="str">
        <f aca="false">IF(R199="","",MAX(0,R199-G199))</f>
        <v/>
      </c>
      <c r="T199" s="21" t="str">
        <f aca="false">IF(S199="","",S199*K199)</f>
        <v/>
      </c>
      <c r="U199" s="5" t="str">
        <f aca="false">IF(A199="","",IF(J199&gt;Parâmetros!$C$14,"SIM","NAO"))</f>
        <v/>
      </c>
      <c r="V199" s="5" t="str">
        <f aca="false">IF(B199="","",TRIM(LEFT(B199,IFERROR(FIND(" ",B199)-1,LEN(B199)))))</f>
        <v/>
      </c>
      <c r="W199" s="22"/>
      <c r="X199" s="5" t="str">
        <f aca="false">IF(A199="","",IF(W199&lt;&gt;"",W199,V199))</f>
        <v/>
      </c>
      <c r="Y199" s="5" t="str">
        <f aca="false">IF(A199="","",IF(COUNTIFS($X$2:$X$2001,X199,$D$2:$D$2001,"&lt;&gt;"&amp;D199,$C$2:$C$2001,C199)&gt;0,"SIM","NAO"))</f>
        <v/>
      </c>
      <c r="Z199" s="5" t="str">
        <f aca="false">IF(A199="","",IF(J199="","",IFERROR(360/J199,"")))</f>
        <v/>
      </c>
      <c r="AA199" s="5" t="str">
        <f aca="false">IF(A199="","",IF(H199=0,"Parado (sem venda 90d)",IF(Z199&gt;12,"Alto (&gt;12x/ano)",IF(Z199&gt;=4,"Medio (4-12x/ano)","Baixo (&lt;4x/ano)"))))</f>
        <v/>
      </c>
    </row>
    <row r="200" customFormat="false" ht="15" hidden="false" customHeight="true" outlineLevel="0" collapsed="false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18"/>
      <c r="L200" s="19" t="str">
        <f aca="false">IF(A200="","",G200*K200)</f>
        <v/>
      </c>
      <c r="M200" s="20"/>
      <c r="N200" s="6"/>
      <c r="O200" s="6"/>
      <c r="P200" s="5" t="str">
        <f aca="false">IF(A200="","",H200/90)</f>
        <v/>
      </c>
      <c r="Q200" s="5" t="str">
        <f aca="false">IF(A200="","",IFERROR(INDEX(Parâmetros!$C$6:$C$10,MATCH(F200,Parâmetros!$B$6:$B$10,0)),""))</f>
        <v/>
      </c>
      <c r="R200" s="5" t="str">
        <f aca="false">IF(OR(A200="",P200="",Q200=""),"",P200*Q200)</f>
        <v/>
      </c>
      <c r="S200" s="5" t="str">
        <f aca="false">IF(R200="","",MAX(0,R200-G200))</f>
        <v/>
      </c>
      <c r="T200" s="21" t="str">
        <f aca="false">IF(S200="","",S200*K200)</f>
        <v/>
      </c>
      <c r="U200" s="5" t="str">
        <f aca="false">IF(A200="","",IF(J200&gt;Parâmetros!$C$14,"SIM","NAO"))</f>
        <v/>
      </c>
      <c r="V200" s="5" t="str">
        <f aca="false">IF(B200="","",TRIM(LEFT(B200,IFERROR(FIND(" ",B200)-1,LEN(B200)))))</f>
        <v/>
      </c>
      <c r="W200" s="22"/>
      <c r="X200" s="5" t="str">
        <f aca="false">IF(A200="","",IF(W200&lt;&gt;"",W200,V200))</f>
        <v/>
      </c>
      <c r="Y200" s="5" t="str">
        <f aca="false">IF(A200="","",IF(COUNTIFS($X$2:$X$2001,X200,$D$2:$D$2001,"&lt;&gt;"&amp;D200,$C$2:$C$2001,C200)&gt;0,"SIM","NAO"))</f>
        <v/>
      </c>
      <c r="Z200" s="5" t="str">
        <f aca="false">IF(A200="","",IF(J200="","",IFERROR(360/J200,"")))</f>
        <v/>
      </c>
      <c r="AA200" s="5" t="str">
        <f aca="false">IF(A200="","",IF(H200=0,"Parado (sem venda 90d)",IF(Z200&gt;12,"Alto (&gt;12x/ano)",IF(Z200&gt;=4,"Medio (4-12x/ano)","Baixo (&lt;4x/ano)"))))</f>
        <v/>
      </c>
    </row>
    <row r="201" customFormat="false" ht="15" hidden="false" customHeight="true" outlineLevel="0" collapsed="false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18"/>
      <c r="L201" s="19" t="str">
        <f aca="false">IF(A201="","",G201*K201)</f>
        <v/>
      </c>
      <c r="M201" s="20"/>
      <c r="N201" s="6"/>
      <c r="O201" s="6"/>
      <c r="P201" s="5" t="str">
        <f aca="false">IF(A201="","",H201/90)</f>
        <v/>
      </c>
      <c r="Q201" s="5" t="str">
        <f aca="false">IF(A201="","",IFERROR(INDEX(Parâmetros!$C$6:$C$10,MATCH(F201,Parâmetros!$B$6:$B$10,0)),""))</f>
        <v/>
      </c>
      <c r="R201" s="5" t="str">
        <f aca="false">IF(OR(A201="",P201="",Q201=""),"",P201*Q201)</f>
        <v/>
      </c>
      <c r="S201" s="5" t="str">
        <f aca="false">IF(R201="","",MAX(0,R201-G201))</f>
        <v/>
      </c>
      <c r="T201" s="21" t="str">
        <f aca="false">IF(S201="","",S201*K201)</f>
        <v/>
      </c>
      <c r="U201" s="5" t="str">
        <f aca="false">IF(A201="","",IF(J201&gt;Parâmetros!$C$14,"SIM","NAO"))</f>
        <v/>
      </c>
      <c r="V201" s="5" t="str">
        <f aca="false">IF(B201="","",TRIM(LEFT(B201,IFERROR(FIND(" ",B201)-1,LEN(B201)))))</f>
        <v/>
      </c>
      <c r="W201" s="22"/>
      <c r="X201" s="5" t="str">
        <f aca="false">IF(A201="","",IF(W201&lt;&gt;"",W201,V201))</f>
        <v/>
      </c>
      <c r="Y201" s="5" t="str">
        <f aca="false">IF(A201="","",IF(COUNTIFS($X$2:$X$2001,X201,$D$2:$D$2001,"&lt;&gt;"&amp;D201,$C$2:$C$2001,C201)&gt;0,"SIM","NAO"))</f>
        <v/>
      </c>
      <c r="Z201" s="5" t="str">
        <f aca="false">IF(A201="","",IF(J201="","",IFERROR(360/J201,"")))</f>
        <v/>
      </c>
      <c r="AA201" s="5" t="str">
        <f aca="false">IF(A201="","",IF(H201=0,"Parado (sem venda 90d)",IF(Z201&gt;12,"Alto (&gt;12x/ano)",IF(Z201&gt;=4,"Medio (4-12x/ano)","Baixo (&lt;4x/ano)"))))</f>
        <v/>
      </c>
    </row>
    <row r="202" customFormat="false" ht="15" hidden="false" customHeight="true" outlineLevel="0" collapsed="false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18"/>
      <c r="L202" s="19" t="str">
        <f aca="false">IF(A202="","",G202*K202)</f>
        <v/>
      </c>
      <c r="M202" s="20"/>
      <c r="N202" s="6"/>
      <c r="O202" s="6"/>
      <c r="P202" s="5" t="str">
        <f aca="false">IF(A202="","",H202/90)</f>
        <v/>
      </c>
      <c r="Q202" s="5" t="str">
        <f aca="false">IF(A202="","",IFERROR(INDEX(Parâmetros!$C$6:$C$10,MATCH(F202,Parâmetros!$B$6:$B$10,0)),""))</f>
        <v/>
      </c>
      <c r="R202" s="5" t="str">
        <f aca="false">IF(OR(A202="",P202="",Q202=""),"",P202*Q202)</f>
        <v/>
      </c>
      <c r="S202" s="5" t="str">
        <f aca="false">IF(R202="","",MAX(0,R202-G202))</f>
        <v/>
      </c>
      <c r="T202" s="21" t="str">
        <f aca="false">IF(S202="","",S202*K202)</f>
        <v/>
      </c>
      <c r="U202" s="5" t="str">
        <f aca="false">IF(A202="","",IF(J202&gt;Parâmetros!$C$14,"SIM","NAO"))</f>
        <v/>
      </c>
      <c r="V202" s="5" t="str">
        <f aca="false">IF(B202="","",TRIM(LEFT(B202,IFERROR(FIND(" ",B202)-1,LEN(B202)))))</f>
        <v/>
      </c>
      <c r="W202" s="22"/>
      <c r="X202" s="5" t="str">
        <f aca="false">IF(A202="","",IF(W202&lt;&gt;"",W202,V202))</f>
        <v/>
      </c>
      <c r="Y202" s="5" t="str">
        <f aca="false">IF(A202="","",IF(COUNTIFS($X$2:$X$2001,X202,$D$2:$D$2001,"&lt;&gt;"&amp;D202,$C$2:$C$2001,C202)&gt;0,"SIM","NAO"))</f>
        <v/>
      </c>
      <c r="Z202" s="5" t="str">
        <f aca="false">IF(A202="","",IF(J202="","",IFERROR(360/J202,"")))</f>
        <v/>
      </c>
      <c r="AA202" s="5" t="str">
        <f aca="false">IF(A202="","",IF(H202=0,"Parado (sem venda 90d)",IF(Z202&gt;12,"Alto (&gt;12x/ano)",IF(Z202&gt;=4,"Medio (4-12x/ano)","Baixo (&lt;4x/ano)"))))</f>
        <v/>
      </c>
    </row>
    <row r="203" customFormat="false" ht="15" hidden="false" customHeight="true" outlineLevel="0" collapsed="false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18"/>
      <c r="L203" s="19" t="str">
        <f aca="false">IF(A203="","",G203*K203)</f>
        <v/>
      </c>
      <c r="M203" s="20"/>
      <c r="N203" s="6"/>
      <c r="O203" s="6"/>
      <c r="P203" s="5" t="str">
        <f aca="false">IF(A203="","",H203/90)</f>
        <v/>
      </c>
      <c r="Q203" s="5" t="str">
        <f aca="false">IF(A203="","",IFERROR(INDEX(Parâmetros!$C$6:$C$10,MATCH(F203,Parâmetros!$B$6:$B$10,0)),""))</f>
        <v/>
      </c>
      <c r="R203" s="5" t="str">
        <f aca="false">IF(OR(A203="",P203="",Q203=""),"",P203*Q203)</f>
        <v/>
      </c>
      <c r="S203" s="5" t="str">
        <f aca="false">IF(R203="","",MAX(0,R203-G203))</f>
        <v/>
      </c>
      <c r="T203" s="21" t="str">
        <f aca="false">IF(S203="","",S203*K203)</f>
        <v/>
      </c>
      <c r="U203" s="5" t="str">
        <f aca="false">IF(A203="","",IF(J203&gt;Parâmetros!$C$14,"SIM","NAO"))</f>
        <v/>
      </c>
      <c r="V203" s="5" t="str">
        <f aca="false">IF(B203="","",TRIM(LEFT(B203,IFERROR(FIND(" ",B203)-1,LEN(B203)))))</f>
        <v/>
      </c>
      <c r="W203" s="22"/>
      <c r="X203" s="5" t="str">
        <f aca="false">IF(A203="","",IF(W203&lt;&gt;"",W203,V203))</f>
        <v/>
      </c>
      <c r="Y203" s="5" t="str">
        <f aca="false">IF(A203="","",IF(COUNTIFS($X$2:$X$2001,X203,$D$2:$D$2001,"&lt;&gt;"&amp;D203,$C$2:$C$2001,C203)&gt;0,"SIM","NAO"))</f>
        <v/>
      </c>
      <c r="Z203" s="5" t="str">
        <f aca="false">IF(A203="","",IF(J203="","",IFERROR(360/J203,"")))</f>
        <v/>
      </c>
      <c r="AA203" s="5" t="str">
        <f aca="false">IF(A203="","",IF(H203=0,"Parado (sem venda 90d)",IF(Z203&gt;12,"Alto (&gt;12x/ano)",IF(Z203&gt;=4,"Medio (4-12x/ano)","Baixo (&lt;4x/ano)"))))</f>
        <v/>
      </c>
    </row>
    <row r="204" customFormat="false" ht="15" hidden="false" customHeight="true" outlineLevel="0" collapsed="false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18"/>
      <c r="L204" s="19" t="str">
        <f aca="false">IF(A204="","",G204*K204)</f>
        <v/>
      </c>
      <c r="M204" s="20"/>
      <c r="N204" s="6"/>
      <c r="O204" s="6"/>
      <c r="P204" s="5" t="str">
        <f aca="false">IF(A204="","",H204/90)</f>
        <v/>
      </c>
      <c r="Q204" s="5" t="str">
        <f aca="false">IF(A204="","",IFERROR(INDEX(Parâmetros!$C$6:$C$10,MATCH(F204,Parâmetros!$B$6:$B$10,0)),""))</f>
        <v/>
      </c>
      <c r="R204" s="5" t="str">
        <f aca="false">IF(OR(A204="",P204="",Q204=""),"",P204*Q204)</f>
        <v/>
      </c>
      <c r="S204" s="5" t="str">
        <f aca="false">IF(R204="","",MAX(0,R204-G204))</f>
        <v/>
      </c>
      <c r="T204" s="21" t="str">
        <f aca="false">IF(S204="","",S204*K204)</f>
        <v/>
      </c>
      <c r="U204" s="5" t="str">
        <f aca="false">IF(A204="","",IF(J204&gt;Parâmetros!$C$14,"SIM","NAO"))</f>
        <v/>
      </c>
      <c r="V204" s="5" t="str">
        <f aca="false">IF(B204="","",TRIM(LEFT(B204,IFERROR(FIND(" ",B204)-1,LEN(B204)))))</f>
        <v/>
      </c>
      <c r="W204" s="22"/>
      <c r="X204" s="5" t="str">
        <f aca="false">IF(A204="","",IF(W204&lt;&gt;"",W204,V204))</f>
        <v/>
      </c>
      <c r="Y204" s="5" t="str">
        <f aca="false">IF(A204="","",IF(COUNTIFS($X$2:$X$2001,X204,$D$2:$D$2001,"&lt;&gt;"&amp;D204,$C$2:$C$2001,C204)&gt;0,"SIM","NAO"))</f>
        <v/>
      </c>
      <c r="Z204" s="5" t="str">
        <f aca="false">IF(A204="","",IF(J204="","",IFERROR(360/J204,"")))</f>
        <v/>
      </c>
      <c r="AA204" s="5" t="str">
        <f aca="false">IF(A204="","",IF(H204=0,"Parado (sem venda 90d)",IF(Z204&gt;12,"Alto (&gt;12x/ano)",IF(Z204&gt;=4,"Medio (4-12x/ano)","Baixo (&lt;4x/ano)"))))</f>
        <v/>
      </c>
    </row>
    <row r="205" customFormat="false" ht="15" hidden="false" customHeight="true" outlineLevel="0" collapsed="false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18"/>
      <c r="L205" s="19" t="str">
        <f aca="false">IF(A205="","",G205*K205)</f>
        <v/>
      </c>
      <c r="M205" s="20"/>
      <c r="N205" s="6"/>
      <c r="O205" s="6"/>
      <c r="P205" s="5" t="str">
        <f aca="false">IF(A205="","",H205/90)</f>
        <v/>
      </c>
      <c r="Q205" s="5" t="str">
        <f aca="false">IF(A205="","",IFERROR(INDEX(Parâmetros!$C$6:$C$10,MATCH(F205,Parâmetros!$B$6:$B$10,0)),""))</f>
        <v/>
      </c>
      <c r="R205" s="5" t="str">
        <f aca="false">IF(OR(A205="",P205="",Q205=""),"",P205*Q205)</f>
        <v/>
      </c>
      <c r="S205" s="5" t="str">
        <f aca="false">IF(R205="","",MAX(0,R205-G205))</f>
        <v/>
      </c>
      <c r="T205" s="21" t="str">
        <f aca="false">IF(S205="","",S205*K205)</f>
        <v/>
      </c>
      <c r="U205" s="5" t="str">
        <f aca="false">IF(A205="","",IF(J205&gt;Parâmetros!$C$14,"SIM","NAO"))</f>
        <v/>
      </c>
      <c r="V205" s="5" t="str">
        <f aca="false">IF(B205="","",TRIM(LEFT(B205,IFERROR(FIND(" ",B205)-1,LEN(B205)))))</f>
        <v/>
      </c>
      <c r="W205" s="22"/>
      <c r="X205" s="5" t="str">
        <f aca="false">IF(A205="","",IF(W205&lt;&gt;"",W205,V205))</f>
        <v/>
      </c>
      <c r="Y205" s="5" t="str">
        <f aca="false">IF(A205="","",IF(COUNTIFS($X$2:$X$2001,X205,$D$2:$D$2001,"&lt;&gt;"&amp;D205,$C$2:$C$2001,C205)&gt;0,"SIM","NAO"))</f>
        <v/>
      </c>
      <c r="Z205" s="5" t="str">
        <f aca="false">IF(A205="","",IF(J205="","",IFERROR(360/J205,"")))</f>
        <v/>
      </c>
      <c r="AA205" s="5" t="str">
        <f aca="false">IF(A205="","",IF(H205=0,"Parado (sem venda 90d)",IF(Z205&gt;12,"Alto (&gt;12x/ano)",IF(Z205&gt;=4,"Medio (4-12x/ano)","Baixo (&lt;4x/ano)"))))</f>
        <v/>
      </c>
    </row>
    <row r="206" customFormat="false" ht="15" hidden="false" customHeight="true" outlineLevel="0" collapsed="false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18"/>
      <c r="L206" s="19" t="str">
        <f aca="false">IF(A206="","",G206*K206)</f>
        <v/>
      </c>
      <c r="M206" s="20"/>
      <c r="N206" s="6"/>
      <c r="O206" s="6"/>
      <c r="P206" s="5" t="str">
        <f aca="false">IF(A206="","",H206/90)</f>
        <v/>
      </c>
      <c r="Q206" s="5" t="str">
        <f aca="false">IF(A206="","",IFERROR(INDEX(Parâmetros!$C$6:$C$10,MATCH(F206,Parâmetros!$B$6:$B$10,0)),""))</f>
        <v/>
      </c>
      <c r="R206" s="5" t="str">
        <f aca="false">IF(OR(A206="",P206="",Q206=""),"",P206*Q206)</f>
        <v/>
      </c>
      <c r="S206" s="5" t="str">
        <f aca="false">IF(R206="","",MAX(0,R206-G206))</f>
        <v/>
      </c>
      <c r="T206" s="21" t="str">
        <f aca="false">IF(S206="","",S206*K206)</f>
        <v/>
      </c>
      <c r="U206" s="5" t="str">
        <f aca="false">IF(A206="","",IF(J206&gt;Parâmetros!$C$14,"SIM","NAO"))</f>
        <v/>
      </c>
      <c r="V206" s="5" t="str">
        <f aca="false">IF(B206="","",TRIM(LEFT(B206,IFERROR(FIND(" ",B206)-1,LEN(B206)))))</f>
        <v/>
      </c>
      <c r="W206" s="22"/>
      <c r="X206" s="5" t="str">
        <f aca="false">IF(A206="","",IF(W206&lt;&gt;"",W206,V206))</f>
        <v/>
      </c>
      <c r="Y206" s="5" t="str">
        <f aca="false">IF(A206="","",IF(COUNTIFS($X$2:$X$2001,X206,$D$2:$D$2001,"&lt;&gt;"&amp;D206,$C$2:$C$2001,C206)&gt;0,"SIM","NAO"))</f>
        <v/>
      </c>
      <c r="Z206" s="5" t="str">
        <f aca="false">IF(A206="","",IF(J206="","",IFERROR(360/J206,"")))</f>
        <v/>
      </c>
      <c r="AA206" s="5" t="str">
        <f aca="false">IF(A206="","",IF(H206=0,"Parado (sem venda 90d)",IF(Z206&gt;12,"Alto (&gt;12x/ano)",IF(Z206&gt;=4,"Medio (4-12x/ano)","Baixo (&lt;4x/ano)"))))</f>
        <v/>
      </c>
    </row>
    <row r="207" customFormat="false" ht="15" hidden="false" customHeight="true" outlineLevel="0" collapsed="false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18"/>
      <c r="L207" s="19" t="str">
        <f aca="false">IF(A207="","",G207*K207)</f>
        <v/>
      </c>
      <c r="M207" s="20"/>
      <c r="N207" s="6"/>
      <c r="O207" s="6"/>
      <c r="P207" s="5" t="str">
        <f aca="false">IF(A207="","",H207/90)</f>
        <v/>
      </c>
      <c r="Q207" s="5" t="str">
        <f aca="false">IF(A207="","",IFERROR(INDEX(Parâmetros!$C$6:$C$10,MATCH(F207,Parâmetros!$B$6:$B$10,0)),""))</f>
        <v/>
      </c>
      <c r="R207" s="5" t="str">
        <f aca="false">IF(OR(A207="",P207="",Q207=""),"",P207*Q207)</f>
        <v/>
      </c>
      <c r="S207" s="5" t="str">
        <f aca="false">IF(R207="","",MAX(0,R207-G207))</f>
        <v/>
      </c>
      <c r="T207" s="21" t="str">
        <f aca="false">IF(S207="","",S207*K207)</f>
        <v/>
      </c>
      <c r="U207" s="5" t="str">
        <f aca="false">IF(A207="","",IF(J207&gt;Parâmetros!$C$14,"SIM","NAO"))</f>
        <v/>
      </c>
      <c r="V207" s="5" t="str">
        <f aca="false">IF(B207="","",TRIM(LEFT(B207,IFERROR(FIND(" ",B207)-1,LEN(B207)))))</f>
        <v/>
      </c>
      <c r="W207" s="22"/>
      <c r="X207" s="5" t="str">
        <f aca="false">IF(A207="","",IF(W207&lt;&gt;"",W207,V207))</f>
        <v/>
      </c>
      <c r="Y207" s="5" t="str">
        <f aca="false">IF(A207="","",IF(COUNTIFS($X$2:$X$2001,X207,$D$2:$D$2001,"&lt;&gt;"&amp;D207,$C$2:$C$2001,C207)&gt;0,"SIM","NAO"))</f>
        <v/>
      </c>
      <c r="Z207" s="5" t="str">
        <f aca="false">IF(A207="","",IF(J207="","",IFERROR(360/J207,"")))</f>
        <v/>
      </c>
      <c r="AA207" s="5" t="str">
        <f aca="false">IF(A207="","",IF(H207=0,"Parado (sem venda 90d)",IF(Z207&gt;12,"Alto (&gt;12x/ano)",IF(Z207&gt;=4,"Medio (4-12x/ano)","Baixo (&lt;4x/ano)"))))</f>
        <v/>
      </c>
    </row>
    <row r="208" customFormat="false" ht="15" hidden="false" customHeight="true" outlineLevel="0" collapsed="false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18"/>
      <c r="L208" s="19" t="str">
        <f aca="false">IF(A208="","",G208*K208)</f>
        <v/>
      </c>
      <c r="M208" s="20"/>
      <c r="N208" s="6"/>
      <c r="O208" s="6"/>
      <c r="P208" s="5" t="str">
        <f aca="false">IF(A208="","",H208/90)</f>
        <v/>
      </c>
      <c r="Q208" s="5" t="str">
        <f aca="false">IF(A208="","",IFERROR(INDEX(Parâmetros!$C$6:$C$10,MATCH(F208,Parâmetros!$B$6:$B$10,0)),""))</f>
        <v/>
      </c>
      <c r="R208" s="5" t="str">
        <f aca="false">IF(OR(A208="",P208="",Q208=""),"",P208*Q208)</f>
        <v/>
      </c>
      <c r="S208" s="5" t="str">
        <f aca="false">IF(R208="","",MAX(0,R208-G208))</f>
        <v/>
      </c>
      <c r="T208" s="21" t="str">
        <f aca="false">IF(S208="","",S208*K208)</f>
        <v/>
      </c>
      <c r="U208" s="5" t="str">
        <f aca="false">IF(A208="","",IF(J208&gt;Parâmetros!$C$14,"SIM","NAO"))</f>
        <v/>
      </c>
      <c r="V208" s="5" t="str">
        <f aca="false">IF(B208="","",TRIM(LEFT(B208,IFERROR(FIND(" ",B208)-1,LEN(B208)))))</f>
        <v/>
      </c>
      <c r="W208" s="22"/>
      <c r="X208" s="5" t="str">
        <f aca="false">IF(A208="","",IF(W208&lt;&gt;"",W208,V208))</f>
        <v/>
      </c>
      <c r="Y208" s="5" t="str">
        <f aca="false">IF(A208="","",IF(COUNTIFS($X$2:$X$2001,X208,$D$2:$D$2001,"&lt;&gt;"&amp;D208,$C$2:$C$2001,C208)&gt;0,"SIM","NAO"))</f>
        <v/>
      </c>
      <c r="Z208" s="5" t="str">
        <f aca="false">IF(A208="","",IF(J208="","",IFERROR(360/J208,"")))</f>
        <v/>
      </c>
      <c r="AA208" s="5" t="str">
        <f aca="false">IF(A208="","",IF(H208=0,"Parado (sem venda 90d)",IF(Z208&gt;12,"Alto (&gt;12x/ano)",IF(Z208&gt;=4,"Medio (4-12x/ano)","Baixo (&lt;4x/ano)"))))</f>
        <v/>
      </c>
    </row>
    <row r="209" customFormat="false" ht="15" hidden="false" customHeight="true" outlineLevel="0" collapsed="false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18"/>
      <c r="L209" s="19" t="str">
        <f aca="false">IF(A209="","",G209*K209)</f>
        <v/>
      </c>
      <c r="M209" s="20"/>
      <c r="N209" s="6"/>
      <c r="O209" s="6"/>
      <c r="P209" s="5" t="str">
        <f aca="false">IF(A209="","",H209/90)</f>
        <v/>
      </c>
      <c r="Q209" s="5" t="str">
        <f aca="false">IF(A209="","",IFERROR(INDEX(Parâmetros!$C$6:$C$10,MATCH(F209,Parâmetros!$B$6:$B$10,0)),""))</f>
        <v/>
      </c>
      <c r="R209" s="5" t="str">
        <f aca="false">IF(OR(A209="",P209="",Q209=""),"",P209*Q209)</f>
        <v/>
      </c>
      <c r="S209" s="5" t="str">
        <f aca="false">IF(R209="","",MAX(0,R209-G209))</f>
        <v/>
      </c>
      <c r="T209" s="21" t="str">
        <f aca="false">IF(S209="","",S209*K209)</f>
        <v/>
      </c>
      <c r="U209" s="5" t="str">
        <f aca="false">IF(A209="","",IF(J209&gt;Parâmetros!$C$14,"SIM","NAO"))</f>
        <v/>
      </c>
      <c r="V209" s="5" t="str">
        <f aca="false">IF(B209="","",TRIM(LEFT(B209,IFERROR(FIND(" ",B209)-1,LEN(B209)))))</f>
        <v/>
      </c>
      <c r="W209" s="22"/>
      <c r="X209" s="5" t="str">
        <f aca="false">IF(A209="","",IF(W209&lt;&gt;"",W209,V209))</f>
        <v/>
      </c>
      <c r="Y209" s="5" t="str">
        <f aca="false">IF(A209="","",IF(COUNTIFS($X$2:$X$2001,X209,$D$2:$D$2001,"&lt;&gt;"&amp;D209,$C$2:$C$2001,C209)&gt;0,"SIM","NAO"))</f>
        <v/>
      </c>
      <c r="Z209" s="5" t="str">
        <f aca="false">IF(A209="","",IF(J209="","",IFERROR(360/J209,"")))</f>
        <v/>
      </c>
      <c r="AA209" s="5" t="str">
        <f aca="false">IF(A209="","",IF(H209=0,"Parado (sem venda 90d)",IF(Z209&gt;12,"Alto (&gt;12x/ano)",IF(Z209&gt;=4,"Medio (4-12x/ano)","Baixo (&lt;4x/ano)"))))</f>
        <v/>
      </c>
    </row>
    <row r="210" customFormat="false" ht="15" hidden="false" customHeight="true" outlineLevel="0" collapsed="false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18"/>
      <c r="L210" s="19" t="str">
        <f aca="false">IF(A210="","",G210*K210)</f>
        <v/>
      </c>
      <c r="M210" s="20"/>
      <c r="N210" s="6"/>
      <c r="O210" s="6"/>
      <c r="P210" s="5" t="str">
        <f aca="false">IF(A210="","",H210/90)</f>
        <v/>
      </c>
      <c r="Q210" s="5" t="str">
        <f aca="false">IF(A210="","",IFERROR(INDEX(Parâmetros!$C$6:$C$10,MATCH(F210,Parâmetros!$B$6:$B$10,0)),""))</f>
        <v/>
      </c>
      <c r="R210" s="5" t="str">
        <f aca="false">IF(OR(A210="",P210="",Q210=""),"",P210*Q210)</f>
        <v/>
      </c>
      <c r="S210" s="5" t="str">
        <f aca="false">IF(R210="","",MAX(0,R210-G210))</f>
        <v/>
      </c>
      <c r="T210" s="21" t="str">
        <f aca="false">IF(S210="","",S210*K210)</f>
        <v/>
      </c>
      <c r="U210" s="5" t="str">
        <f aca="false">IF(A210="","",IF(J210&gt;Parâmetros!$C$14,"SIM","NAO"))</f>
        <v/>
      </c>
      <c r="V210" s="5" t="str">
        <f aca="false">IF(B210="","",TRIM(LEFT(B210,IFERROR(FIND(" ",B210)-1,LEN(B210)))))</f>
        <v/>
      </c>
      <c r="W210" s="22"/>
      <c r="X210" s="5" t="str">
        <f aca="false">IF(A210="","",IF(W210&lt;&gt;"",W210,V210))</f>
        <v/>
      </c>
      <c r="Y210" s="5" t="str">
        <f aca="false">IF(A210="","",IF(COUNTIFS($X$2:$X$2001,X210,$D$2:$D$2001,"&lt;&gt;"&amp;D210,$C$2:$C$2001,C210)&gt;0,"SIM","NAO"))</f>
        <v/>
      </c>
      <c r="Z210" s="5" t="str">
        <f aca="false">IF(A210="","",IF(J210="","",IFERROR(360/J210,"")))</f>
        <v/>
      </c>
      <c r="AA210" s="5" t="str">
        <f aca="false">IF(A210="","",IF(H210=0,"Parado (sem venda 90d)",IF(Z210&gt;12,"Alto (&gt;12x/ano)",IF(Z210&gt;=4,"Medio (4-12x/ano)","Baixo (&lt;4x/ano)"))))</f>
        <v/>
      </c>
    </row>
    <row r="211" customFormat="false" ht="15" hidden="false" customHeight="true" outlineLevel="0" collapsed="false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18"/>
      <c r="L211" s="19" t="str">
        <f aca="false">IF(A211="","",G211*K211)</f>
        <v/>
      </c>
      <c r="M211" s="20"/>
      <c r="N211" s="6"/>
      <c r="O211" s="6"/>
      <c r="P211" s="5" t="str">
        <f aca="false">IF(A211="","",H211/90)</f>
        <v/>
      </c>
      <c r="Q211" s="5" t="str">
        <f aca="false">IF(A211="","",IFERROR(INDEX(Parâmetros!$C$6:$C$10,MATCH(F211,Parâmetros!$B$6:$B$10,0)),""))</f>
        <v/>
      </c>
      <c r="R211" s="5" t="str">
        <f aca="false">IF(OR(A211="",P211="",Q211=""),"",P211*Q211)</f>
        <v/>
      </c>
      <c r="S211" s="5" t="str">
        <f aca="false">IF(R211="","",MAX(0,R211-G211))</f>
        <v/>
      </c>
      <c r="T211" s="21" t="str">
        <f aca="false">IF(S211="","",S211*K211)</f>
        <v/>
      </c>
      <c r="U211" s="5" t="str">
        <f aca="false">IF(A211="","",IF(J211&gt;Parâmetros!$C$14,"SIM","NAO"))</f>
        <v/>
      </c>
      <c r="V211" s="5" t="str">
        <f aca="false">IF(B211="","",TRIM(LEFT(B211,IFERROR(FIND(" ",B211)-1,LEN(B211)))))</f>
        <v/>
      </c>
      <c r="W211" s="22"/>
      <c r="X211" s="5" t="str">
        <f aca="false">IF(A211="","",IF(W211&lt;&gt;"",W211,V211))</f>
        <v/>
      </c>
      <c r="Y211" s="5" t="str">
        <f aca="false">IF(A211="","",IF(COUNTIFS($X$2:$X$2001,X211,$D$2:$D$2001,"&lt;&gt;"&amp;D211,$C$2:$C$2001,C211)&gt;0,"SIM","NAO"))</f>
        <v/>
      </c>
      <c r="Z211" s="5" t="str">
        <f aca="false">IF(A211="","",IF(J211="","",IFERROR(360/J211,"")))</f>
        <v/>
      </c>
      <c r="AA211" s="5" t="str">
        <f aca="false">IF(A211="","",IF(H211=0,"Parado (sem venda 90d)",IF(Z211&gt;12,"Alto (&gt;12x/ano)",IF(Z211&gt;=4,"Medio (4-12x/ano)","Baixo (&lt;4x/ano)"))))</f>
        <v/>
      </c>
    </row>
    <row r="212" customFormat="false" ht="15" hidden="false" customHeight="true" outlineLevel="0" collapsed="false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18"/>
      <c r="L212" s="19" t="str">
        <f aca="false">IF(A212="","",G212*K212)</f>
        <v/>
      </c>
      <c r="M212" s="20"/>
      <c r="N212" s="6"/>
      <c r="O212" s="6"/>
      <c r="P212" s="5" t="str">
        <f aca="false">IF(A212="","",H212/90)</f>
        <v/>
      </c>
      <c r="Q212" s="5" t="str">
        <f aca="false">IF(A212="","",IFERROR(INDEX(Parâmetros!$C$6:$C$10,MATCH(F212,Parâmetros!$B$6:$B$10,0)),""))</f>
        <v/>
      </c>
      <c r="R212" s="5" t="str">
        <f aca="false">IF(OR(A212="",P212="",Q212=""),"",P212*Q212)</f>
        <v/>
      </c>
      <c r="S212" s="5" t="str">
        <f aca="false">IF(R212="","",MAX(0,R212-G212))</f>
        <v/>
      </c>
      <c r="T212" s="21" t="str">
        <f aca="false">IF(S212="","",S212*K212)</f>
        <v/>
      </c>
      <c r="U212" s="5" t="str">
        <f aca="false">IF(A212="","",IF(J212&gt;Parâmetros!$C$14,"SIM","NAO"))</f>
        <v/>
      </c>
      <c r="V212" s="5" t="str">
        <f aca="false">IF(B212="","",TRIM(LEFT(B212,IFERROR(FIND(" ",B212)-1,LEN(B212)))))</f>
        <v/>
      </c>
      <c r="W212" s="22"/>
      <c r="X212" s="5" t="str">
        <f aca="false">IF(A212="","",IF(W212&lt;&gt;"",W212,V212))</f>
        <v/>
      </c>
      <c r="Y212" s="5" t="str">
        <f aca="false">IF(A212="","",IF(COUNTIFS($X$2:$X$2001,X212,$D$2:$D$2001,"&lt;&gt;"&amp;D212,$C$2:$C$2001,C212)&gt;0,"SIM","NAO"))</f>
        <v/>
      </c>
      <c r="Z212" s="5" t="str">
        <f aca="false">IF(A212="","",IF(J212="","",IFERROR(360/J212,"")))</f>
        <v/>
      </c>
      <c r="AA212" s="5" t="str">
        <f aca="false">IF(A212="","",IF(H212=0,"Parado (sem venda 90d)",IF(Z212&gt;12,"Alto (&gt;12x/ano)",IF(Z212&gt;=4,"Medio (4-12x/ano)","Baixo (&lt;4x/ano)"))))</f>
        <v/>
      </c>
    </row>
    <row r="213" customFormat="false" ht="15" hidden="false" customHeight="true" outlineLevel="0" collapsed="false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18"/>
      <c r="L213" s="19" t="str">
        <f aca="false">IF(A213="","",G213*K213)</f>
        <v/>
      </c>
      <c r="M213" s="20"/>
      <c r="N213" s="6"/>
      <c r="O213" s="6"/>
      <c r="P213" s="5" t="str">
        <f aca="false">IF(A213="","",H213/90)</f>
        <v/>
      </c>
      <c r="Q213" s="5" t="str">
        <f aca="false">IF(A213="","",IFERROR(INDEX(Parâmetros!$C$6:$C$10,MATCH(F213,Parâmetros!$B$6:$B$10,0)),""))</f>
        <v/>
      </c>
      <c r="R213" s="5" t="str">
        <f aca="false">IF(OR(A213="",P213="",Q213=""),"",P213*Q213)</f>
        <v/>
      </c>
      <c r="S213" s="5" t="str">
        <f aca="false">IF(R213="","",MAX(0,R213-G213))</f>
        <v/>
      </c>
      <c r="T213" s="21" t="str">
        <f aca="false">IF(S213="","",S213*K213)</f>
        <v/>
      </c>
      <c r="U213" s="5" t="str">
        <f aca="false">IF(A213="","",IF(J213&gt;Parâmetros!$C$14,"SIM","NAO"))</f>
        <v/>
      </c>
      <c r="V213" s="5" t="str">
        <f aca="false">IF(B213="","",TRIM(LEFT(B213,IFERROR(FIND(" ",B213)-1,LEN(B213)))))</f>
        <v/>
      </c>
      <c r="W213" s="22"/>
      <c r="X213" s="5" t="str">
        <f aca="false">IF(A213="","",IF(W213&lt;&gt;"",W213,V213))</f>
        <v/>
      </c>
      <c r="Y213" s="5" t="str">
        <f aca="false">IF(A213="","",IF(COUNTIFS($X$2:$X$2001,X213,$D$2:$D$2001,"&lt;&gt;"&amp;D213,$C$2:$C$2001,C213)&gt;0,"SIM","NAO"))</f>
        <v/>
      </c>
      <c r="Z213" s="5" t="str">
        <f aca="false">IF(A213="","",IF(J213="","",IFERROR(360/J213,"")))</f>
        <v/>
      </c>
      <c r="AA213" s="5" t="str">
        <f aca="false">IF(A213="","",IF(H213=0,"Parado (sem venda 90d)",IF(Z213&gt;12,"Alto (&gt;12x/ano)",IF(Z213&gt;=4,"Medio (4-12x/ano)","Baixo (&lt;4x/ano)"))))</f>
        <v/>
      </c>
    </row>
    <row r="214" customFormat="false" ht="15" hidden="false" customHeight="true" outlineLevel="0" collapsed="false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18"/>
      <c r="L214" s="19" t="str">
        <f aca="false">IF(A214="","",G214*K214)</f>
        <v/>
      </c>
      <c r="M214" s="20"/>
      <c r="N214" s="6"/>
      <c r="O214" s="6"/>
      <c r="P214" s="5" t="str">
        <f aca="false">IF(A214="","",H214/90)</f>
        <v/>
      </c>
      <c r="Q214" s="5" t="str">
        <f aca="false">IF(A214="","",IFERROR(INDEX(Parâmetros!$C$6:$C$10,MATCH(F214,Parâmetros!$B$6:$B$10,0)),""))</f>
        <v/>
      </c>
      <c r="R214" s="5" t="str">
        <f aca="false">IF(OR(A214="",P214="",Q214=""),"",P214*Q214)</f>
        <v/>
      </c>
      <c r="S214" s="5" t="str">
        <f aca="false">IF(R214="","",MAX(0,R214-G214))</f>
        <v/>
      </c>
      <c r="T214" s="21" t="str">
        <f aca="false">IF(S214="","",S214*K214)</f>
        <v/>
      </c>
      <c r="U214" s="5" t="str">
        <f aca="false">IF(A214="","",IF(J214&gt;Parâmetros!$C$14,"SIM","NAO"))</f>
        <v/>
      </c>
      <c r="V214" s="5" t="str">
        <f aca="false">IF(B214="","",TRIM(LEFT(B214,IFERROR(FIND(" ",B214)-1,LEN(B214)))))</f>
        <v/>
      </c>
      <c r="W214" s="22"/>
      <c r="X214" s="5" t="str">
        <f aca="false">IF(A214="","",IF(W214&lt;&gt;"",W214,V214))</f>
        <v/>
      </c>
      <c r="Y214" s="5" t="str">
        <f aca="false">IF(A214="","",IF(COUNTIFS($X$2:$X$2001,X214,$D$2:$D$2001,"&lt;&gt;"&amp;D214,$C$2:$C$2001,C214)&gt;0,"SIM","NAO"))</f>
        <v/>
      </c>
      <c r="Z214" s="5" t="str">
        <f aca="false">IF(A214="","",IF(J214="","",IFERROR(360/J214,"")))</f>
        <v/>
      </c>
      <c r="AA214" s="5" t="str">
        <f aca="false">IF(A214="","",IF(H214=0,"Parado (sem venda 90d)",IF(Z214&gt;12,"Alto (&gt;12x/ano)",IF(Z214&gt;=4,"Medio (4-12x/ano)","Baixo (&lt;4x/ano)"))))</f>
        <v/>
      </c>
    </row>
    <row r="215" customFormat="false" ht="15" hidden="false" customHeight="true" outlineLevel="0" collapsed="false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18"/>
      <c r="L215" s="19" t="str">
        <f aca="false">IF(A215="","",G215*K215)</f>
        <v/>
      </c>
      <c r="M215" s="20"/>
      <c r="N215" s="6"/>
      <c r="O215" s="6"/>
      <c r="P215" s="5" t="str">
        <f aca="false">IF(A215="","",H215/90)</f>
        <v/>
      </c>
      <c r="Q215" s="5" t="str">
        <f aca="false">IF(A215="","",IFERROR(INDEX(Parâmetros!$C$6:$C$10,MATCH(F215,Parâmetros!$B$6:$B$10,0)),""))</f>
        <v/>
      </c>
      <c r="R215" s="5" t="str">
        <f aca="false">IF(OR(A215="",P215="",Q215=""),"",P215*Q215)</f>
        <v/>
      </c>
      <c r="S215" s="5" t="str">
        <f aca="false">IF(R215="","",MAX(0,R215-G215))</f>
        <v/>
      </c>
      <c r="T215" s="21" t="str">
        <f aca="false">IF(S215="","",S215*K215)</f>
        <v/>
      </c>
      <c r="U215" s="5" t="str">
        <f aca="false">IF(A215="","",IF(J215&gt;Parâmetros!$C$14,"SIM","NAO"))</f>
        <v/>
      </c>
      <c r="V215" s="5" t="str">
        <f aca="false">IF(B215="","",TRIM(LEFT(B215,IFERROR(FIND(" ",B215)-1,LEN(B215)))))</f>
        <v/>
      </c>
      <c r="W215" s="22"/>
      <c r="X215" s="5" t="str">
        <f aca="false">IF(A215="","",IF(W215&lt;&gt;"",W215,V215))</f>
        <v/>
      </c>
      <c r="Y215" s="5" t="str">
        <f aca="false">IF(A215="","",IF(COUNTIFS($X$2:$X$2001,X215,$D$2:$D$2001,"&lt;&gt;"&amp;D215,$C$2:$C$2001,C215)&gt;0,"SIM","NAO"))</f>
        <v/>
      </c>
      <c r="Z215" s="5" t="str">
        <f aca="false">IF(A215="","",IF(J215="","",IFERROR(360/J215,"")))</f>
        <v/>
      </c>
      <c r="AA215" s="5" t="str">
        <f aca="false">IF(A215="","",IF(H215=0,"Parado (sem venda 90d)",IF(Z215&gt;12,"Alto (&gt;12x/ano)",IF(Z215&gt;=4,"Medio (4-12x/ano)","Baixo (&lt;4x/ano)"))))</f>
        <v/>
      </c>
    </row>
    <row r="216" customFormat="false" ht="15" hidden="false" customHeight="true" outlineLevel="0" collapsed="false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18"/>
      <c r="L216" s="19" t="str">
        <f aca="false">IF(A216="","",G216*K216)</f>
        <v/>
      </c>
      <c r="M216" s="20"/>
      <c r="N216" s="6"/>
      <c r="O216" s="6"/>
      <c r="P216" s="5" t="str">
        <f aca="false">IF(A216="","",H216/90)</f>
        <v/>
      </c>
      <c r="Q216" s="5" t="str">
        <f aca="false">IF(A216="","",IFERROR(INDEX(Parâmetros!$C$6:$C$10,MATCH(F216,Parâmetros!$B$6:$B$10,0)),""))</f>
        <v/>
      </c>
      <c r="R216" s="5" t="str">
        <f aca="false">IF(OR(A216="",P216="",Q216=""),"",P216*Q216)</f>
        <v/>
      </c>
      <c r="S216" s="5" t="str">
        <f aca="false">IF(R216="","",MAX(0,R216-G216))</f>
        <v/>
      </c>
      <c r="T216" s="21" t="str">
        <f aca="false">IF(S216="","",S216*K216)</f>
        <v/>
      </c>
      <c r="U216" s="5" t="str">
        <f aca="false">IF(A216="","",IF(J216&gt;Parâmetros!$C$14,"SIM","NAO"))</f>
        <v/>
      </c>
      <c r="V216" s="5" t="str">
        <f aca="false">IF(B216="","",TRIM(LEFT(B216,IFERROR(FIND(" ",B216)-1,LEN(B216)))))</f>
        <v/>
      </c>
      <c r="W216" s="22"/>
      <c r="X216" s="5" t="str">
        <f aca="false">IF(A216="","",IF(W216&lt;&gt;"",W216,V216))</f>
        <v/>
      </c>
      <c r="Y216" s="5" t="str">
        <f aca="false">IF(A216="","",IF(COUNTIFS($X$2:$X$2001,X216,$D$2:$D$2001,"&lt;&gt;"&amp;D216,$C$2:$C$2001,C216)&gt;0,"SIM","NAO"))</f>
        <v/>
      </c>
      <c r="Z216" s="5" t="str">
        <f aca="false">IF(A216="","",IF(J216="","",IFERROR(360/J216,"")))</f>
        <v/>
      </c>
      <c r="AA216" s="5" t="str">
        <f aca="false">IF(A216="","",IF(H216=0,"Parado (sem venda 90d)",IF(Z216&gt;12,"Alto (&gt;12x/ano)",IF(Z216&gt;=4,"Medio (4-12x/ano)","Baixo (&lt;4x/ano)"))))</f>
        <v/>
      </c>
    </row>
    <row r="217" customFormat="false" ht="15" hidden="false" customHeight="true" outlineLevel="0" collapsed="false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18"/>
      <c r="L217" s="19" t="str">
        <f aca="false">IF(A217="","",G217*K217)</f>
        <v/>
      </c>
      <c r="M217" s="20"/>
      <c r="N217" s="6"/>
      <c r="O217" s="6"/>
      <c r="P217" s="5" t="str">
        <f aca="false">IF(A217="","",H217/90)</f>
        <v/>
      </c>
      <c r="Q217" s="5" t="str">
        <f aca="false">IF(A217="","",IFERROR(INDEX(Parâmetros!$C$6:$C$10,MATCH(F217,Parâmetros!$B$6:$B$10,0)),""))</f>
        <v/>
      </c>
      <c r="R217" s="5" t="str">
        <f aca="false">IF(OR(A217="",P217="",Q217=""),"",P217*Q217)</f>
        <v/>
      </c>
      <c r="S217" s="5" t="str">
        <f aca="false">IF(R217="","",MAX(0,R217-G217))</f>
        <v/>
      </c>
      <c r="T217" s="21" t="str">
        <f aca="false">IF(S217="","",S217*K217)</f>
        <v/>
      </c>
      <c r="U217" s="5" t="str">
        <f aca="false">IF(A217="","",IF(J217&gt;Parâmetros!$C$14,"SIM","NAO"))</f>
        <v/>
      </c>
      <c r="V217" s="5" t="str">
        <f aca="false">IF(B217="","",TRIM(LEFT(B217,IFERROR(FIND(" ",B217)-1,LEN(B217)))))</f>
        <v/>
      </c>
      <c r="W217" s="22"/>
      <c r="X217" s="5" t="str">
        <f aca="false">IF(A217="","",IF(W217&lt;&gt;"",W217,V217))</f>
        <v/>
      </c>
      <c r="Y217" s="5" t="str">
        <f aca="false">IF(A217="","",IF(COUNTIFS($X$2:$X$2001,X217,$D$2:$D$2001,"&lt;&gt;"&amp;D217,$C$2:$C$2001,C217)&gt;0,"SIM","NAO"))</f>
        <v/>
      </c>
      <c r="Z217" s="5" t="str">
        <f aca="false">IF(A217="","",IF(J217="","",IFERROR(360/J217,"")))</f>
        <v/>
      </c>
      <c r="AA217" s="5" t="str">
        <f aca="false">IF(A217="","",IF(H217=0,"Parado (sem venda 90d)",IF(Z217&gt;12,"Alto (&gt;12x/ano)",IF(Z217&gt;=4,"Medio (4-12x/ano)","Baixo (&lt;4x/ano)"))))</f>
        <v/>
      </c>
    </row>
    <row r="218" customFormat="false" ht="15" hidden="false" customHeight="true" outlineLevel="0" collapsed="false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18"/>
      <c r="L218" s="19" t="str">
        <f aca="false">IF(A218="","",G218*K218)</f>
        <v/>
      </c>
      <c r="M218" s="20"/>
      <c r="N218" s="6"/>
      <c r="O218" s="6"/>
      <c r="P218" s="5" t="str">
        <f aca="false">IF(A218="","",H218/90)</f>
        <v/>
      </c>
      <c r="Q218" s="5" t="str">
        <f aca="false">IF(A218="","",IFERROR(INDEX(Parâmetros!$C$6:$C$10,MATCH(F218,Parâmetros!$B$6:$B$10,0)),""))</f>
        <v/>
      </c>
      <c r="R218" s="5" t="str">
        <f aca="false">IF(OR(A218="",P218="",Q218=""),"",P218*Q218)</f>
        <v/>
      </c>
      <c r="S218" s="5" t="str">
        <f aca="false">IF(R218="","",MAX(0,R218-G218))</f>
        <v/>
      </c>
      <c r="T218" s="21" t="str">
        <f aca="false">IF(S218="","",S218*K218)</f>
        <v/>
      </c>
      <c r="U218" s="5" t="str">
        <f aca="false">IF(A218="","",IF(J218&gt;Parâmetros!$C$14,"SIM","NAO"))</f>
        <v/>
      </c>
      <c r="V218" s="5" t="str">
        <f aca="false">IF(B218="","",TRIM(LEFT(B218,IFERROR(FIND(" ",B218)-1,LEN(B218)))))</f>
        <v/>
      </c>
      <c r="W218" s="22"/>
      <c r="X218" s="5" t="str">
        <f aca="false">IF(A218="","",IF(W218&lt;&gt;"",W218,V218))</f>
        <v/>
      </c>
      <c r="Y218" s="5" t="str">
        <f aca="false">IF(A218="","",IF(COUNTIFS($X$2:$X$2001,X218,$D$2:$D$2001,"&lt;&gt;"&amp;D218,$C$2:$C$2001,C218)&gt;0,"SIM","NAO"))</f>
        <v/>
      </c>
      <c r="Z218" s="5" t="str">
        <f aca="false">IF(A218="","",IF(J218="","",IFERROR(360/J218,"")))</f>
        <v/>
      </c>
      <c r="AA218" s="5" t="str">
        <f aca="false">IF(A218="","",IF(H218=0,"Parado (sem venda 90d)",IF(Z218&gt;12,"Alto (&gt;12x/ano)",IF(Z218&gt;=4,"Medio (4-12x/ano)","Baixo (&lt;4x/ano)"))))</f>
        <v/>
      </c>
    </row>
    <row r="219" customFormat="false" ht="15" hidden="false" customHeight="true" outlineLevel="0" collapsed="false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18"/>
      <c r="L219" s="19" t="str">
        <f aca="false">IF(A219="","",G219*K219)</f>
        <v/>
      </c>
      <c r="M219" s="20"/>
      <c r="N219" s="6"/>
      <c r="O219" s="6"/>
      <c r="P219" s="5" t="str">
        <f aca="false">IF(A219="","",H219/90)</f>
        <v/>
      </c>
      <c r="Q219" s="5" t="str">
        <f aca="false">IF(A219="","",IFERROR(INDEX(Parâmetros!$C$6:$C$10,MATCH(F219,Parâmetros!$B$6:$B$10,0)),""))</f>
        <v/>
      </c>
      <c r="R219" s="5" t="str">
        <f aca="false">IF(OR(A219="",P219="",Q219=""),"",P219*Q219)</f>
        <v/>
      </c>
      <c r="S219" s="5" t="str">
        <f aca="false">IF(R219="","",MAX(0,R219-G219))</f>
        <v/>
      </c>
      <c r="T219" s="21" t="str">
        <f aca="false">IF(S219="","",S219*K219)</f>
        <v/>
      </c>
      <c r="U219" s="5" t="str">
        <f aca="false">IF(A219="","",IF(J219&gt;Parâmetros!$C$14,"SIM","NAO"))</f>
        <v/>
      </c>
      <c r="V219" s="5" t="str">
        <f aca="false">IF(B219="","",TRIM(LEFT(B219,IFERROR(FIND(" ",B219)-1,LEN(B219)))))</f>
        <v/>
      </c>
      <c r="W219" s="22"/>
      <c r="X219" s="5" t="str">
        <f aca="false">IF(A219="","",IF(W219&lt;&gt;"",W219,V219))</f>
        <v/>
      </c>
      <c r="Y219" s="5" t="str">
        <f aca="false">IF(A219="","",IF(COUNTIFS($X$2:$X$2001,X219,$D$2:$D$2001,"&lt;&gt;"&amp;D219,$C$2:$C$2001,C219)&gt;0,"SIM","NAO"))</f>
        <v/>
      </c>
      <c r="Z219" s="5" t="str">
        <f aca="false">IF(A219="","",IF(J219="","",IFERROR(360/J219,"")))</f>
        <v/>
      </c>
      <c r="AA219" s="5" t="str">
        <f aca="false">IF(A219="","",IF(H219=0,"Parado (sem venda 90d)",IF(Z219&gt;12,"Alto (&gt;12x/ano)",IF(Z219&gt;=4,"Medio (4-12x/ano)","Baixo (&lt;4x/ano)"))))</f>
        <v/>
      </c>
    </row>
    <row r="220" customFormat="false" ht="15" hidden="false" customHeight="true" outlineLevel="0" collapsed="false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18"/>
      <c r="L220" s="19" t="str">
        <f aca="false">IF(A220="","",G220*K220)</f>
        <v/>
      </c>
      <c r="M220" s="20"/>
      <c r="N220" s="6"/>
      <c r="O220" s="6"/>
      <c r="P220" s="5" t="str">
        <f aca="false">IF(A220="","",H220/90)</f>
        <v/>
      </c>
      <c r="Q220" s="5" t="str">
        <f aca="false">IF(A220="","",IFERROR(INDEX(Parâmetros!$C$6:$C$10,MATCH(F220,Parâmetros!$B$6:$B$10,0)),""))</f>
        <v/>
      </c>
      <c r="R220" s="5" t="str">
        <f aca="false">IF(OR(A220="",P220="",Q220=""),"",P220*Q220)</f>
        <v/>
      </c>
      <c r="S220" s="5" t="str">
        <f aca="false">IF(R220="","",MAX(0,R220-G220))</f>
        <v/>
      </c>
      <c r="T220" s="21" t="str">
        <f aca="false">IF(S220="","",S220*K220)</f>
        <v/>
      </c>
      <c r="U220" s="5" t="str">
        <f aca="false">IF(A220="","",IF(J220&gt;Parâmetros!$C$14,"SIM","NAO"))</f>
        <v/>
      </c>
      <c r="V220" s="5" t="str">
        <f aca="false">IF(B220="","",TRIM(LEFT(B220,IFERROR(FIND(" ",B220)-1,LEN(B220)))))</f>
        <v/>
      </c>
      <c r="W220" s="22"/>
      <c r="X220" s="5" t="str">
        <f aca="false">IF(A220="","",IF(W220&lt;&gt;"",W220,V220))</f>
        <v/>
      </c>
      <c r="Y220" s="5" t="str">
        <f aca="false">IF(A220="","",IF(COUNTIFS($X$2:$X$2001,X220,$D$2:$D$2001,"&lt;&gt;"&amp;D220,$C$2:$C$2001,C220)&gt;0,"SIM","NAO"))</f>
        <v/>
      </c>
      <c r="Z220" s="5" t="str">
        <f aca="false">IF(A220="","",IF(J220="","",IFERROR(360/J220,"")))</f>
        <v/>
      </c>
      <c r="AA220" s="5" t="str">
        <f aca="false">IF(A220="","",IF(H220=0,"Parado (sem venda 90d)",IF(Z220&gt;12,"Alto (&gt;12x/ano)",IF(Z220&gt;=4,"Medio (4-12x/ano)","Baixo (&lt;4x/ano)"))))</f>
        <v/>
      </c>
    </row>
    <row r="221" customFormat="false" ht="15" hidden="false" customHeight="true" outlineLevel="0" collapsed="false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18"/>
      <c r="L221" s="19" t="str">
        <f aca="false">IF(A221="","",G221*K221)</f>
        <v/>
      </c>
      <c r="M221" s="20"/>
      <c r="N221" s="6"/>
      <c r="O221" s="6"/>
      <c r="P221" s="5" t="str">
        <f aca="false">IF(A221="","",H221/90)</f>
        <v/>
      </c>
      <c r="Q221" s="5" t="str">
        <f aca="false">IF(A221="","",IFERROR(INDEX(Parâmetros!$C$6:$C$10,MATCH(F221,Parâmetros!$B$6:$B$10,0)),""))</f>
        <v/>
      </c>
      <c r="R221" s="5" t="str">
        <f aca="false">IF(OR(A221="",P221="",Q221=""),"",P221*Q221)</f>
        <v/>
      </c>
      <c r="S221" s="5" t="str">
        <f aca="false">IF(R221="","",MAX(0,R221-G221))</f>
        <v/>
      </c>
      <c r="T221" s="21" t="str">
        <f aca="false">IF(S221="","",S221*K221)</f>
        <v/>
      </c>
      <c r="U221" s="5" t="str">
        <f aca="false">IF(A221="","",IF(J221&gt;Parâmetros!$C$14,"SIM","NAO"))</f>
        <v/>
      </c>
      <c r="V221" s="5" t="str">
        <f aca="false">IF(B221="","",TRIM(LEFT(B221,IFERROR(FIND(" ",B221)-1,LEN(B221)))))</f>
        <v/>
      </c>
      <c r="W221" s="22"/>
      <c r="X221" s="5" t="str">
        <f aca="false">IF(A221="","",IF(W221&lt;&gt;"",W221,V221))</f>
        <v/>
      </c>
      <c r="Y221" s="5" t="str">
        <f aca="false">IF(A221="","",IF(COUNTIFS($X$2:$X$2001,X221,$D$2:$D$2001,"&lt;&gt;"&amp;D221,$C$2:$C$2001,C221)&gt;0,"SIM","NAO"))</f>
        <v/>
      </c>
      <c r="Z221" s="5" t="str">
        <f aca="false">IF(A221="","",IF(J221="","",IFERROR(360/J221,"")))</f>
        <v/>
      </c>
      <c r="AA221" s="5" t="str">
        <f aca="false">IF(A221="","",IF(H221=0,"Parado (sem venda 90d)",IF(Z221&gt;12,"Alto (&gt;12x/ano)",IF(Z221&gt;=4,"Medio (4-12x/ano)","Baixo (&lt;4x/ano)"))))</f>
        <v/>
      </c>
    </row>
    <row r="222" customFormat="false" ht="15" hidden="false" customHeight="true" outlineLevel="0" collapsed="false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18"/>
      <c r="L222" s="19" t="str">
        <f aca="false">IF(A222="","",G222*K222)</f>
        <v/>
      </c>
      <c r="M222" s="20"/>
      <c r="N222" s="6"/>
      <c r="O222" s="6"/>
      <c r="P222" s="5" t="str">
        <f aca="false">IF(A222="","",H222/90)</f>
        <v/>
      </c>
      <c r="Q222" s="5" t="str">
        <f aca="false">IF(A222="","",IFERROR(INDEX(Parâmetros!$C$6:$C$10,MATCH(F222,Parâmetros!$B$6:$B$10,0)),""))</f>
        <v/>
      </c>
      <c r="R222" s="5" t="str">
        <f aca="false">IF(OR(A222="",P222="",Q222=""),"",P222*Q222)</f>
        <v/>
      </c>
      <c r="S222" s="5" t="str">
        <f aca="false">IF(R222="","",MAX(0,R222-G222))</f>
        <v/>
      </c>
      <c r="T222" s="21" t="str">
        <f aca="false">IF(S222="","",S222*K222)</f>
        <v/>
      </c>
      <c r="U222" s="5" t="str">
        <f aca="false">IF(A222="","",IF(J222&gt;Parâmetros!$C$14,"SIM","NAO"))</f>
        <v/>
      </c>
      <c r="V222" s="5" t="str">
        <f aca="false">IF(B222="","",TRIM(LEFT(B222,IFERROR(FIND(" ",B222)-1,LEN(B222)))))</f>
        <v/>
      </c>
      <c r="W222" s="22"/>
      <c r="X222" s="5" t="str">
        <f aca="false">IF(A222="","",IF(W222&lt;&gt;"",W222,V222))</f>
        <v/>
      </c>
      <c r="Y222" s="5" t="str">
        <f aca="false">IF(A222="","",IF(COUNTIFS($X$2:$X$2001,X222,$D$2:$D$2001,"&lt;&gt;"&amp;D222,$C$2:$C$2001,C222)&gt;0,"SIM","NAO"))</f>
        <v/>
      </c>
      <c r="Z222" s="5" t="str">
        <f aca="false">IF(A222="","",IF(J222="","",IFERROR(360/J222,"")))</f>
        <v/>
      </c>
      <c r="AA222" s="5" t="str">
        <f aca="false">IF(A222="","",IF(H222=0,"Parado (sem venda 90d)",IF(Z222&gt;12,"Alto (&gt;12x/ano)",IF(Z222&gt;=4,"Medio (4-12x/ano)","Baixo (&lt;4x/ano)"))))</f>
        <v/>
      </c>
    </row>
    <row r="223" customFormat="false" ht="15" hidden="false" customHeight="true" outlineLevel="0" collapsed="false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18"/>
      <c r="L223" s="19" t="str">
        <f aca="false">IF(A223="","",G223*K223)</f>
        <v/>
      </c>
      <c r="M223" s="20"/>
      <c r="N223" s="6"/>
      <c r="O223" s="6"/>
      <c r="P223" s="5" t="str">
        <f aca="false">IF(A223="","",H223/90)</f>
        <v/>
      </c>
      <c r="Q223" s="5" t="str">
        <f aca="false">IF(A223="","",IFERROR(INDEX(Parâmetros!$C$6:$C$10,MATCH(F223,Parâmetros!$B$6:$B$10,0)),""))</f>
        <v/>
      </c>
      <c r="R223" s="5" t="str">
        <f aca="false">IF(OR(A223="",P223="",Q223=""),"",P223*Q223)</f>
        <v/>
      </c>
      <c r="S223" s="5" t="str">
        <f aca="false">IF(R223="","",MAX(0,R223-G223))</f>
        <v/>
      </c>
      <c r="T223" s="21" t="str">
        <f aca="false">IF(S223="","",S223*K223)</f>
        <v/>
      </c>
      <c r="U223" s="5" t="str">
        <f aca="false">IF(A223="","",IF(J223&gt;Parâmetros!$C$14,"SIM","NAO"))</f>
        <v/>
      </c>
      <c r="V223" s="5" t="str">
        <f aca="false">IF(B223="","",TRIM(LEFT(B223,IFERROR(FIND(" ",B223)-1,LEN(B223)))))</f>
        <v/>
      </c>
      <c r="W223" s="22"/>
      <c r="X223" s="5" t="str">
        <f aca="false">IF(A223="","",IF(W223&lt;&gt;"",W223,V223))</f>
        <v/>
      </c>
      <c r="Y223" s="5" t="str">
        <f aca="false">IF(A223="","",IF(COUNTIFS($X$2:$X$2001,X223,$D$2:$D$2001,"&lt;&gt;"&amp;D223,$C$2:$C$2001,C223)&gt;0,"SIM","NAO"))</f>
        <v/>
      </c>
      <c r="Z223" s="5" t="str">
        <f aca="false">IF(A223="","",IF(J223="","",IFERROR(360/J223,"")))</f>
        <v/>
      </c>
      <c r="AA223" s="5" t="str">
        <f aca="false">IF(A223="","",IF(H223=0,"Parado (sem venda 90d)",IF(Z223&gt;12,"Alto (&gt;12x/ano)",IF(Z223&gt;=4,"Medio (4-12x/ano)","Baixo (&lt;4x/ano)"))))</f>
        <v/>
      </c>
    </row>
    <row r="224" customFormat="false" ht="15" hidden="false" customHeight="true" outlineLevel="0" collapsed="false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18"/>
      <c r="L224" s="19" t="str">
        <f aca="false">IF(A224="","",G224*K224)</f>
        <v/>
      </c>
      <c r="M224" s="20"/>
      <c r="N224" s="6"/>
      <c r="O224" s="6"/>
      <c r="P224" s="5" t="str">
        <f aca="false">IF(A224="","",H224/90)</f>
        <v/>
      </c>
      <c r="Q224" s="5" t="str">
        <f aca="false">IF(A224="","",IFERROR(INDEX(Parâmetros!$C$6:$C$10,MATCH(F224,Parâmetros!$B$6:$B$10,0)),""))</f>
        <v/>
      </c>
      <c r="R224" s="5" t="str">
        <f aca="false">IF(OR(A224="",P224="",Q224=""),"",P224*Q224)</f>
        <v/>
      </c>
      <c r="S224" s="5" t="str">
        <f aca="false">IF(R224="","",MAX(0,R224-G224))</f>
        <v/>
      </c>
      <c r="T224" s="21" t="str">
        <f aca="false">IF(S224="","",S224*K224)</f>
        <v/>
      </c>
      <c r="U224" s="5" t="str">
        <f aca="false">IF(A224="","",IF(J224&gt;Parâmetros!$C$14,"SIM","NAO"))</f>
        <v/>
      </c>
      <c r="V224" s="5" t="str">
        <f aca="false">IF(B224="","",TRIM(LEFT(B224,IFERROR(FIND(" ",B224)-1,LEN(B224)))))</f>
        <v/>
      </c>
      <c r="W224" s="22"/>
      <c r="X224" s="5" t="str">
        <f aca="false">IF(A224="","",IF(W224&lt;&gt;"",W224,V224))</f>
        <v/>
      </c>
      <c r="Y224" s="5" t="str">
        <f aca="false">IF(A224="","",IF(COUNTIFS($X$2:$X$2001,X224,$D$2:$D$2001,"&lt;&gt;"&amp;D224,$C$2:$C$2001,C224)&gt;0,"SIM","NAO"))</f>
        <v/>
      </c>
      <c r="Z224" s="5" t="str">
        <f aca="false">IF(A224="","",IF(J224="","",IFERROR(360/J224,"")))</f>
        <v/>
      </c>
      <c r="AA224" s="5" t="str">
        <f aca="false">IF(A224="","",IF(H224=0,"Parado (sem venda 90d)",IF(Z224&gt;12,"Alto (&gt;12x/ano)",IF(Z224&gt;=4,"Medio (4-12x/ano)","Baixo (&lt;4x/ano)"))))</f>
        <v/>
      </c>
    </row>
    <row r="225" customFormat="false" ht="15" hidden="false" customHeight="true" outlineLevel="0" collapsed="false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18"/>
      <c r="L225" s="19" t="str">
        <f aca="false">IF(A225="","",G225*K225)</f>
        <v/>
      </c>
      <c r="M225" s="20"/>
      <c r="N225" s="6"/>
      <c r="O225" s="6"/>
      <c r="P225" s="5" t="str">
        <f aca="false">IF(A225="","",H225/90)</f>
        <v/>
      </c>
      <c r="Q225" s="5" t="str">
        <f aca="false">IF(A225="","",IFERROR(INDEX(Parâmetros!$C$6:$C$10,MATCH(F225,Parâmetros!$B$6:$B$10,0)),""))</f>
        <v/>
      </c>
      <c r="R225" s="5" t="str">
        <f aca="false">IF(OR(A225="",P225="",Q225=""),"",P225*Q225)</f>
        <v/>
      </c>
      <c r="S225" s="5" t="str">
        <f aca="false">IF(R225="","",MAX(0,R225-G225))</f>
        <v/>
      </c>
      <c r="T225" s="21" t="str">
        <f aca="false">IF(S225="","",S225*K225)</f>
        <v/>
      </c>
      <c r="U225" s="5" t="str">
        <f aca="false">IF(A225="","",IF(J225&gt;Parâmetros!$C$14,"SIM","NAO"))</f>
        <v/>
      </c>
      <c r="V225" s="5" t="str">
        <f aca="false">IF(B225="","",TRIM(LEFT(B225,IFERROR(FIND(" ",B225)-1,LEN(B225)))))</f>
        <v/>
      </c>
      <c r="W225" s="22"/>
      <c r="X225" s="5" t="str">
        <f aca="false">IF(A225="","",IF(W225&lt;&gt;"",W225,V225))</f>
        <v/>
      </c>
      <c r="Y225" s="5" t="str">
        <f aca="false">IF(A225="","",IF(COUNTIFS($X$2:$X$2001,X225,$D$2:$D$2001,"&lt;&gt;"&amp;D225,$C$2:$C$2001,C225)&gt;0,"SIM","NAO"))</f>
        <v/>
      </c>
      <c r="Z225" s="5" t="str">
        <f aca="false">IF(A225="","",IF(J225="","",IFERROR(360/J225,"")))</f>
        <v/>
      </c>
      <c r="AA225" s="5" t="str">
        <f aca="false">IF(A225="","",IF(H225=0,"Parado (sem venda 90d)",IF(Z225&gt;12,"Alto (&gt;12x/ano)",IF(Z225&gt;=4,"Medio (4-12x/ano)","Baixo (&lt;4x/ano)"))))</f>
        <v/>
      </c>
    </row>
    <row r="226" customFormat="false" ht="15" hidden="false" customHeight="true" outlineLevel="0" collapsed="false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18"/>
      <c r="L226" s="19" t="str">
        <f aca="false">IF(A226="","",G226*K226)</f>
        <v/>
      </c>
      <c r="M226" s="20"/>
      <c r="N226" s="6"/>
      <c r="O226" s="6"/>
      <c r="P226" s="5" t="str">
        <f aca="false">IF(A226="","",H226/90)</f>
        <v/>
      </c>
      <c r="Q226" s="5" t="str">
        <f aca="false">IF(A226="","",IFERROR(INDEX(Parâmetros!$C$6:$C$10,MATCH(F226,Parâmetros!$B$6:$B$10,0)),""))</f>
        <v/>
      </c>
      <c r="R226" s="5" t="str">
        <f aca="false">IF(OR(A226="",P226="",Q226=""),"",P226*Q226)</f>
        <v/>
      </c>
      <c r="S226" s="5" t="str">
        <f aca="false">IF(R226="","",MAX(0,R226-G226))</f>
        <v/>
      </c>
      <c r="T226" s="21" t="str">
        <f aca="false">IF(S226="","",S226*K226)</f>
        <v/>
      </c>
      <c r="U226" s="5" t="str">
        <f aca="false">IF(A226="","",IF(J226&gt;Parâmetros!$C$14,"SIM","NAO"))</f>
        <v/>
      </c>
      <c r="V226" s="5" t="str">
        <f aca="false">IF(B226="","",TRIM(LEFT(B226,IFERROR(FIND(" ",B226)-1,LEN(B226)))))</f>
        <v/>
      </c>
      <c r="W226" s="22"/>
      <c r="X226" s="5" t="str">
        <f aca="false">IF(A226="","",IF(W226&lt;&gt;"",W226,V226))</f>
        <v/>
      </c>
      <c r="Y226" s="5" t="str">
        <f aca="false">IF(A226="","",IF(COUNTIFS($X$2:$X$2001,X226,$D$2:$D$2001,"&lt;&gt;"&amp;D226,$C$2:$C$2001,C226)&gt;0,"SIM","NAO"))</f>
        <v/>
      </c>
      <c r="Z226" s="5" t="str">
        <f aca="false">IF(A226="","",IF(J226="","",IFERROR(360/J226,"")))</f>
        <v/>
      </c>
      <c r="AA226" s="5" t="str">
        <f aca="false">IF(A226="","",IF(H226=0,"Parado (sem venda 90d)",IF(Z226&gt;12,"Alto (&gt;12x/ano)",IF(Z226&gt;=4,"Medio (4-12x/ano)","Baixo (&lt;4x/ano)"))))</f>
        <v/>
      </c>
    </row>
    <row r="227" customFormat="false" ht="15" hidden="false" customHeight="true" outlineLevel="0" collapsed="false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18"/>
      <c r="L227" s="19" t="str">
        <f aca="false">IF(A227="","",G227*K227)</f>
        <v/>
      </c>
      <c r="M227" s="20"/>
      <c r="N227" s="6"/>
      <c r="O227" s="6"/>
      <c r="P227" s="5" t="str">
        <f aca="false">IF(A227="","",H227/90)</f>
        <v/>
      </c>
      <c r="Q227" s="5" t="str">
        <f aca="false">IF(A227="","",IFERROR(INDEX(Parâmetros!$C$6:$C$10,MATCH(F227,Parâmetros!$B$6:$B$10,0)),""))</f>
        <v/>
      </c>
      <c r="R227" s="5" t="str">
        <f aca="false">IF(OR(A227="",P227="",Q227=""),"",P227*Q227)</f>
        <v/>
      </c>
      <c r="S227" s="5" t="str">
        <f aca="false">IF(R227="","",MAX(0,R227-G227))</f>
        <v/>
      </c>
      <c r="T227" s="21" t="str">
        <f aca="false">IF(S227="","",S227*K227)</f>
        <v/>
      </c>
      <c r="U227" s="5" t="str">
        <f aca="false">IF(A227="","",IF(J227&gt;Parâmetros!$C$14,"SIM","NAO"))</f>
        <v/>
      </c>
      <c r="V227" s="5" t="str">
        <f aca="false">IF(B227="","",TRIM(LEFT(B227,IFERROR(FIND(" ",B227)-1,LEN(B227)))))</f>
        <v/>
      </c>
      <c r="W227" s="22"/>
      <c r="X227" s="5" t="str">
        <f aca="false">IF(A227="","",IF(W227&lt;&gt;"",W227,V227))</f>
        <v/>
      </c>
      <c r="Y227" s="5" t="str">
        <f aca="false">IF(A227="","",IF(COUNTIFS($X$2:$X$2001,X227,$D$2:$D$2001,"&lt;&gt;"&amp;D227,$C$2:$C$2001,C227)&gt;0,"SIM","NAO"))</f>
        <v/>
      </c>
      <c r="Z227" s="5" t="str">
        <f aca="false">IF(A227="","",IF(J227="","",IFERROR(360/J227,"")))</f>
        <v/>
      </c>
      <c r="AA227" s="5" t="str">
        <f aca="false">IF(A227="","",IF(H227=0,"Parado (sem venda 90d)",IF(Z227&gt;12,"Alto (&gt;12x/ano)",IF(Z227&gt;=4,"Medio (4-12x/ano)","Baixo (&lt;4x/ano)"))))</f>
        <v/>
      </c>
    </row>
    <row r="228" customFormat="false" ht="15" hidden="false" customHeight="true" outlineLevel="0" collapsed="false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18"/>
      <c r="L228" s="19" t="str">
        <f aca="false">IF(A228="","",G228*K228)</f>
        <v/>
      </c>
      <c r="M228" s="20"/>
      <c r="N228" s="6"/>
      <c r="O228" s="6"/>
      <c r="P228" s="5" t="str">
        <f aca="false">IF(A228="","",H228/90)</f>
        <v/>
      </c>
      <c r="Q228" s="5" t="str">
        <f aca="false">IF(A228="","",IFERROR(INDEX(Parâmetros!$C$6:$C$10,MATCH(F228,Parâmetros!$B$6:$B$10,0)),""))</f>
        <v/>
      </c>
      <c r="R228" s="5" t="str">
        <f aca="false">IF(OR(A228="",P228="",Q228=""),"",P228*Q228)</f>
        <v/>
      </c>
      <c r="S228" s="5" t="str">
        <f aca="false">IF(R228="","",MAX(0,R228-G228))</f>
        <v/>
      </c>
      <c r="T228" s="21" t="str">
        <f aca="false">IF(S228="","",S228*K228)</f>
        <v/>
      </c>
      <c r="U228" s="5" t="str">
        <f aca="false">IF(A228="","",IF(J228&gt;Parâmetros!$C$14,"SIM","NAO"))</f>
        <v/>
      </c>
      <c r="V228" s="5" t="str">
        <f aca="false">IF(B228="","",TRIM(LEFT(B228,IFERROR(FIND(" ",B228)-1,LEN(B228)))))</f>
        <v/>
      </c>
      <c r="W228" s="22"/>
      <c r="X228" s="5" t="str">
        <f aca="false">IF(A228="","",IF(W228&lt;&gt;"",W228,V228))</f>
        <v/>
      </c>
      <c r="Y228" s="5" t="str">
        <f aca="false">IF(A228="","",IF(COUNTIFS($X$2:$X$2001,X228,$D$2:$D$2001,"&lt;&gt;"&amp;D228,$C$2:$C$2001,C228)&gt;0,"SIM","NAO"))</f>
        <v/>
      </c>
      <c r="Z228" s="5" t="str">
        <f aca="false">IF(A228="","",IF(J228="","",IFERROR(360/J228,"")))</f>
        <v/>
      </c>
      <c r="AA228" s="5" t="str">
        <f aca="false">IF(A228="","",IF(H228=0,"Parado (sem venda 90d)",IF(Z228&gt;12,"Alto (&gt;12x/ano)",IF(Z228&gt;=4,"Medio (4-12x/ano)","Baixo (&lt;4x/ano)"))))</f>
        <v/>
      </c>
    </row>
    <row r="229" customFormat="false" ht="15" hidden="false" customHeight="true" outlineLevel="0" collapsed="false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18"/>
      <c r="L229" s="19" t="str">
        <f aca="false">IF(A229="","",G229*K229)</f>
        <v/>
      </c>
      <c r="M229" s="20"/>
      <c r="N229" s="6"/>
      <c r="O229" s="6"/>
      <c r="P229" s="5" t="str">
        <f aca="false">IF(A229="","",H229/90)</f>
        <v/>
      </c>
      <c r="Q229" s="5" t="str">
        <f aca="false">IF(A229="","",IFERROR(INDEX(Parâmetros!$C$6:$C$10,MATCH(F229,Parâmetros!$B$6:$B$10,0)),""))</f>
        <v/>
      </c>
      <c r="R229" s="5" t="str">
        <f aca="false">IF(OR(A229="",P229="",Q229=""),"",P229*Q229)</f>
        <v/>
      </c>
      <c r="S229" s="5" t="str">
        <f aca="false">IF(R229="","",MAX(0,R229-G229))</f>
        <v/>
      </c>
      <c r="T229" s="21" t="str">
        <f aca="false">IF(S229="","",S229*K229)</f>
        <v/>
      </c>
      <c r="U229" s="5" t="str">
        <f aca="false">IF(A229="","",IF(J229&gt;Parâmetros!$C$14,"SIM","NAO"))</f>
        <v/>
      </c>
      <c r="V229" s="5" t="str">
        <f aca="false">IF(B229="","",TRIM(LEFT(B229,IFERROR(FIND(" ",B229)-1,LEN(B229)))))</f>
        <v/>
      </c>
      <c r="W229" s="22"/>
      <c r="X229" s="5" t="str">
        <f aca="false">IF(A229="","",IF(W229&lt;&gt;"",W229,V229))</f>
        <v/>
      </c>
      <c r="Y229" s="5" t="str">
        <f aca="false">IF(A229="","",IF(COUNTIFS($X$2:$X$2001,X229,$D$2:$D$2001,"&lt;&gt;"&amp;D229,$C$2:$C$2001,C229)&gt;0,"SIM","NAO"))</f>
        <v/>
      </c>
      <c r="Z229" s="5" t="str">
        <f aca="false">IF(A229="","",IF(J229="","",IFERROR(360/J229,"")))</f>
        <v/>
      </c>
      <c r="AA229" s="5" t="str">
        <f aca="false">IF(A229="","",IF(H229=0,"Parado (sem venda 90d)",IF(Z229&gt;12,"Alto (&gt;12x/ano)",IF(Z229&gt;=4,"Medio (4-12x/ano)","Baixo (&lt;4x/ano)"))))</f>
        <v/>
      </c>
    </row>
    <row r="230" customFormat="false" ht="15" hidden="false" customHeight="true" outlineLevel="0" collapsed="false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18"/>
      <c r="L230" s="19" t="str">
        <f aca="false">IF(A230="","",G230*K230)</f>
        <v/>
      </c>
      <c r="M230" s="20"/>
      <c r="N230" s="6"/>
      <c r="O230" s="6"/>
      <c r="P230" s="5" t="str">
        <f aca="false">IF(A230="","",H230/90)</f>
        <v/>
      </c>
      <c r="Q230" s="5" t="str">
        <f aca="false">IF(A230="","",IFERROR(INDEX(Parâmetros!$C$6:$C$10,MATCH(F230,Parâmetros!$B$6:$B$10,0)),""))</f>
        <v/>
      </c>
      <c r="R230" s="5" t="str">
        <f aca="false">IF(OR(A230="",P230="",Q230=""),"",P230*Q230)</f>
        <v/>
      </c>
      <c r="S230" s="5" t="str">
        <f aca="false">IF(R230="","",MAX(0,R230-G230))</f>
        <v/>
      </c>
      <c r="T230" s="21" t="str">
        <f aca="false">IF(S230="","",S230*K230)</f>
        <v/>
      </c>
      <c r="U230" s="5" t="str">
        <f aca="false">IF(A230="","",IF(J230&gt;Parâmetros!$C$14,"SIM","NAO"))</f>
        <v/>
      </c>
      <c r="V230" s="5" t="str">
        <f aca="false">IF(B230="","",TRIM(LEFT(B230,IFERROR(FIND(" ",B230)-1,LEN(B230)))))</f>
        <v/>
      </c>
      <c r="W230" s="22"/>
      <c r="X230" s="5" t="str">
        <f aca="false">IF(A230="","",IF(W230&lt;&gt;"",W230,V230))</f>
        <v/>
      </c>
      <c r="Y230" s="5" t="str">
        <f aca="false">IF(A230="","",IF(COUNTIFS($X$2:$X$2001,X230,$D$2:$D$2001,"&lt;&gt;"&amp;D230,$C$2:$C$2001,C230)&gt;0,"SIM","NAO"))</f>
        <v/>
      </c>
      <c r="Z230" s="5" t="str">
        <f aca="false">IF(A230="","",IF(J230="","",IFERROR(360/J230,"")))</f>
        <v/>
      </c>
      <c r="AA230" s="5" t="str">
        <f aca="false">IF(A230="","",IF(H230=0,"Parado (sem venda 90d)",IF(Z230&gt;12,"Alto (&gt;12x/ano)",IF(Z230&gt;=4,"Medio (4-12x/ano)","Baixo (&lt;4x/ano)"))))</f>
        <v/>
      </c>
    </row>
    <row r="231" customFormat="false" ht="15" hidden="false" customHeight="true" outlineLevel="0" collapsed="false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18"/>
      <c r="L231" s="19" t="str">
        <f aca="false">IF(A231="","",G231*K231)</f>
        <v/>
      </c>
      <c r="M231" s="20"/>
      <c r="N231" s="6"/>
      <c r="O231" s="6"/>
      <c r="P231" s="5" t="str">
        <f aca="false">IF(A231="","",H231/90)</f>
        <v/>
      </c>
      <c r="Q231" s="5" t="str">
        <f aca="false">IF(A231="","",IFERROR(INDEX(Parâmetros!$C$6:$C$10,MATCH(F231,Parâmetros!$B$6:$B$10,0)),""))</f>
        <v/>
      </c>
      <c r="R231" s="5" t="str">
        <f aca="false">IF(OR(A231="",P231="",Q231=""),"",P231*Q231)</f>
        <v/>
      </c>
      <c r="S231" s="5" t="str">
        <f aca="false">IF(R231="","",MAX(0,R231-G231))</f>
        <v/>
      </c>
      <c r="T231" s="21" t="str">
        <f aca="false">IF(S231="","",S231*K231)</f>
        <v/>
      </c>
      <c r="U231" s="5" t="str">
        <f aca="false">IF(A231="","",IF(J231&gt;Parâmetros!$C$14,"SIM","NAO"))</f>
        <v/>
      </c>
      <c r="V231" s="5" t="str">
        <f aca="false">IF(B231="","",TRIM(LEFT(B231,IFERROR(FIND(" ",B231)-1,LEN(B231)))))</f>
        <v/>
      </c>
      <c r="W231" s="22"/>
      <c r="X231" s="5" t="str">
        <f aca="false">IF(A231="","",IF(W231&lt;&gt;"",W231,V231))</f>
        <v/>
      </c>
      <c r="Y231" s="5" t="str">
        <f aca="false">IF(A231="","",IF(COUNTIFS($X$2:$X$2001,X231,$D$2:$D$2001,"&lt;&gt;"&amp;D231,$C$2:$C$2001,C231)&gt;0,"SIM","NAO"))</f>
        <v/>
      </c>
      <c r="Z231" s="5" t="str">
        <f aca="false">IF(A231="","",IF(J231="","",IFERROR(360/J231,"")))</f>
        <v/>
      </c>
      <c r="AA231" s="5" t="str">
        <f aca="false">IF(A231="","",IF(H231=0,"Parado (sem venda 90d)",IF(Z231&gt;12,"Alto (&gt;12x/ano)",IF(Z231&gt;=4,"Medio (4-12x/ano)","Baixo (&lt;4x/ano)"))))</f>
        <v/>
      </c>
    </row>
    <row r="232" customFormat="false" ht="15" hidden="false" customHeight="true" outlineLevel="0" collapsed="false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18"/>
      <c r="L232" s="19" t="str">
        <f aca="false">IF(A232="","",G232*K232)</f>
        <v/>
      </c>
      <c r="M232" s="20"/>
      <c r="N232" s="6"/>
      <c r="O232" s="6"/>
      <c r="P232" s="5" t="str">
        <f aca="false">IF(A232="","",H232/90)</f>
        <v/>
      </c>
      <c r="Q232" s="5" t="str">
        <f aca="false">IF(A232="","",IFERROR(INDEX(Parâmetros!$C$6:$C$10,MATCH(F232,Parâmetros!$B$6:$B$10,0)),""))</f>
        <v/>
      </c>
      <c r="R232" s="5" t="str">
        <f aca="false">IF(OR(A232="",P232="",Q232=""),"",P232*Q232)</f>
        <v/>
      </c>
      <c r="S232" s="5" t="str">
        <f aca="false">IF(R232="","",MAX(0,R232-G232))</f>
        <v/>
      </c>
      <c r="T232" s="21" t="str">
        <f aca="false">IF(S232="","",S232*K232)</f>
        <v/>
      </c>
      <c r="U232" s="5" t="str">
        <f aca="false">IF(A232="","",IF(J232&gt;Parâmetros!$C$14,"SIM","NAO"))</f>
        <v/>
      </c>
      <c r="V232" s="5" t="str">
        <f aca="false">IF(B232="","",TRIM(LEFT(B232,IFERROR(FIND(" ",B232)-1,LEN(B232)))))</f>
        <v/>
      </c>
      <c r="W232" s="22"/>
      <c r="X232" s="5" t="str">
        <f aca="false">IF(A232="","",IF(W232&lt;&gt;"",W232,V232))</f>
        <v/>
      </c>
      <c r="Y232" s="5" t="str">
        <f aca="false">IF(A232="","",IF(COUNTIFS($X$2:$X$2001,X232,$D$2:$D$2001,"&lt;&gt;"&amp;D232,$C$2:$C$2001,C232)&gt;0,"SIM","NAO"))</f>
        <v/>
      </c>
      <c r="Z232" s="5" t="str">
        <f aca="false">IF(A232="","",IF(J232="","",IFERROR(360/J232,"")))</f>
        <v/>
      </c>
      <c r="AA232" s="5" t="str">
        <f aca="false">IF(A232="","",IF(H232=0,"Parado (sem venda 90d)",IF(Z232&gt;12,"Alto (&gt;12x/ano)",IF(Z232&gt;=4,"Medio (4-12x/ano)","Baixo (&lt;4x/ano)"))))</f>
        <v/>
      </c>
    </row>
    <row r="233" customFormat="false" ht="15" hidden="false" customHeight="true" outlineLevel="0" collapsed="false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18"/>
      <c r="L233" s="19" t="str">
        <f aca="false">IF(A233="","",G233*K233)</f>
        <v/>
      </c>
      <c r="M233" s="20"/>
      <c r="N233" s="6"/>
      <c r="O233" s="6"/>
      <c r="P233" s="5" t="str">
        <f aca="false">IF(A233="","",H233/90)</f>
        <v/>
      </c>
      <c r="Q233" s="5" t="str">
        <f aca="false">IF(A233="","",IFERROR(INDEX(Parâmetros!$C$6:$C$10,MATCH(F233,Parâmetros!$B$6:$B$10,0)),""))</f>
        <v/>
      </c>
      <c r="R233" s="5" t="str">
        <f aca="false">IF(OR(A233="",P233="",Q233=""),"",P233*Q233)</f>
        <v/>
      </c>
      <c r="S233" s="5" t="str">
        <f aca="false">IF(R233="","",MAX(0,R233-G233))</f>
        <v/>
      </c>
      <c r="T233" s="21" t="str">
        <f aca="false">IF(S233="","",S233*K233)</f>
        <v/>
      </c>
      <c r="U233" s="5" t="str">
        <f aca="false">IF(A233="","",IF(J233&gt;Parâmetros!$C$14,"SIM","NAO"))</f>
        <v/>
      </c>
      <c r="V233" s="5" t="str">
        <f aca="false">IF(B233="","",TRIM(LEFT(B233,IFERROR(FIND(" ",B233)-1,LEN(B233)))))</f>
        <v/>
      </c>
      <c r="W233" s="22"/>
      <c r="X233" s="5" t="str">
        <f aca="false">IF(A233="","",IF(W233&lt;&gt;"",W233,V233))</f>
        <v/>
      </c>
      <c r="Y233" s="5" t="str">
        <f aca="false">IF(A233="","",IF(COUNTIFS($X$2:$X$2001,X233,$D$2:$D$2001,"&lt;&gt;"&amp;D233,$C$2:$C$2001,C233)&gt;0,"SIM","NAO"))</f>
        <v/>
      </c>
      <c r="Z233" s="5" t="str">
        <f aca="false">IF(A233="","",IF(J233="","",IFERROR(360/J233,"")))</f>
        <v/>
      </c>
      <c r="AA233" s="5" t="str">
        <f aca="false">IF(A233="","",IF(H233=0,"Parado (sem venda 90d)",IF(Z233&gt;12,"Alto (&gt;12x/ano)",IF(Z233&gt;=4,"Medio (4-12x/ano)","Baixo (&lt;4x/ano)"))))</f>
        <v/>
      </c>
    </row>
    <row r="234" customFormat="false" ht="15" hidden="false" customHeight="true" outlineLevel="0" collapsed="false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18"/>
      <c r="L234" s="19" t="str">
        <f aca="false">IF(A234="","",G234*K234)</f>
        <v/>
      </c>
      <c r="M234" s="20"/>
      <c r="N234" s="6"/>
      <c r="O234" s="6"/>
      <c r="P234" s="5" t="str">
        <f aca="false">IF(A234="","",H234/90)</f>
        <v/>
      </c>
      <c r="Q234" s="5" t="str">
        <f aca="false">IF(A234="","",IFERROR(INDEX(Parâmetros!$C$6:$C$10,MATCH(F234,Parâmetros!$B$6:$B$10,0)),""))</f>
        <v/>
      </c>
      <c r="R234" s="5" t="str">
        <f aca="false">IF(OR(A234="",P234="",Q234=""),"",P234*Q234)</f>
        <v/>
      </c>
      <c r="S234" s="5" t="str">
        <f aca="false">IF(R234="","",MAX(0,R234-G234))</f>
        <v/>
      </c>
      <c r="T234" s="21" t="str">
        <f aca="false">IF(S234="","",S234*K234)</f>
        <v/>
      </c>
      <c r="U234" s="5" t="str">
        <f aca="false">IF(A234="","",IF(J234&gt;Parâmetros!$C$14,"SIM","NAO"))</f>
        <v/>
      </c>
      <c r="V234" s="5" t="str">
        <f aca="false">IF(B234="","",TRIM(LEFT(B234,IFERROR(FIND(" ",B234)-1,LEN(B234)))))</f>
        <v/>
      </c>
      <c r="W234" s="22"/>
      <c r="X234" s="5" t="str">
        <f aca="false">IF(A234="","",IF(W234&lt;&gt;"",W234,V234))</f>
        <v/>
      </c>
      <c r="Y234" s="5" t="str">
        <f aca="false">IF(A234="","",IF(COUNTIFS($X$2:$X$2001,X234,$D$2:$D$2001,"&lt;&gt;"&amp;D234,$C$2:$C$2001,C234)&gt;0,"SIM","NAO"))</f>
        <v/>
      </c>
      <c r="Z234" s="5" t="str">
        <f aca="false">IF(A234="","",IF(J234="","",IFERROR(360/J234,"")))</f>
        <v/>
      </c>
      <c r="AA234" s="5" t="str">
        <f aca="false">IF(A234="","",IF(H234=0,"Parado (sem venda 90d)",IF(Z234&gt;12,"Alto (&gt;12x/ano)",IF(Z234&gt;=4,"Medio (4-12x/ano)","Baixo (&lt;4x/ano)"))))</f>
        <v/>
      </c>
    </row>
    <row r="235" customFormat="false" ht="15" hidden="false" customHeight="true" outlineLevel="0" collapsed="false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18"/>
      <c r="L235" s="19" t="str">
        <f aca="false">IF(A235="","",G235*K235)</f>
        <v/>
      </c>
      <c r="M235" s="20"/>
      <c r="N235" s="6"/>
      <c r="O235" s="6"/>
      <c r="P235" s="5" t="str">
        <f aca="false">IF(A235="","",H235/90)</f>
        <v/>
      </c>
      <c r="Q235" s="5" t="str">
        <f aca="false">IF(A235="","",IFERROR(INDEX(Parâmetros!$C$6:$C$10,MATCH(F235,Parâmetros!$B$6:$B$10,0)),""))</f>
        <v/>
      </c>
      <c r="R235" s="5" t="str">
        <f aca="false">IF(OR(A235="",P235="",Q235=""),"",P235*Q235)</f>
        <v/>
      </c>
      <c r="S235" s="5" t="str">
        <f aca="false">IF(R235="","",MAX(0,R235-G235))</f>
        <v/>
      </c>
      <c r="T235" s="21" t="str">
        <f aca="false">IF(S235="","",S235*K235)</f>
        <v/>
      </c>
      <c r="U235" s="5" t="str">
        <f aca="false">IF(A235="","",IF(J235&gt;Parâmetros!$C$14,"SIM","NAO"))</f>
        <v/>
      </c>
      <c r="V235" s="5" t="str">
        <f aca="false">IF(B235="","",TRIM(LEFT(B235,IFERROR(FIND(" ",B235)-1,LEN(B235)))))</f>
        <v/>
      </c>
      <c r="W235" s="22"/>
      <c r="X235" s="5" t="str">
        <f aca="false">IF(A235="","",IF(W235&lt;&gt;"",W235,V235))</f>
        <v/>
      </c>
      <c r="Y235" s="5" t="str">
        <f aca="false">IF(A235="","",IF(COUNTIFS($X$2:$X$2001,X235,$D$2:$D$2001,"&lt;&gt;"&amp;D235,$C$2:$C$2001,C235)&gt;0,"SIM","NAO"))</f>
        <v/>
      </c>
      <c r="Z235" s="5" t="str">
        <f aca="false">IF(A235="","",IF(J235="","",IFERROR(360/J235,"")))</f>
        <v/>
      </c>
      <c r="AA235" s="5" t="str">
        <f aca="false">IF(A235="","",IF(H235=0,"Parado (sem venda 90d)",IF(Z235&gt;12,"Alto (&gt;12x/ano)",IF(Z235&gt;=4,"Medio (4-12x/ano)","Baixo (&lt;4x/ano)"))))</f>
        <v/>
      </c>
    </row>
    <row r="236" customFormat="false" ht="15" hidden="false" customHeight="true" outlineLevel="0" collapsed="false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18"/>
      <c r="L236" s="19" t="str">
        <f aca="false">IF(A236="","",G236*K236)</f>
        <v/>
      </c>
      <c r="M236" s="20"/>
      <c r="N236" s="6"/>
      <c r="O236" s="6"/>
      <c r="P236" s="5" t="str">
        <f aca="false">IF(A236="","",H236/90)</f>
        <v/>
      </c>
      <c r="Q236" s="5" t="str">
        <f aca="false">IF(A236="","",IFERROR(INDEX(Parâmetros!$C$6:$C$10,MATCH(F236,Parâmetros!$B$6:$B$10,0)),""))</f>
        <v/>
      </c>
      <c r="R236" s="5" t="str">
        <f aca="false">IF(OR(A236="",P236="",Q236=""),"",P236*Q236)</f>
        <v/>
      </c>
      <c r="S236" s="5" t="str">
        <f aca="false">IF(R236="","",MAX(0,R236-G236))</f>
        <v/>
      </c>
      <c r="T236" s="21" t="str">
        <f aca="false">IF(S236="","",S236*K236)</f>
        <v/>
      </c>
      <c r="U236" s="5" t="str">
        <f aca="false">IF(A236="","",IF(J236&gt;Parâmetros!$C$14,"SIM","NAO"))</f>
        <v/>
      </c>
      <c r="V236" s="5" t="str">
        <f aca="false">IF(B236="","",TRIM(LEFT(B236,IFERROR(FIND(" ",B236)-1,LEN(B236)))))</f>
        <v/>
      </c>
      <c r="W236" s="22"/>
      <c r="X236" s="5" t="str">
        <f aca="false">IF(A236="","",IF(W236&lt;&gt;"",W236,V236))</f>
        <v/>
      </c>
      <c r="Y236" s="5" t="str">
        <f aca="false">IF(A236="","",IF(COUNTIFS($X$2:$X$2001,X236,$D$2:$D$2001,"&lt;&gt;"&amp;D236,$C$2:$C$2001,C236)&gt;0,"SIM","NAO"))</f>
        <v/>
      </c>
      <c r="Z236" s="5" t="str">
        <f aca="false">IF(A236="","",IF(J236="","",IFERROR(360/J236,"")))</f>
        <v/>
      </c>
      <c r="AA236" s="5" t="str">
        <f aca="false">IF(A236="","",IF(H236=0,"Parado (sem venda 90d)",IF(Z236&gt;12,"Alto (&gt;12x/ano)",IF(Z236&gt;=4,"Medio (4-12x/ano)","Baixo (&lt;4x/ano)"))))</f>
        <v/>
      </c>
    </row>
    <row r="237" customFormat="false" ht="15" hidden="false" customHeight="true" outlineLevel="0" collapsed="false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18"/>
      <c r="L237" s="19" t="str">
        <f aca="false">IF(A237="","",G237*K237)</f>
        <v/>
      </c>
      <c r="M237" s="20"/>
      <c r="N237" s="6"/>
      <c r="O237" s="6"/>
      <c r="P237" s="5" t="str">
        <f aca="false">IF(A237="","",H237/90)</f>
        <v/>
      </c>
      <c r="Q237" s="5" t="str">
        <f aca="false">IF(A237="","",IFERROR(INDEX(Parâmetros!$C$6:$C$10,MATCH(F237,Parâmetros!$B$6:$B$10,0)),""))</f>
        <v/>
      </c>
      <c r="R237" s="5" t="str">
        <f aca="false">IF(OR(A237="",P237="",Q237=""),"",P237*Q237)</f>
        <v/>
      </c>
      <c r="S237" s="5" t="str">
        <f aca="false">IF(R237="","",MAX(0,R237-G237))</f>
        <v/>
      </c>
      <c r="T237" s="21" t="str">
        <f aca="false">IF(S237="","",S237*K237)</f>
        <v/>
      </c>
      <c r="U237" s="5" t="str">
        <f aca="false">IF(A237="","",IF(J237&gt;Parâmetros!$C$14,"SIM","NAO"))</f>
        <v/>
      </c>
      <c r="V237" s="5" t="str">
        <f aca="false">IF(B237="","",TRIM(LEFT(B237,IFERROR(FIND(" ",B237)-1,LEN(B237)))))</f>
        <v/>
      </c>
      <c r="W237" s="22"/>
      <c r="X237" s="5" t="str">
        <f aca="false">IF(A237="","",IF(W237&lt;&gt;"",W237,V237))</f>
        <v/>
      </c>
      <c r="Y237" s="5" t="str">
        <f aca="false">IF(A237="","",IF(COUNTIFS($X$2:$X$2001,X237,$D$2:$D$2001,"&lt;&gt;"&amp;D237,$C$2:$C$2001,C237)&gt;0,"SIM","NAO"))</f>
        <v/>
      </c>
      <c r="Z237" s="5" t="str">
        <f aca="false">IF(A237="","",IF(J237="","",IFERROR(360/J237,"")))</f>
        <v/>
      </c>
      <c r="AA237" s="5" t="str">
        <f aca="false">IF(A237="","",IF(H237=0,"Parado (sem venda 90d)",IF(Z237&gt;12,"Alto (&gt;12x/ano)",IF(Z237&gt;=4,"Medio (4-12x/ano)","Baixo (&lt;4x/ano)"))))</f>
        <v/>
      </c>
    </row>
    <row r="238" customFormat="false" ht="15" hidden="false" customHeight="true" outlineLevel="0" collapsed="false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18"/>
      <c r="L238" s="19" t="str">
        <f aca="false">IF(A238="","",G238*K238)</f>
        <v/>
      </c>
      <c r="M238" s="20"/>
      <c r="N238" s="6"/>
      <c r="O238" s="6"/>
      <c r="P238" s="5" t="str">
        <f aca="false">IF(A238="","",H238/90)</f>
        <v/>
      </c>
      <c r="Q238" s="5" t="str">
        <f aca="false">IF(A238="","",IFERROR(INDEX(Parâmetros!$C$6:$C$10,MATCH(F238,Parâmetros!$B$6:$B$10,0)),""))</f>
        <v/>
      </c>
      <c r="R238" s="5" t="str">
        <f aca="false">IF(OR(A238="",P238="",Q238=""),"",P238*Q238)</f>
        <v/>
      </c>
      <c r="S238" s="5" t="str">
        <f aca="false">IF(R238="","",MAX(0,R238-G238))</f>
        <v/>
      </c>
      <c r="T238" s="21" t="str">
        <f aca="false">IF(S238="","",S238*K238)</f>
        <v/>
      </c>
      <c r="U238" s="5" t="str">
        <f aca="false">IF(A238="","",IF(J238&gt;Parâmetros!$C$14,"SIM","NAO"))</f>
        <v/>
      </c>
      <c r="V238" s="5" t="str">
        <f aca="false">IF(B238="","",TRIM(LEFT(B238,IFERROR(FIND(" ",B238)-1,LEN(B238)))))</f>
        <v/>
      </c>
      <c r="W238" s="22"/>
      <c r="X238" s="5" t="str">
        <f aca="false">IF(A238="","",IF(W238&lt;&gt;"",W238,V238))</f>
        <v/>
      </c>
      <c r="Y238" s="5" t="str">
        <f aca="false">IF(A238="","",IF(COUNTIFS($X$2:$X$2001,X238,$D$2:$D$2001,"&lt;&gt;"&amp;D238,$C$2:$C$2001,C238)&gt;0,"SIM","NAO"))</f>
        <v/>
      </c>
      <c r="Z238" s="5" t="str">
        <f aca="false">IF(A238="","",IF(J238="","",IFERROR(360/J238,"")))</f>
        <v/>
      </c>
      <c r="AA238" s="5" t="str">
        <f aca="false">IF(A238="","",IF(H238=0,"Parado (sem venda 90d)",IF(Z238&gt;12,"Alto (&gt;12x/ano)",IF(Z238&gt;=4,"Medio (4-12x/ano)","Baixo (&lt;4x/ano)"))))</f>
        <v/>
      </c>
    </row>
    <row r="239" customFormat="false" ht="15" hidden="false" customHeight="true" outlineLevel="0" collapsed="false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18"/>
      <c r="L239" s="19" t="str">
        <f aca="false">IF(A239="","",G239*K239)</f>
        <v/>
      </c>
      <c r="M239" s="20"/>
      <c r="N239" s="6"/>
      <c r="O239" s="6"/>
      <c r="P239" s="5" t="str">
        <f aca="false">IF(A239="","",H239/90)</f>
        <v/>
      </c>
      <c r="Q239" s="5" t="str">
        <f aca="false">IF(A239="","",IFERROR(INDEX(Parâmetros!$C$6:$C$10,MATCH(F239,Parâmetros!$B$6:$B$10,0)),""))</f>
        <v/>
      </c>
      <c r="R239" s="5" t="str">
        <f aca="false">IF(OR(A239="",P239="",Q239=""),"",P239*Q239)</f>
        <v/>
      </c>
      <c r="S239" s="5" t="str">
        <f aca="false">IF(R239="","",MAX(0,R239-G239))</f>
        <v/>
      </c>
      <c r="T239" s="21" t="str">
        <f aca="false">IF(S239="","",S239*K239)</f>
        <v/>
      </c>
      <c r="U239" s="5" t="str">
        <f aca="false">IF(A239="","",IF(J239&gt;Parâmetros!$C$14,"SIM","NAO"))</f>
        <v/>
      </c>
      <c r="V239" s="5" t="str">
        <f aca="false">IF(B239="","",TRIM(LEFT(B239,IFERROR(FIND(" ",B239)-1,LEN(B239)))))</f>
        <v/>
      </c>
      <c r="W239" s="22"/>
      <c r="X239" s="5" t="str">
        <f aca="false">IF(A239="","",IF(W239&lt;&gt;"",W239,V239))</f>
        <v/>
      </c>
      <c r="Y239" s="5" t="str">
        <f aca="false">IF(A239="","",IF(COUNTIFS($X$2:$X$2001,X239,$D$2:$D$2001,"&lt;&gt;"&amp;D239,$C$2:$C$2001,C239)&gt;0,"SIM","NAO"))</f>
        <v/>
      </c>
      <c r="Z239" s="5" t="str">
        <f aca="false">IF(A239="","",IF(J239="","",IFERROR(360/J239,"")))</f>
        <v/>
      </c>
      <c r="AA239" s="5" t="str">
        <f aca="false">IF(A239="","",IF(H239=0,"Parado (sem venda 90d)",IF(Z239&gt;12,"Alto (&gt;12x/ano)",IF(Z239&gt;=4,"Medio (4-12x/ano)","Baixo (&lt;4x/ano)"))))</f>
        <v/>
      </c>
    </row>
    <row r="240" customFormat="false" ht="15" hidden="false" customHeight="true" outlineLevel="0" collapsed="false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18"/>
      <c r="L240" s="19" t="str">
        <f aca="false">IF(A240="","",G240*K240)</f>
        <v/>
      </c>
      <c r="M240" s="20"/>
      <c r="N240" s="6"/>
      <c r="O240" s="6"/>
      <c r="P240" s="5" t="str">
        <f aca="false">IF(A240="","",H240/90)</f>
        <v/>
      </c>
      <c r="Q240" s="5" t="str">
        <f aca="false">IF(A240="","",IFERROR(INDEX(Parâmetros!$C$6:$C$10,MATCH(F240,Parâmetros!$B$6:$B$10,0)),""))</f>
        <v/>
      </c>
      <c r="R240" s="5" t="str">
        <f aca="false">IF(OR(A240="",P240="",Q240=""),"",P240*Q240)</f>
        <v/>
      </c>
      <c r="S240" s="5" t="str">
        <f aca="false">IF(R240="","",MAX(0,R240-G240))</f>
        <v/>
      </c>
      <c r="T240" s="21" t="str">
        <f aca="false">IF(S240="","",S240*K240)</f>
        <v/>
      </c>
      <c r="U240" s="5" t="str">
        <f aca="false">IF(A240="","",IF(J240&gt;Parâmetros!$C$14,"SIM","NAO"))</f>
        <v/>
      </c>
      <c r="V240" s="5" t="str">
        <f aca="false">IF(B240="","",TRIM(LEFT(B240,IFERROR(FIND(" ",B240)-1,LEN(B240)))))</f>
        <v/>
      </c>
      <c r="W240" s="22"/>
      <c r="X240" s="5" t="str">
        <f aca="false">IF(A240="","",IF(W240&lt;&gt;"",W240,V240))</f>
        <v/>
      </c>
      <c r="Y240" s="5" t="str">
        <f aca="false">IF(A240="","",IF(COUNTIFS($X$2:$X$2001,X240,$D$2:$D$2001,"&lt;&gt;"&amp;D240,$C$2:$C$2001,C240)&gt;0,"SIM","NAO"))</f>
        <v/>
      </c>
      <c r="Z240" s="5" t="str">
        <f aca="false">IF(A240="","",IF(J240="","",IFERROR(360/J240,"")))</f>
        <v/>
      </c>
      <c r="AA240" s="5" t="str">
        <f aca="false">IF(A240="","",IF(H240=0,"Parado (sem venda 90d)",IF(Z240&gt;12,"Alto (&gt;12x/ano)",IF(Z240&gt;=4,"Medio (4-12x/ano)","Baixo (&lt;4x/ano)"))))</f>
        <v/>
      </c>
    </row>
    <row r="241" customFormat="false" ht="15" hidden="false" customHeight="true" outlineLevel="0" collapsed="false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18"/>
      <c r="L241" s="19" t="str">
        <f aca="false">IF(A241="","",G241*K241)</f>
        <v/>
      </c>
      <c r="M241" s="20"/>
      <c r="N241" s="6"/>
      <c r="O241" s="6"/>
      <c r="P241" s="5" t="str">
        <f aca="false">IF(A241="","",H241/90)</f>
        <v/>
      </c>
      <c r="Q241" s="5" t="str">
        <f aca="false">IF(A241="","",IFERROR(INDEX(Parâmetros!$C$6:$C$10,MATCH(F241,Parâmetros!$B$6:$B$10,0)),""))</f>
        <v/>
      </c>
      <c r="R241" s="5" t="str">
        <f aca="false">IF(OR(A241="",P241="",Q241=""),"",P241*Q241)</f>
        <v/>
      </c>
      <c r="S241" s="5" t="str">
        <f aca="false">IF(R241="","",MAX(0,R241-G241))</f>
        <v/>
      </c>
      <c r="T241" s="21" t="str">
        <f aca="false">IF(S241="","",S241*K241)</f>
        <v/>
      </c>
      <c r="U241" s="5" t="str">
        <f aca="false">IF(A241="","",IF(J241&gt;Parâmetros!$C$14,"SIM","NAO"))</f>
        <v/>
      </c>
      <c r="V241" s="5" t="str">
        <f aca="false">IF(B241="","",TRIM(LEFT(B241,IFERROR(FIND(" ",B241)-1,LEN(B241)))))</f>
        <v/>
      </c>
      <c r="W241" s="22"/>
      <c r="X241" s="5" t="str">
        <f aca="false">IF(A241="","",IF(W241&lt;&gt;"",W241,V241))</f>
        <v/>
      </c>
      <c r="Y241" s="5" t="str">
        <f aca="false">IF(A241="","",IF(COUNTIFS($X$2:$X$2001,X241,$D$2:$D$2001,"&lt;&gt;"&amp;D241,$C$2:$C$2001,C241)&gt;0,"SIM","NAO"))</f>
        <v/>
      </c>
      <c r="Z241" s="5" t="str">
        <f aca="false">IF(A241="","",IF(J241="","",IFERROR(360/J241,"")))</f>
        <v/>
      </c>
      <c r="AA241" s="5" t="str">
        <f aca="false">IF(A241="","",IF(H241=0,"Parado (sem venda 90d)",IF(Z241&gt;12,"Alto (&gt;12x/ano)",IF(Z241&gt;=4,"Medio (4-12x/ano)","Baixo (&lt;4x/ano)"))))</f>
        <v/>
      </c>
    </row>
    <row r="242" customFormat="false" ht="15" hidden="false" customHeight="true" outlineLevel="0" collapsed="false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18"/>
      <c r="L242" s="19" t="str">
        <f aca="false">IF(A242="","",G242*K242)</f>
        <v/>
      </c>
      <c r="M242" s="20"/>
      <c r="N242" s="6"/>
      <c r="O242" s="6"/>
      <c r="P242" s="5" t="str">
        <f aca="false">IF(A242="","",H242/90)</f>
        <v/>
      </c>
      <c r="Q242" s="5" t="str">
        <f aca="false">IF(A242="","",IFERROR(INDEX(Parâmetros!$C$6:$C$10,MATCH(F242,Parâmetros!$B$6:$B$10,0)),""))</f>
        <v/>
      </c>
      <c r="R242" s="5" t="str">
        <f aca="false">IF(OR(A242="",P242="",Q242=""),"",P242*Q242)</f>
        <v/>
      </c>
      <c r="S242" s="5" t="str">
        <f aca="false">IF(R242="","",MAX(0,R242-G242))</f>
        <v/>
      </c>
      <c r="T242" s="21" t="str">
        <f aca="false">IF(S242="","",S242*K242)</f>
        <v/>
      </c>
      <c r="U242" s="5" t="str">
        <f aca="false">IF(A242="","",IF(J242&gt;Parâmetros!$C$14,"SIM","NAO"))</f>
        <v/>
      </c>
      <c r="V242" s="5" t="str">
        <f aca="false">IF(B242="","",TRIM(LEFT(B242,IFERROR(FIND(" ",B242)-1,LEN(B242)))))</f>
        <v/>
      </c>
      <c r="W242" s="22"/>
      <c r="X242" s="5" t="str">
        <f aca="false">IF(A242="","",IF(W242&lt;&gt;"",W242,V242))</f>
        <v/>
      </c>
      <c r="Y242" s="5" t="str">
        <f aca="false">IF(A242="","",IF(COUNTIFS($X$2:$X$2001,X242,$D$2:$D$2001,"&lt;&gt;"&amp;D242,$C$2:$C$2001,C242)&gt;0,"SIM","NAO"))</f>
        <v/>
      </c>
      <c r="Z242" s="5" t="str">
        <f aca="false">IF(A242="","",IF(J242="","",IFERROR(360/J242,"")))</f>
        <v/>
      </c>
      <c r="AA242" s="5" t="str">
        <f aca="false">IF(A242="","",IF(H242=0,"Parado (sem venda 90d)",IF(Z242&gt;12,"Alto (&gt;12x/ano)",IF(Z242&gt;=4,"Medio (4-12x/ano)","Baixo (&lt;4x/ano)"))))</f>
        <v/>
      </c>
    </row>
    <row r="243" customFormat="false" ht="15" hidden="false" customHeight="true" outlineLevel="0" collapsed="false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18"/>
      <c r="L243" s="19" t="str">
        <f aca="false">IF(A243="","",G243*K243)</f>
        <v/>
      </c>
      <c r="M243" s="20"/>
      <c r="N243" s="6"/>
      <c r="O243" s="6"/>
      <c r="P243" s="5" t="str">
        <f aca="false">IF(A243="","",H243/90)</f>
        <v/>
      </c>
      <c r="Q243" s="5" t="str">
        <f aca="false">IF(A243="","",IFERROR(INDEX(Parâmetros!$C$6:$C$10,MATCH(F243,Parâmetros!$B$6:$B$10,0)),""))</f>
        <v/>
      </c>
      <c r="R243" s="5" t="str">
        <f aca="false">IF(OR(A243="",P243="",Q243=""),"",P243*Q243)</f>
        <v/>
      </c>
      <c r="S243" s="5" t="str">
        <f aca="false">IF(R243="","",MAX(0,R243-G243))</f>
        <v/>
      </c>
      <c r="T243" s="21" t="str">
        <f aca="false">IF(S243="","",S243*K243)</f>
        <v/>
      </c>
      <c r="U243" s="5" t="str">
        <f aca="false">IF(A243="","",IF(J243&gt;Parâmetros!$C$14,"SIM","NAO"))</f>
        <v/>
      </c>
      <c r="V243" s="5" t="str">
        <f aca="false">IF(B243="","",TRIM(LEFT(B243,IFERROR(FIND(" ",B243)-1,LEN(B243)))))</f>
        <v/>
      </c>
      <c r="W243" s="22"/>
      <c r="X243" s="5" t="str">
        <f aca="false">IF(A243="","",IF(W243&lt;&gt;"",W243,V243))</f>
        <v/>
      </c>
      <c r="Y243" s="5" t="str">
        <f aca="false">IF(A243="","",IF(COUNTIFS($X$2:$X$2001,X243,$D$2:$D$2001,"&lt;&gt;"&amp;D243,$C$2:$C$2001,C243)&gt;0,"SIM","NAO"))</f>
        <v/>
      </c>
      <c r="Z243" s="5" t="str">
        <f aca="false">IF(A243="","",IF(J243="","",IFERROR(360/J243,"")))</f>
        <v/>
      </c>
      <c r="AA243" s="5" t="str">
        <f aca="false">IF(A243="","",IF(H243=0,"Parado (sem venda 90d)",IF(Z243&gt;12,"Alto (&gt;12x/ano)",IF(Z243&gt;=4,"Medio (4-12x/ano)","Baixo (&lt;4x/ano)"))))</f>
        <v/>
      </c>
    </row>
    <row r="244" customFormat="false" ht="15" hidden="false" customHeight="true" outlineLevel="0" collapsed="false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18"/>
      <c r="L244" s="19" t="str">
        <f aca="false">IF(A244="","",G244*K244)</f>
        <v/>
      </c>
      <c r="M244" s="20"/>
      <c r="N244" s="6"/>
      <c r="O244" s="6"/>
      <c r="P244" s="5" t="str">
        <f aca="false">IF(A244="","",H244/90)</f>
        <v/>
      </c>
      <c r="Q244" s="5" t="str">
        <f aca="false">IF(A244="","",IFERROR(INDEX(Parâmetros!$C$6:$C$10,MATCH(F244,Parâmetros!$B$6:$B$10,0)),""))</f>
        <v/>
      </c>
      <c r="R244" s="5" t="str">
        <f aca="false">IF(OR(A244="",P244="",Q244=""),"",P244*Q244)</f>
        <v/>
      </c>
      <c r="S244" s="5" t="str">
        <f aca="false">IF(R244="","",MAX(0,R244-G244))</f>
        <v/>
      </c>
      <c r="T244" s="21" t="str">
        <f aca="false">IF(S244="","",S244*K244)</f>
        <v/>
      </c>
      <c r="U244" s="5" t="str">
        <f aca="false">IF(A244="","",IF(J244&gt;Parâmetros!$C$14,"SIM","NAO"))</f>
        <v/>
      </c>
      <c r="V244" s="5" t="str">
        <f aca="false">IF(B244="","",TRIM(LEFT(B244,IFERROR(FIND(" ",B244)-1,LEN(B244)))))</f>
        <v/>
      </c>
      <c r="W244" s="22"/>
      <c r="X244" s="5" t="str">
        <f aca="false">IF(A244="","",IF(W244&lt;&gt;"",W244,V244))</f>
        <v/>
      </c>
      <c r="Y244" s="5" t="str">
        <f aca="false">IF(A244="","",IF(COUNTIFS($X$2:$X$2001,X244,$D$2:$D$2001,"&lt;&gt;"&amp;D244,$C$2:$C$2001,C244)&gt;0,"SIM","NAO"))</f>
        <v/>
      </c>
      <c r="Z244" s="5" t="str">
        <f aca="false">IF(A244="","",IF(J244="","",IFERROR(360/J244,"")))</f>
        <v/>
      </c>
      <c r="AA244" s="5" t="str">
        <f aca="false">IF(A244="","",IF(H244=0,"Parado (sem venda 90d)",IF(Z244&gt;12,"Alto (&gt;12x/ano)",IF(Z244&gt;=4,"Medio (4-12x/ano)","Baixo (&lt;4x/ano)"))))</f>
        <v/>
      </c>
    </row>
    <row r="245" customFormat="false" ht="15" hidden="false" customHeight="true" outlineLevel="0" collapsed="false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18"/>
      <c r="L245" s="19" t="str">
        <f aca="false">IF(A245="","",G245*K245)</f>
        <v/>
      </c>
      <c r="M245" s="20"/>
      <c r="N245" s="6"/>
      <c r="O245" s="6"/>
      <c r="P245" s="5" t="str">
        <f aca="false">IF(A245="","",H245/90)</f>
        <v/>
      </c>
      <c r="Q245" s="5" t="str">
        <f aca="false">IF(A245="","",IFERROR(INDEX(Parâmetros!$C$6:$C$10,MATCH(F245,Parâmetros!$B$6:$B$10,0)),""))</f>
        <v/>
      </c>
      <c r="R245" s="5" t="str">
        <f aca="false">IF(OR(A245="",P245="",Q245=""),"",P245*Q245)</f>
        <v/>
      </c>
      <c r="S245" s="5" t="str">
        <f aca="false">IF(R245="","",MAX(0,R245-G245))</f>
        <v/>
      </c>
      <c r="T245" s="21" t="str">
        <f aca="false">IF(S245="","",S245*K245)</f>
        <v/>
      </c>
      <c r="U245" s="5" t="str">
        <f aca="false">IF(A245="","",IF(J245&gt;Parâmetros!$C$14,"SIM","NAO"))</f>
        <v/>
      </c>
      <c r="V245" s="5" t="str">
        <f aca="false">IF(B245="","",TRIM(LEFT(B245,IFERROR(FIND(" ",B245)-1,LEN(B245)))))</f>
        <v/>
      </c>
      <c r="W245" s="22"/>
      <c r="X245" s="5" t="str">
        <f aca="false">IF(A245="","",IF(W245&lt;&gt;"",W245,V245))</f>
        <v/>
      </c>
      <c r="Y245" s="5" t="str">
        <f aca="false">IF(A245="","",IF(COUNTIFS($X$2:$X$2001,X245,$D$2:$D$2001,"&lt;&gt;"&amp;D245,$C$2:$C$2001,C245)&gt;0,"SIM","NAO"))</f>
        <v/>
      </c>
      <c r="Z245" s="5" t="str">
        <f aca="false">IF(A245="","",IF(J245="","",IFERROR(360/J245,"")))</f>
        <v/>
      </c>
      <c r="AA245" s="5" t="str">
        <f aca="false">IF(A245="","",IF(H245=0,"Parado (sem venda 90d)",IF(Z245&gt;12,"Alto (&gt;12x/ano)",IF(Z245&gt;=4,"Medio (4-12x/ano)","Baixo (&lt;4x/ano)"))))</f>
        <v/>
      </c>
    </row>
    <row r="246" customFormat="false" ht="15" hidden="false" customHeight="true" outlineLevel="0" collapsed="false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18"/>
      <c r="L246" s="19" t="str">
        <f aca="false">IF(A246="","",G246*K246)</f>
        <v/>
      </c>
      <c r="M246" s="20"/>
      <c r="N246" s="6"/>
      <c r="O246" s="6"/>
      <c r="P246" s="5" t="str">
        <f aca="false">IF(A246="","",H246/90)</f>
        <v/>
      </c>
      <c r="Q246" s="5" t="str">
        <f aca="false">IF(A246="","",IFERROR(INDEX(Parâmetros!$C$6:$C$10,MATCH(F246,Parâmetros!$B$6:$B$10,0)),""))</f>
        <v/>
      </c>
      <c r="R246" s="5" t="str">
        <f aca="false">IF(OR(A246="",P246="",Q246=""),"",P246*Q246)</f>
        <v/>
      </c>
      <c r="S246" s="5" t="str">
        <f aca="false">IF(R246="","",MAX(0,R246-G246))</f>
        <v/>
      </c>
      <c r="T246" s="21" t="str">
        <f aca="false">IF(S246="","",S246*K246)</f>
        <v/>
      </c>
      <c r="U246" s="5" t="str">
        <f aca="false">IF(A246="","",IF(J246&gt;Parâmetros!$C$14,"SIM","NAO"))</f>
        <v/>
      </c>
      <c r="V246" s="5" t="str">
        <f aca="false">IF(B246="","",TRIM(LEFT(B246,IFERROR(FIND(" ",B246)-1,LEN(B246)))))</f>
        <v/>
      </c>
      <c r="W246" s="22"/>
      <c r="X246" s="5" t="str">
        <f aca="false">IF(A246="","",IF(W246&lt;&gt;"",W246,V246))</f>
        <v/>
      </c>
      <c r="Y246" s="5" t="str">
        <f aca="false">IF(A246="","",IF(COUNTIFS($X$2:$X$2001,X246,$D$2:$D$2001,"&lt;&gt;"&amp;D246,$C$2:$C$2001,C246)&gt;0,"SIM","NAO"))</f>
        <v/>
      </c>
      <c r="Z246" s="5" t="str">
        <f aca="false">IF(A246="","",IF(J246="","",IFERROR(360/J246,"")))</f>
        <v/>
      </c>
      <c r="AA246" s="5" t="str">
        <f aca="false">IF(A246="","",IF(H246=0,"Parado (sem venda 90d)",IF(Z246&gt;12,"Alto (&gt;12x/ano)",IF(Z246&gt;=4,"Medio (4-12x/ano)","Baixo (&lt;4x/ano)"))))</f>
        <v/>
      </c>
    </row>
    <row r="247" customFormat="false" ht="15" hidden="false" customHeight="true" outlineLevel="0" collapsed="false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18"/>
      <c r="L247" s="19" t="str">
        <f aca="false">IF(A247="","",G247*K247)</f>
        <v/>
      </c>
      <c r="M247" s="20"/>
      <c r="N247" s="6"/>
      <c r="O247" s="6"/>
      <c r="P247" s="5" t="str">
        <f aca="false">IF(A247="","",H247/90)</f>
        <v/>
      </c>
      <c r="Q247" s="5" t="str">
        <f aca="false">IF(A247="","",IFERROR(INDEX(Parâmetros!$C$6:$C$10,MATCH(F247,Parâmetros!$B$6:$B$10,0)),""))</f>
        <v/>
      </c>
      <c r="R247" s="5" t="str">
        <f aca="false">IF(OR(A247="",P247="",Q247=""),"",P247*Q247)</f>
        <v/>
      </c>
      <c r="S247" s="5" t="str">
        <f aca="false">IF(R247="","",MAX(0,R247-G247))</f>
        <v/>
      </c>
      <c r="T247" s="21" t="str">
        <f aca="false">IF(S247="","",S247*K247)</f>
        <v/>
      </c>
      <c r="U247" s="5" t="str">
        <f aca="false">IF(A247="","",IF(J247&gt;Parâmetros!$C$14,"SIM","NAO"))</f>
        <v/>
      </c>
      <c r="V247" s="5" t="str">
        <f aca="false">IF(B247="","",TRIM(LEFT(B247,IFERROR(FIND(" ",B247)-1,LEN(B247)))))</f>
        <v/>
      </c>
      <c r="W247" s="22"/>
      <c r="X247" s="5" t="str">
        <f aca="false">IF(A247="","",IF(W247&lt;&gt;"",W247,V247))</f>
        <v/>
      </c>
      <c r="Y247" s="5" t="str">
        <f aca="false">IF(A247="","",IF(COUNTIFS($X$2:$X$2001,X247,$D$2:$D$2001,"&lt;&gt;"&amp;D247,$C$2:$C$2001,C247)&gt;0,"SIM","NAO"))</f>
        <v/>
      </c>
      <c r="Z247" s="5" t="str">
        <f aca="false">IF(A247="","",IF(J247="","",IFERROR(360/J247,"")))</f>
        <v/>
      </c>
      <c r="AA247" s="5" t="str">
        <f aca="false">IF(A247="","",IF(H247=0,"Parado (sem venda 90d)",IF(Z247&gt;12,"Alto (&gt;12x/ano)",IF(Z247&gt;=4,"Medio (4-12x/ano)","Baixo (&lt;4x/ano)"))))</f>
        <v/>
      </c>
    </row>
    <row r="248" customFormat="false" ht="15" hidden="false" customHeight="true" outlineLevel="0" collapsed="false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18"/>
      <c r="L248" s="19" t="str">
        <f aca="false">IF(A248="","",G248*K248)</f>
        <v/>
      </c>
      <c r="M248" s="20"/>
      <c r="N248" s="6"/>
      <c r="O248" s="6"/>
      <c r="P248" s="5" t="str">
        <f aca="false">IF(A248="","",H248/90)</f>
        <v/>
      </c>
      <c r="Q248" s="5" t="str">
        <f aca="false">IF(A248="","",IFERROR(INDEX(Parâmetros!$C$6:$C$10,MATCH(F248,Parâmetros!$B$6:$B$10,0)),""))</f>
        <v/>
      </c>
      <c r="R248" s="5" t="str">
        <f aca="false">IF(OR(A248="",P248="",Q248=""),"",P248*Q248)</f>
        <v/>
      </c>
      <c r="S248" s="5" t="str">
        <f aca="false">IF(R248="","",MAX(0,R248-G248))</f>
        <v/>
      </c>
      <c r="T248" s="21" t="str">
        <f aca="false">IF(S248="","",S248*K248)</f>
        <v/>
      </c>
      <c r="U248" s="5" t="str">
        <f aca="false">IF(A248="","",IF(J248&gt;Parâmetros!$C$14,"SIM","NAO"))</f>
        <v/>
      </c>
      <c r="V248" s="5" t="str">
        <f aca="false">IF(B248="","",TRIM(LEFT(B248,IFERROR(FIND(" ",B248)-1,LEN(B248)))))</f>
        <v/>
      </c>
      <c r="W248" s="22"/>
      <c r="X248" s="5" t="str">
        <f aca="false">IF(A248="","",IF(W248&lt;&gt;"",W248,V248))</f>
        <v/>
      </c>
      <c r="Y248" s="5" t="str">
        <f aca="false">IF(A248="","",IF(COUNTIFS($X$2:$X$2001,X248,$D$2:$D$2001,"&lt;&gt;"&amp;D248,$C$2:$C$2001,C248)&gt;0,"SIM","NAO"))</f>
        <v/>
      </c>
      <c r="Z248" s="5" t="str">
        <f aca="false">IF(A248="","",IF(J248="","",IFERROR(360/J248,"")))</f>
        <v/>
      </c>
      <c r="AA248" s="5" t="str">
        <f aca="false">IF(A248="","",IF(H248=0,"Parado (sem venda 90d)",IF(Z248&gt;12,"Alto (&gt;12x/ano)",IF(Z248&gt;=4,"Medio (4-12x/ano)","Baixo (&lt;4x/ano)"))))</f>
        <v/>
      </c>
    </row>
    <row r="249" customFormat="false" ht="15" hidden="false" customHeight="true" outlineLevel="0" collapsed="false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18"/>
      <c r="L249" s="19" t="str">
        <f aca="false">IF(A249="","",G249*K249)</f>
        <v/>
      </c>
      <c r="M249" s="20"/>
      <c r="N249" s="6"/>
      <c r="O249" s="6"/>
      <c r="P249" s="5" t="str">
        <f aca="false">IF(A249="","",H249/90)</f>
        <v/>
      </c>
      <c r="Q249" s="5" t="str">
        <f aca="false">IF(A249="","",IFERROR(INDEX(Parâmetros!$C$6:$C$10,MATCH(F249,Parâmetros!$B$6:$B$10,0)),""))</f>
        <v/>
      </c>
      <c r="R249" s="5" t="str">
        <f aca="false">IF(OR(A249="",P249="",Q249=""),"",P249*Q249)</f>
        <v/>
      </c>
      <c r="S249" s="5" t="str">
        <f aca="false">IF(R249="","",MAX(0,R249-G249))</f>
        <v/>
      </c>
      <c r="T249" s="21" t="str">
        <f aca="false">IF(S249="","",S249*K249)</f>
        <v/>
      </c>
      <c r="U249" s="5" t="str">
        <f aca="false">IF(A249="","",IF(J249&gt;Parâmetros!$C$14,"SIM","NAO"))</f>
        <v/>
      </c>
      <c r="V249" s="5" t="str">
        <f aca="false">IF(B249="","",TRIM(LEFT(B249,IFERROR(FIND(" ",B249)-1,LEN(B249)))))</f>
        <v/>
      </c>
      <c r="W249" s="22"/>
      <c r="X249" s="5" t="str">
        <f aca="false">IF(A249="","",IF(W249&lt;&gt;"",W249,V249))</f>
        <v/>
      </c>
      <c r="Y249" s="5" t="str">
        <f aca="false">IF(A249="","",IF(COUNTIFS($X$2:$X$2001,X249,$D$2:$D$2001,"&lt;&gt;"&amp;D249,$C$2:$C$2001,C249)&gt;0,"SIM","NAO"))</f>
        <v/>
      </c>
      <c r="Z249" s="5" t="str">
        <f aca="false">IF(A249="","",IF(J249="","",IFERROR(360/J249,"")))</f>
        <v/>
      </c>
      <c r="AA249" s="5" t="str">
        <f aca="false">IF(A249="","",IF(H249=0,"Parado (sem venda 90d)",IF(Z249&gt;12,"Alto (&gt;12x/ano)",IF(Z249&gt;=4,"Medio (4-12x/ano)","Baixo (&lt;4x/ano)"))))</f>
        <v/>
      </c>
    </row>
    <row r="250" customFormat="false" ht="15" hidden="false" customHeight="true" outlineLevel="0" collapsed="false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18"/>
      <c r="L250" s="19" t="str">
        <f aca="false">IF(A250="","",G250*K250)</f>
        <v/>
      </c>
      <c r="M250" s="20"/>
      <c r="N250" s="6"/>
      <c r="O250" s="6"/>
      <c r="P250" s="5" t="str">
        <f aca="false">IF(A250="","",H250/90)</f>
        <v/>
      </c>
      <c r="Q250" s="5" t="str">
        <f aca="false">IF(A250="","",IFERROR(INDEX(Parâmetros!$C$6:$C$10,MATCH(F250,Parâmetros!$B$6:$B$10,0)),""))</f>
        <v/>
      </c>
      <c r="R250" s="5" t="str">
        <f aca="false">IF(OR(A250="",P250="",Q250=""),"",P250*Q250)</f>
        <v/>
      </c>
      <c r="S250" s="5" t="str">
        <f aca="false">IF(R250="","",MAX(0,R250-G250))</f>
        <v/>
      </c>
      <c r="T250" s="21" t="str">
        <f aca="false">IF(S250="","",S250*K250)</f>
        <v/>
      </c>
      <c r="U250" s="5" t="str">
        <f aca="false">IF(A250="","",IF(J250&gt;Parâmetros!$C$14,"SIM","NAO"))</f>
        <v/>
      </c>
      <c r="V250" s="5" t="str">
        <f aca="false">IF(B250="","",TRIM(LEFT(B250,IFERROR(FIND(" ",B250)-1,LEN(B250)))))</f>
        <v/>
      </c>
      <c r="W250" s="22"/>
      <c r="X250" s="5" t="str">
        <f aca="false">IF(A250="","",IF(W250&lt;&gt;"",W250,V250))</f>
        <v/>
      </c>
      <c r="Y250" s="5" t="str">
        <f aca="false">IF(A250="","",IF(COUNTIFS($X$2:$X$2001,X250,$D$2:$D$2001,"&lt;&gt;"&amp;D250,$C$2:$C$2001,C250)&gt;0,"SIM","NAO"))</f>
        <v/>
      </c>
      <c r="Z250" s="5" t="str">
        <f aca="false">IF(A250="","",IF(J250="","",IFERROR(360/J250,"")))</f>
        <v/>
      </c>
      <c r="AA250" s="5" t="str">
        <f aca="false">IF(A250="","",IF(H250=0,"Parado (sem venda 90d)",IF(Z250&gt;12,"Alto (&gt;12x/ano)",IF(Z250&gt;=4,"Medio (4-12x/ano)","Baixo (&lt;4x/ano)"))))</f>
        <v/>
      </c>
    </row>
    <row r="251" customFormat="false" ht="15" hidden="false" customHeight="true" outlineLevel="0" collapsed="false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18"/>
      <c r="L251" s="19" t="str">
        <f aca="false">IF(A251="","",G251*K251)</f>
        <v/>
      </c>
      <c r="M251" s="20"/>
      <c r="N251" s="6"/>
      <c r="O251" s="6"/>
      <c r="P251" s="5" t="str">
        <f aca="false">IF(A251="","",H251/90)</f>
        <v/>
      </c>
      <c r="Q251" s="5" t="str">
        <f aca="false">IF(A251="","",IFERROR(INDEX(Parâmetros!$C$6:$C$10,MATCH(F251,Parâmetros!$B$6:$B$10,0)),""))</f>
        <v/>
      </c>
      <c r="R251" s="5" t="str">
        <f aca="false">IF(OR(A251="",P251="",Q251=""),"",P251*Q251)</f>
        <v/>
      </c>
      <c r="S251" s="5" t="str">
        <f aca="false">IF(R251="","",MAX(0,R251-G251))</f>
        <v/>
      </c>
      <c r="T251" s="21" t="str">
        <f aca="false">IF(S251="","",S251*K251)</f>
        <v/>
      </c>
      <c r="U251" s="5" t="str">
        <f aca="false">IF(A251="","",IF(J251&gt;Parâmetros!$C$14,"SIM","NAO"))</f>
        <v/>
      </c>
      <c r="V251" s="5" t="str">
        <f aca="false">IF(B251="","",TRIM(LEFT(B251,IFERROR(FIND(" ",B251)-1,LEN(B251)))))</f>
        <v/>
      </c>
      <c r="W251" s="22"/>
      <c r="X251" s="5" t="str">
        <f aca="false">IF(A251="","",IF(W251&lt;&gt;"",W251,V251))</f>
        <v/>
      </c>
      <c r="Y251" s="5" t="str">
        <f aca="false">IF(A251="","",IF(COUNTIFS($X$2:$X$2001,X251,$D$2:$D$2001,"&lt;&gt;"&amp;D251,$C$2:$C$2001,C251)&gt;0,"SIM","NAO"))</f>
        <v/>
      </c>
      <c r="Z251" s="5" t="str">
        <f aca="false">IF(A251="","",IF(J251="","",IFERROR(360/J251,"")))</f>
        <v/>
      </c>
      <c r="AA251" s="5" t="str">
        <f aca="false">IF(A251="","",IF(H251=0,"Parado (sem venda 90d)",IF(Z251&gt;12,"Alto (&gt;12x/ano)",IF(Z251&gt;=4,"Medio (4-12x/ano)","Baixo (&lt;4x/ano)"))))</f>
        <v/>
      </c>
    </row>
    <row r="252" customFormat="false" ht="15" hidden="false" customHeight="true" outlineLevel="0" collapsed="false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18"/>
      <c r="L252" s="19" t="str">
        <f aca="false">IF(A252="","",G252*K252)</f>
        <v/>
      </c>
      <c r="M252" s="20"/>
      <c r="N252" s="6"/>
      <c r="O252" s="6"/>
      <c r="P252" s="5" t="str">
        <f aca="false">IF(A252="","",H252/90)</f>
        <v/>
      </c>
      <c r="Q252" s="5" t="str">
        <f aca="false">IF(A252="","",IFERROR(INDEX(Parâmetros!$C$6:$C$10,MATCH(F252,Parâmetros!$B$6:$B$10,0)),""))</f>
        <v/>
      </c>
      <c r="R252" s="5" t="str">
        <f aca="false">IF(OR(A252="",P252="",Q252=""),"",P252*Q252)</f>
        <v/>
      </c>
      <c r="S252" s="5" t="str">
        <f aca="false">IF(R252="","",MAX(0,R252-G252))</f>
        <v/>
      </c>
      <c r="T252" s="21" t="str">
        <f aca="false">IF(S252="","",S252*K252)</f>
        <v/>
      </c>
      <c r="U252" s="5" t="str">
        <f aca="false">IF(A252="","",IF(J252&gt;Parâmetros!$C$14,"SIM","NAO"))</f>
        <v/>
      </c>
      <c r="V252" s="5" t="str">
        <f aca="false">IF(B252="","",TRIM(LEFT(B252,IFERROR(FIND(" ",B252)-1,LEN(B252)))))</f>
        <v/>
      </c>
      <c r="W252" s="22"/>
      <c r="X252" s="5" t="str">
        <f aca="false">IF(A252="","",IF(W252&lt;&gt;"",W252,V252))</f>
        <v/>
      </c>
      <c r="Y252" s="5" t="str">
        <f aca="false">IF(A252="","",IF(COUNTIFS($X$2:$X$2001,X252,$D$2:$D$2001,"&lt;&gt;"&amp;D252,$C$2:$C$2001,C252)&gt;0,"SIM","NAO"))</f>
        <v/>
      </c>
      <c r="Z252" s="5" t="str">
        <f aca="false">IF(A252="","",IF(J252="","",IFERROR(360/J252,"")))</f>
        <v/>
      </c>
      <c r="AA252" s="5" t="str">
        <f aca="false">IF(A252="","",IF(H252=0,"Parado (sem venda 90d)",IF(Z252&gt;12,"Alto (&gt;12x/ano)",IF(Z252&gt;=4,"Medio (4-12x/ano)","Baixo (&lt;4x/ano)"))))</f>
        <v/>
      </c>
    </row>
    <row r="253" customFormat="false" ht="15" hidden="false" customHeight="true" outlineLevel="0" collapsed="false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18"/>
      <c r="L253" s="19" t="str">
        <f aca="false">IF(A253="","",G253*K253)</f>
        <v/>
      </c>
      <c r="M253" s="20"/>
      <c r="N253" s="6"/>
      <c r="O253" s="6"/>
      <c r="P253" s="5" t="str">
        <f aca="false">IF(A253="","",H253/90)</f>
        <v/>
      </c>
      <c r="Q253" s="5" t="str">
        <f aca="false">IF(A253="","",IFERROR(INDEX(Parâmetros!$C$6:$C$10,MATCH(F253,Parâmetros!$B$6:$B$10,0)),""))</f>
        <v/>
      </c>
      <c r="R253" s="5" t="str">
        <f aca="false">IF(OR(A253="",P253="",Q253=""),"",P253*Q253)</f>
        <v/>
      </c>
      <c r="S253" s="5" t="str">
        <f aca="false">IF(R253="","",MAX(0,R253-G253))</f>
        <v/>
      </c>
      <c r="T253" s="21" t="str">
        <f aca="false">IF(S253="","",S253*K253)</f>
        <v/>
      </c>
      <c r="U253" s="5" t="str">
        <f aca="false">IF(A253="","",IF(J253&gt;Parâmetros!$C$14,"SIM","NAO"))</f>
        <v/>
      </c>
      <c r="V253" s="5" t="str">
        <f aca="false">IF(B253="","",TRIM(LEFT(B253,IFERROR(FIND(" ",B253)-1,LEN(B253)))))</f>
        <v/>
      </c>
      <c r="W253" s="22"/>
      <c r="X253" s="5" t="str">
        <f aca="false">IF(A253="","",IF(W253&lt;&gt;"",W253,V253))</f>
        <v/>
      </c>
      <c r="Y253" s="5" t="str">
        <f aca="false">IF(A253="","",IF(COUNTIFS($X$2:$X$2001,X253,$D$2:$D$2001,"&lt;&gt;"&amp;D253,$C$2:$C$2001,C253)&gt;0,"SIM","NAO"))</f>
        <v/>
      </c>
      <c r="Z253" s="5" t="str">
        <f aca="false">IF(A253="","",IF(J253="","",IFERROR(360/J253,"")))</f>
        <v/>
      </c>
      <c r="AA253" s="5" t="str">
        <f aca="false">IF(A253="","",IF(H253=0,"Parado (sem venda 90d)",IF(Z253&gt;12,"Alto (&gt;12x/ano)",IF(Z253&gt;=4,"Medio (4-12x/ano)","Baixo (&lt;4x/ano)"))))</f>
        <v/>
      </c>
    </row>
    <row r="254" customFormat="false" ht="15" hidden="false" customHeight="true" outlineLevel="0" collapsed="false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18"/>
      <c r="L254" s="19" t="str">
        <f aca="false">IF(A254="","",G254*K254)</f>
        <v/>
      </c>
      <c r="M254" s="20"/>
      <c r="N254" s="6"/>
      <c r="O254" s="6"/>
      <c r="P254" s="5" t="str">
        <f aca="false">IF(A254="","",H254/90)</f>
        <v/>
      </c>
      <c r="Q254" s="5" t="str">
        <f aca="false">IF(A254="","",IFERROR(INDEX(Parâmetros!$C$6:$C$10,MATCH(F254,Parâmetros!$B$6:$B$10,0)),""))</f>
        <v/>
      </c>
      <c r="R254" s="5" t="str">
        <f aca="false">IF(OR(A254="",P254="",Q254=""),"",P254*Q254)</f>
        <v/>
      </c>
      <c r="S254" s="5" t="str">
        <f aca="false">IF(R254="","",MAX(0,R254-G254))</f>
        <v/>
      </c>
      <c r="T254" s="21" t="str">
        <f aca="false">IF(S254="","",S254*K254)</f>
        <v/>
      </c>
      <c r="U254" s="5" t="str">
        <f aca="false">IF(A254="","",IF(J254&gt;Parâmetros!$C$14,"SIM","NAO"))</f>
        <v/>
      </c>
      <c r="V254" s="5" t="str">
        <f aca="false">IF(B254="","",TRIM(LEFT(B254,IFERROR(FIND(" ",B254)-1,LEN(B254)))))</f>
        <v/>
      </c>
      <c r="W254" s="22"/>
      <c r="X254" s="5" t="str">
        <f aca="false">IF(A254="","",IF(W254&lt;&gt;"",W254,V254))</f>
        <v/>
      </c>
      <c r="Y254" s="5" t="str">
        <f aca="false">IF(A254="","",IF(COUNTIFS($X$2:$X$2001,X254,$D$2:$D$2001,"&lt;&gt;"&amp;D254,$C$2:$C$2001,C254)&gt;0,"SIM","NAO"))</f>
        <v/>
      </c>
      <c r="Z254" s="5" t="str">
        <f aca="false">IF(A254="","",IF(J254="","",IFERROR(360/J254,"")))</f>
        <v/>
      </c>
      <c r="AA254" s="5" t="str">
        <f aca="false">IF(A254="","",IF(H254=0,"Parado (sem venda 90d)",IF(Z254&gt;12,"Alto (&gt;12x/ano)",IF(Z254&gt;=4,"Medio (4-12x/ano)","Baixo (&lt;4x/ano)"))))</f>
        <v/>
      </c>
    </row>
    <row r="255" customFormat="false" ht="15" hidden="false" customHeight="true" outlineLevel="0" collapsed="false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18"/>
      <c r="L255" s="19" t="str">
        <f aca="false">IF(A255="","",G255*K255)</f>
        <v/>
      </c>
      <c r="M255" s="20"/>
      <c r="N255" s="6"/>
      <c r="O255" s="6"/>
      <c r="P255" s="5" t="str">
        <f aca="false">IF(A255="","",H255/90)</f>
        <v/>
      </c>
      <c r="Q255" s="5" t="str">
        <f aca="false">IF(A255="","",IFERROR(INDEX(Parâmetros!$C$6:$C$10,MATCH(F255,Parâmetros!$B$6:$B$10,0)),""))</f>
        <v/>
      </c>
      <c r="R255" s="5" t="str">
        <f aca="false">IF(OR(A255="",P255="",Q255=""),"",P255*Q255)</f>
        <v/>
      </c>
      <c r="S255" s="5" t="str">
        <f aca="false">IF(R255="","",MAX(0,R255-G255))</f>
        <v/>
      </c>
      <c r="T255" s="21" t="str">
        <f aca="false">IF(S255="","",S255*K255)</f>
        <v/>
      </c>
      <c r="U255" s="5" t="str">
        <f aca="false">IF(A255="","",IF(J255&gt;Parâmetros!$C$14,"SIM","NAO"))</f>
        <v/>
      </c>
      <c r="V255" s="5" t="str">
        <f aca="false">IF(B255="","",TRIM(LEFT(B255,IFERROR(FIND(" ",B255)-1,LEN(B255)))))</f>
        <v/>
      </c>
      <c r="W255" s="22"/>
      <c r="X255" s="5" t="str">
        <f aca="false">IF(A255="","",IF(W255&lt;&gt;"",W255,V255))</f>
        <v/>
      </c>
      <c r="Y255" s="5" t="str">
        <f aca="false">IF(A255="","",IF(COUNTIFS($X$2:$X$2001,X255,$D$2:$D$2001,"&lt;&gt;"&amp;D255,$C$2:$C$2001,C255)&gt;0,"SIM","NAO"))</f>
        <v/>
      </c>
      <c r="Z255" s="5" t="str">
        <f aca="false">IF(A255="","",IF(J255="","",IFERROR(360/J255,"")))</f>
        <v/>
      </c>
      <c r="AA255" s="5" t="str">
        <f aca="false">IF(A255="","",IF(H255=0,"Parado (sem venda 90d)",IF(Z255&gt;12,"Alto (&gt;12x/ano)",IF(Z255&gt;=4,"Medio (4-12x/ano)","Baixo (&lt;4x/ano)"))))</f>
        <v/>
      </c>
    </row>
    <row r="256" customFormat="false" ht="15" hidden="false" customHeight="true" outlineLevel="0" collapsed="false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18"/>
      <c r="L256" s="19" t="str">
        <f aca="false">IF(A256="","",G256*K256)</f>
        <v/>
      </c>
      <c r="M256" s="20"/>
      <c r="N256" s="6"/>
      <c r="O256" s="6"/>
      <c r="P256" s="5" t="str">
        <f aca="false">IF(A256="","",H256/90)</f>
        <v/>
      </c>
      <c r="Q256" s="5" t="str">
        <f aca="false">IF(A256="","",IFERROR(INDEX(Parâmetros!$C$6:$C$10,MATCH(F256,Parâmetros!$B$6:$B$10,0)),""))</f>
        <v/>
      </c>
      <c r="R256" s="5" t="str">
        <f aca="false">IF(OR(A256="",P256="",Q256=""),"",P256*Q256)</f>
        <v/>
      </c>
      <c r="S256" s="5" t="str">
        <f aca="false">IF(R256="","",MAX(0,R256-G256))</f>
        <v/>
      </c>
      <c r="T256" s="21" t="str">
        <f aca="false">IF(S256="","",S256*K256)</f>
        <v/>
      </c>
      <c r="U256" s="5" t="str">
        <f aca="false">IF(A256="","",IF(J256&gt;Parâmetros!$C$14,"SIM","NAO"))</f>
        <v/>
      </c>
      <c r="V256" s="5" t="str">
        <f aca="false">IF(B256="","",TRIM(LEFT(B256,IFERROR(FIND(" ",B256)-1,LEN(B256)))))</f>
        <v/>
      </c>
      <c r="W256" s="22"/>
      <c r="X256" s="5" t="str">
        <f aca="false">IF(A256="","",IF(W256&lt;&gt;"",W256,V256))</f>
        <v/>
      </c>
      <c r="Y256" s="5" t="str">
        <f aca="false">IF(A256="","",IF(COUNTIFS($X$2:$X$2001,X256,$D$2:$D$2001,"&lt;&gt;"&amp;D256,$C$2:$C$2001,C256)&gt;0,"SIM","NAO"))</f>
        <v/>
      </c>
      <c r="Z256" s="5" t="str">
        <f aca="false">IF(A256="","",IF(J256="","",IFERROR(360/J256,"")))</f>
        <v/>
      </c>
      <c r="AA256" s="5" t="str">
        <f aca="false">IF(A256="","",IF(H256=0,"Parado (sem venda 90d)",IF(Z256&gt;12,"Alto (&gt;12x/ano)",IF(Z256&gt;=4,"Medio (4-12x/ano)","Baixo (&lt;4x/ano)"))))</f>
        <v/>
      </c>
    </row>
    <row r="257" customFormat="false" ht="15" hidden="false" customHeight="true" outlineLevel="0" collapsed="false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18"/>
      <c r="L257" s="19" t="str">
        <f aca="false">IF(A257="","",G257*K257)</f>
        <v/>
      </c>
      <c r="M257" s="20"/>
      <c r="N257" s="6"/>
      <c r="O257" s="6"/>
      <c r="P257" s="5" t="str">
        <f aca="false">IF(A257="","",H257/90)</f>
        <v/>
      </c>
      <c r="Q257" s="5" t="str">
        <f aca="false">IF(A257="","",IFERROR(INDEX(Parâmetros!$C$6:$C$10,MATCH(F257,Parâmetros!$B$6:$B$10,0)),""))</f>
        <v/>
      </c>
      <c r="R257" s="5" t="str">
        <f aca="false">IF(OR(A257="",P257="",Q257=""),"",P257*Q257)</f>
        <v/>
      </c>
      <c r="S257" s="5" t="str">
        <f aca="false">IF(R257="","",MAX(0,R257-G257))</f>
        <v/>
      </c>
      <c r="T257" s="21" t="str">
        <f aca="false">IF(S257="","",S257*K257)</f>
        <v/>
      </c>
      <c r="U257" s="5" t="str">
        <f aca="false">IF(A257="","",IF(J257&gt;Parâmetros!$C$14,"SIM","NAO"))</f>
        <v/>
      </c>
      <c r="V257" s="5" t="str">
        <f aca="false">IF(B257="","",TRIM(LEFT(B257,IFERROR(FIND(" ",B257)-1,LEN(B257)))))</f>
        <v/>
      </c>
      <c r="W257" s="22"/>
      <c r="X257" s="5" t="str">
        <f aca="false">IF(A257="","",IF(W257&lt;&gt;"",W257,V257))</f>
        <v/>
      </c>
      <c r="Y257" s="5" t="str">
        <f aca="false">IF(A257="","",IF(COUNTIFS($X$2:$X$2001,X257,$D$2:$D$2001,"&lt;&gt;"&amp;D257,$C$2:$C$2001,C257)&gt;0,"SIM","NAO"))</f>
        <v/>
      </c>
      <c r="Z257" s="5" t="str">
        <f aca="false">IF(A257="","",IF(J257="","",IFERROR(360/J257,"")))</f>
        <v/>
      </c>
      <c r="AA257" s="5" t="str">
        <f aca="false">IF(A257="","",IF(H257=0,"Parado (sem venda 90d)",IF(Z257&gt;12,"Alto (&gt;12x/ano)",IF(Z257&gt;=4,"Medio (4-12x/ano)","Baixo (&lt;4x/ano)"))))</f>
        <v/>
      </c>
    </row>
    <row r="258" customFormat="false" ht="15" hidden="false" customHeight="true" outlineLevel="0" collapsed="false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18"/>
      <c r="L258" s="19" t="str">
        <f aca="false">IF(A258="","",G258*K258)</f>
        <v/>
      </c>
      <c r="M258" s="20"/>
      <c r="N258" s="6"/>
      <c r="O258" s="6"/>
      <c r="P258" s="5" t="str">
        <f aca="false">IF(A258="","",H258/90)</f>
        <v/>
      </c>
      <c r="Q258" s="5" t="str">
        <f aca="false">IF(A258="","",IFERROR(INDEX(Parâmetros!$C$6:$C$10,MATCH(F258,Parâmetros!$B$6:$B$10,0)),""))</f>
        <v/>
      </c>
      <c r="R258" s="5" t="str">
        <f aca="false">IF(OR(A258="",P258="",Q258=""),"",P258*Q258)</f>
        <v/>
      </c>
      <c r="S258" s="5" t="str">
        <f aca="false">IF(R258="","",MAX(0,R258-G258))</f>
        <v/>
      </c>
      <c r="T258" s="21" t="str">
        <f aca="false">IF(S258="","",S258*K258)</f>
        <v/>
      </c>
      <c r="U258" s="5" t="str">
        <f aca="false">IF(A258="","",IF(J258&gt;Parâmetros!$C$14,"SIM","NAO"))</f>
        <v/>
      </c>
      <c r="V258" s="5" t="str">
        <f aca="false">IF(B258="","",TRIM(LEFT(B258,IFERROR(FIND(" ",B258)-1,LEN(B258)))))</f>
        <v/>
      </c>
      <c r="W258" s="22"/>
      <c r="X258" s="5" t="str">
        <f aca="false">IF(A258="","",IF(W258&lt;&gt;"",W258,V258))</f>
        <v/>
      </c>
      <c r="Y258" s="5" t="str">
        <f aca="false">IF(A258="","",IF(COUNTIFS($X$2:$X$2001,X258,$D$2:$D$2001,"&lt;&gt;"&amp;D258,$C$2:$C$2001,C258)&gt;0,"SIM","NAO"))</f>
        <v/>
      </c>
      <c r="Z258" s="5" t="str">
        <f aca="false">IF(A258="","",IF(J258="","",IFERROR(360/J258,"")))</f>
        <v/>
      </c>
      <c r="AA258" s="5" t="str">
        <f aca="false">IF(A258="","",IF(H258=0,"Parado (sem venda 90d)",IF(Z258&gt;12,"Alto (&gt;12x/ano)",IF(Z258&gt;=4,"Medio (4-12x/ano)","Baixo (&lt;4x/ano)"))))</f>
        <v/>
      </c>
    </row>
    <row r="259" customFormat="false" ht="15" hidden="false" customHeight="true" outlineLevel="0" collapsed="false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18"/>
      <c r="L259" s="19" t="str">
        <f aca="false">IF(A259="","",G259*K259)</f>
        <v/>
      </c>
      <c r="M259" s="20"/>
      <c r="N259" s="6"/>
      <c r="O259" s="6"/>
      <c r="P259" s="5" t="str">
        <f aca="false">IF(A259="","",H259/90)</f>
        <v/>
      </c>
      <c r="Q259" s="5" t="str">
        <f aca="false">IF(A259="","",IFERROR(INDEX(Parâmetros!$C$6:$C$10,MATCH(F259,Parâmetros!$B$6:$B$10,0)),""))</f>
        <v/>
      </c>
      <c r="R259" s="5" t="str">
        <f aca="false">IF(OR(A259="",P259="",Q259=""),"",P259*Q259)</f>
        <v/>
      </c>
      <c r="S259" s="5" t="str">
        <f aca="false">IF(R259="","",MAX(0,R259-G259))</f>
        <v/>
      </c>
      <c r="T259" s="21" t="str">
        <f aca="false">IF(S259="","",S259*K259)</f>
        <v/>
      </c>
      <c r="U259" s="5" t="str">
        <f aca="false">IF(A259="","",IF(J259&gt;Parâmetros!$C$14,"SIM","NAO"))</f>
        <v/>
      </c>
      <c r="V259" s="5" t="str">
        <f aca="false">IF(B259="","",TRIM(LEFT(B259,IFERROR(FIND(" ",B259)-1,LEN(B259)))))</f>
        <v/>
      </c>
      <c r="W259" s="22"/>
      <c r="X259" s="5" t="str">
        <f aca="false">IF(A259="","",IF(W259&lt;&gt;"",W259,V259))</f>
        <v/>
      </c>
      <c r="Y259" s="5" t="str">
        <f aca="false">IF(A259="","",IF(COUNTIFS($X$2:$X$2001,X259,$D$2:$D$2001,"&lt;&gt;"&amp;D259,$C$2:$C$2001,C259)&gt;0,"SIM","NAO"))</f>
        <v/>
      </c>
      <c r="Z259" s="5" t="str">
        <f aca="false">IF(A259="","",IF(J259="","",IFERROR(360/J259,"")))</f>
        <v/>
      </c>
      <c r="AA259" s="5" t="str">
        <f aca="false">IF(A259="","",IF(H259=0,"Parado (sem venda 90d)",IF(Z259&gt;12,"Alto (&gt;12x/ano)",IF(Z259&gt;=4,"Medio (4-12x/ano)","Baixo (&lt;4x/ano)"))))</f>
        <v/>
      </c>
    </row>
    <row r="260" customFormat="false" ht="15" hidden="false" customHeight="true" outlineLevel="0" collapsed="false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18"/>
      <c r="L260" s="19" t="str">
        <f aca="false">IF(A260="","",G260*K260)</f>
        <v/>
      </c>
      <c r="M260" s="20"/>
      <c r="N260" s="6"/>
      <c r="O260" s="6"/>
      <c r="P260" s="5" t="str">
        <f aca="false">IF(A260="","",H260/90)</f>
        <v/>
      </c>
      <c r="Q260" s="5" t="str">
        <f aca="false">IF(A260="","",IFERROR(INDEX(Parâmetros!$C$6:$C$10,MATCH(F260,Parâmetros!$B$6:$B$10,0)),""))</f>
        <v/>
      </c>
      <c r="R260" s="5" t="str">
        <f aca="false">IF(OR(A260="",P260="",Q260=""),"",P260*Q260)</f>
        <v/>
      </c>
      <c r="S260" s="5" t="str">
        <f aca="false">IF(R260="","",MAX(0,R260-G260))</f>
        <v/>
      </c>
      <c r="T260" s="21" t="str">
        <f aca="false">IF(S260="","",S260*K260)</f>
        <v/>
      </c>
      <c r="U260" s="5" t="str">
        <f aca="false">IF(A260="","",IF(J260&gt;Parâmetros!$C$14,"SIM","NAO"))</f>
        <v/>
      </c>
      <c r="V260" s="5" t="str">
        <f aca="false">IF(B260="","",TRIM(LEFT(B260,IFERROR(FIND(" ",B260)-1,LEN(B260)))))</f>
        <v/>
      </c>
      <c r="W260" s="22"/>
      <c r="X260" s="5" t="str">
        <f aca="false">IF(A260="","",IF(W260&lt;&gt;"",W260,V260))</f>
        <v/>
      </c>
      <c r="Y260" s="5" t="str">
        <f aca="false">IF(A260="","",IF(COUNTIFS($X$2:$X$2001,X260,$D$2:$D$2001,"&lt;&gt;"&amp;D260,$C$2:$C$2001,C260)&gt;0,"SIM","NAO"))</f>
        <v/>
      </c>
      <c r="Z260" s="5" t="str">
        <f aca="false">IF(A260="","",IF(J260="","",IFERROR(360/J260,"")))</f>
        <v/>
      </c>
      <c r="AA260" s="5" t="str">
        <f aca="false">IF(A260="","",IF(H260=0,"Parado (sem venda 90d)",IF(Z260&gt;12,"Alto (&gt;12x/ano)",IF(Z260&gt;=4,"Medio (4-12x/ano)","Baixo (&lt;4x/ano)"))))</f>
        <v/>
      </c>
    </row>
    <row r="261" customFormat="false" ht="15" hidden="false" customHeight="true" outlineLevel="0" collapsed="false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18"/>
      <c r="L261" s="19" t="str">
        <f aca="false">IF(A261="","",G261*K261)</f>
        <v/>
      </c>
      <c r="M261" s="20"/>
      <c r="N261" s="6"/>
      <c r="O261" s="6"/>
      <c r="P261" s="5" t="str">
        <f aca="false">IF(A261="","",H261/90)</f>
        <v/>
      </c>
      <c r="Q261" s="5" t="str">
        <f aca="false">IF(A261="","",IFERROR(INDEX(Parâmetros!$C$6:$C$10,MATCH(F261,Parâmetros!$B$6:$B$10,0)),""))</f>
        <v/>
      </c>
      <c r="R261" s="5" t="str">
        <f aca="false">IF(OR(A261="",P261="",Q261=""),"",P261*Q261)</f>
        <v/>
      </c>
      <c r="S261" s="5" t="str">
        <f aca="false">IF(R261="","",MAX(0,R261-G261))</f>
        <v/>
      </c>
      <c r="T261" s="21" t="str">
        <f aca="false">IF(S261="","",S261*K261)</f>
        <v/>
      </c>
      <c r="U261" s="5" t="str">
        <f aca="false">IF(A261="","",IF(J261&gt;Parâmetros!$C$14,"SIM","NAO"))</f>
        <v/>
      </c>
      <c r="V261" s="5" t="str">
        <f aca="false">IF(B261="","",TRIM(LEFT(B261,IFERROR(FIND(" ",B261)-1,LEN(B261)))))</f>
        <v/>
      </c>
      <c r="W261" s="22"/>
      <c r="X261" s="5" t="str">
        <f aca="false">IF(A261="","",IF(W261&lt;&gt;"",W261,V261))</f>
        <v/>
      </c>
      <c r="Y261" s="5" t="str">
        <f aca="false">IF(A261="","",IF(COUNTIFS($X$2:$X$2001,X261,$D$2:$D$2001,"&lt;&gt;"&amp;D261,$C$2:$C$2001,C261)&gt;0,"SIM","NAO"))</f>
        <v/>
      </c>
      <c r="Z261" s="5" t="str">
        <f aca="false">IF(A261="","",IF(J261="","",IFERROR(360/J261,"")))</f>
        <v/>
      </c>
      <c r="AA261" s="5" t="str">
        <f aca="false">IF(A261="","",IF(H261=0,"Parado (sem venda 90d)",IF(Z261&gt;12,"Alto (&gt;12x/ano)",IF(Z261&gt;=4,"Medio (4-12x/ano)","Baixo (&lt;4x/ano)"))))</f>
        <v/>
      </c>
    </row>
    <row r="262" customFormat="false" ht="15" hidden="false" customHeight="true" outlineLevel="0" collapsed="false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18"/>
      <c r="L262" s="19" t="str">
        <f aca="false">IF(A262="","",G262*K262)</f>
        <v/>
      </c>
      <c r="M262" s="20"/>
      <c r="N262" s="6"/>
      <c r="O262" s="6"/>
      <c r="P262" s="5" t="str">
        <f aca="false">IF(A262="","",H262/90)</f>
        <v/>
      </c>
      <c r="Q262" s="5" t="str">
        <f aca="false">IF(A262="","",IFERROR(INDEX(Parâmetros!$C$6:$C$10,MATCH(F262,Parâmetros!$B$6:$B$10,0)),""))</f>
        <v/>
      </c>
      <c r="R262" s="5" t="str">
        <f aca="false">IF(OR(A262="",P262="",Q262=""),"",P262*Q262)</f>
        <v/>
      </c>
      <c r="S262" s="5" t="str">
        <f aca="false">IF(R262="","",MAX(0,R262-G262))</f>
        <v/>
      </c>
      <c r="T262" s="21" t="str">
        <f aca="false">IF(S262="","",S262*K262)</f>
        <v/>
      </c>
      <c r="U262" s="5" t="str">
        <f aca="false">IF(A262="","",IF(J262&gt;Parâmetros!$C$14,"SIM","NAO"))</f>
        <v/>
      </c>
      <c r="V262" s="5" t="str">
        <f aca="false">IF(B262="","",TRIM(LEFT(B262,IFERROR(FIND(" ",B262)-1,LEN(B262)))))</f>
        <v/>
      </c>
      <c r="W262" s="22"/>
      <c r="X262" s="5" t="str">
        <f aca="false">IF(A262="","",IF(W262&lt;&gt;"",W262,V262))</f>
        <v/>
      </c>
      <c r="Y262" s="5" t="str">
        <f aca="false">IF(A262="","",IF(COUNTIFS($X$2:$X$2001,X262,$D$2:$D$2001,"&lt;&gt;"&amp;D262,$C$2:$C$2001,C262)&gt;0,"SIM","NAO"))</f>
        <v/>
      </c>
      <c r="Z262" s="5" t="str">
        <f aca="false">IF(A262="","",IF(J262="","",IFERROR(360/J262,"")))</f>
        <v/>
      </c>
      <c r="AA262" s="5" t="str">
        <f aca="false">IF(A262="","",IF(H262=0,"Parado (sem venda 90d)",IF(Z262&gt;12,"Alto (&gt;12x/ano)",IF(Z262&gt;=4,"Medio (4-12x/ano)","Baixo (&lt;4x/ano)"))))</f>
        <v/>
      </c>
    </row>
    <row r="263" customFormat="false" ht="15" hidden="false" customHeight="true" outlineLevel="0" collapsed="false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18"/>
      <c r="L263" s="19" t="str">
        <f aca="false">IF(A263="","",G263*K263)</f>
        <v/>
      </c>
      <c r="M263" s="20"/>
      <c r="N263" s="6"/>
      <c r="O263" s="6"/>
      <c r="P263" s="5" t="str">
        <f aca="false">IF(A263="","",H263/90)</f>
        <v/>
      </c>
      <c r="Q263" s="5" t="str">
        <f aca="false">IF(A263="","",IFERROR(INDEX(Parâmetros!$C$6:$C$10,MATCH(F263,Parâmetros!$B$6:$B$10,0)),""))</f>
        <v/>
      </c>
      <c r="R263" s="5" t="str">
        <f aca="false">IF(OR(A263="",P263="",Q263=""),"",P263*Q263)</f>
        <v/>
      </c>
      <c r="S263" s="5" t="str">
        <f aca="false">IF(R263="","",MAX(0,R263-G263))</f>
        <v/>
      </c>
      <c r="T263" s="21" t="str">
        <f aca="false">IF(S263="","",S263*K263)</f>
        <v/>
      </c>
      <c r="U263" s="5" t="str">
        <f aca="false">IF(A263="","",IF(J263&gt;Parâmetros!$C$14,"SIM","NAO"))</f>
        <v/>
      </c>
      <c r="V263" s="5" t="str">
        <f aca="false">IF(B263="","",TRIM(LEFT(B263,IFERROR(FIND(" ",B263)-1,LEN(B263)))))</f>
        <v/>
      </c>
      <c r="W263" s="22"/>
      <c r="X263" s="5" t="str">
        <f aca="false">IF(A263="","",IF(W263&lt;&gt;"",W263,V263))</f>
        <v/>
      </c>
      <c r="Y263" s="5" t="str">
        <f aca="false">IF(A263="","",IF(COUNTIFS($X$2:$X$2001,X263,$D$2:$D$2001,"&lt;&gt;"&amp;D263,$C$2:$C$2001,C263)&gt;0,"SIM","NAO"))</f>
        <v/>
      </c>
      <c r="Z263" s="5" t="str">
        <f aca="false">IF(A263="","",IF(J263="","",IFERROR(360/J263,"")))</f>
        <v/>
      </c>
      <c r="AA263" s="5" t="str">
        <f aca="false">IF(A263="","",IF(H263=0,"Parado (sem venda 90d)",IF(Z263&gt;12,"Alto (&gt;12x/ano)",IF(Z263&gt;=4,"Medio (4-12x/ano)","Baixo (&lt;4x/ano)"))))</f>
        <v/>
      </c>
    </row>
    <row r="264" customFormat="false" ht="15" hidden="false" customHeight="true" outlineLevel="0" collapsed="false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18"/>
      <c r="L264" s="19" t="str">
        <f aca="false">IF(A264="","",G264*K264)</f>
        <v/>
      </c>
      <c r="M264" s="20"/>
      <c r="N264" s="6"/>
      <c r="O264" s="6"/>
      <c r="P264" s="5" t="str">
        <f aca="false">IF(A264="","",H264/90)</f>
        <v/>
      </c>
      <c r="Q264" s="5" t="str">
        <f aca="false">IF(A264="","",IFERROR(INDEX(Parâmetros!$C$6:$C$10,MATCH(F264,Parâmetros!$B$6:$B$10,0)),""))</f>
        <v/>
      </c>
      <c r="R264" s="5" t="str">
        <f aca="false">IF(OR(A264="",P264="",Q264=""),"",P264*Q264)</f>
        <v/>
      </c>
      <c r="S264" s="5" t="str">
        <f aca="false">IF(R264="","",MAX(0,R264-G264))</f>
        <v/>
      </c>
      <c r="T264" s="21" t="str">
        <f aca="false">IF(S264="","",S264*K264)</f>
        <v/>
      </c>
      <c r="U264" s="5" t="str">
        <f aca="false">IF(A264="","",IF(J264&gt;Parâmetros!$C$14,"SIM","NAO"))</f>
        <v/>
      </c>
      <c r="V264" s="5" t="str">
        <f aca="false">IF(B264="","",TRIM(LEFT(B264,IFERROR(FIND(" ",B264)-1,LEN(B264)))))</f>
        <v/>
      </c>
      <c r="W264" s="22"/>
      <c r="X264" s="5" t="str">
        <f aca="false">IF(A264="","",IF(W264&lt;&gt;"",W264,V264))</f>
        <v/>
      </c>
      <c r="Y264" s="5" t="str">
        <f aca="false">IF(A264="","",IF(COUNTIFS($X$2:$X$2001,X264,$D$2:$D$2001,"&lt;&gt;"&amp;D264,$C$2:$C$2001,C264)&gt;0,"SIM","NAO"))</f>
        <v/>
      </c>
      <c r="Z264" s="5" t="str">
        <f aca="false">IF(A264="","",IF(J264="","",IFERROR(360/J264,"")))</f>
        <v/>
      </c>
      <c r="AA264" s="5" t="str">
        <f aca="false">IF(A264="","",IF(H264=0,"Parado (sem venda 90d)",IF(Z264&gt;12,"Alto (&gt;12x/ano)",IF(Z264&gt;=4,"Medio (4-12x/ano)","Baixo (&lt;4x/ano)"))))</f>
        <v/>
      </c>
    </row>
    <row r="265" customFormat="false" ht="15" hidden="false" customHeight="true" outlineLevel="0" collapsed="false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18"/>
      <c r="L265" s="19" t="str">
        <f aca="false">IF(A265="","",G265*K265)</f>
        <v/>
      </c>
      <c r="M265" s="20"/>
      <c r="N265" s="6"/>
      <c r="O265" s="6"/>
      <c r="P265" s="5" t="str">
        <f aca="false">IF(A265="","",H265/90)</f>
        <v/>
      </c>
      <c r="Q265" s="5" t="str">
        <f aca="false">IF(A265="","",IFERROR(INDEX(Parâmetros!$C$6:$C$10,MATCH(F265,Parâmetros!$B$6:$B$10,0)),""))</f>
        <v/>
      </c>
      <c r="R265" s="5" t="str">
        <f aca="false">IF(OR(A265="",P265="",Q265=""),"",P265*Q265)</f>
        <v/>
      </c>
      <c r="S265" s="5" t="str">
        <f aca="false">IF(R265="","",MAX(0,R265-G265))</f>
        <v/>
      </c>
      <c r="T265" s="21" t="str">
        <f aca="false">IF(S265="","",S265*K265)</f>
        <v/>
      </c>
      <c r="U265" s="5" t="str">
        <f aca="false">IF(A265="","",IF(J265&gt;Parâmetros!$C$14,"SIM","NAO"))</f>
        <v/>
      </c>
      <c r="V265" s="5" t="str">
        <f aca="false">IF(B265="","",TRIM(LEFT(B265,IFERROR(FIND(" ",B265)-1,LEN(B265)))))</f>
        <v/>
      </c>
      <c r="W265" s="22"/>
      <c r="X265" s="5" t="str">
        <f aca="false">IF(A265="","",IF(W265&lt;&gt;"",W265,V265))</f>
        <v/>
      </c>
      <c r="Y265" s="5" t="str">
        <f aca="false">IF(A265="","",IF(COUNTIFS($X$2:$X$2001,X265,$D$2:$D$2001,"&lt;&gt;"&amp;D265,$C$2:$C$2001,C265)&gt;0,"SIM","NAO"))</f>
        <v/>
      </c>
      <c r="Z265" s="5" t="str">
        <f aca="false">IF(A265="","",IF(J265="","",IFERROR(360/J265,"")))</f>
        <v/>
      </c>
      <c r="AA265" s="5" t="str">
        <f aca="false">IF(A265="","",IF(H265=0,"Parado (sem venda 90d)",IF(Z265&gt;12,"Alto (&gt;12x/ano)",IF(Z265&gt;=4,"Medio (4-12x/ano)","Baixo (&lt;4x/ano)"))))</f>
        <v/>
      </c>
    </row>
    <row r="266" customFormat="false" ht="15" hidden="false" customHeight="true" outlineLevel="0" collapsed="false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18"/>
      <c r="L266" s="19" t="str">
        <f aca="false">IF(A266="","",G266*K266)</f>
        <v/>
      </c>
      <c r="M266" s="20"/>
      <c r="N266" s="6"/>
      <c r="O266" s="6"/>
      <c r="P266" s="5" t="str">
        <f aca="false">IF(A266="","",H266/90)</f>
        <v/>
      </c>
      <c r="Q266" s="5" t="str">
        <f aca="false">IF(A266="","",IFERROR(INDEX(Parâmetros!$C$6:$C$10,MATCH(F266,Parâmetros!$B$6:$B$10,0)),""))</f>
        <v/>
      </c>
      <c r="R266" s="5" t="str">
        <f aca="false">IF(OR(A266="",P266="",Q266=""),"",P266*Q266)</f>
        <v/>
      </c>
      <c r="S266" s="5" t="str">
        <f aca="false">IF(R266="","",MAX(0,R266-G266))</f>
        <v/>
      </c>
      <c r="T266" s="21" t="str">
        <f aca="false">IF(S266="","",S266*K266)</f>
        <v/>
      </c>
      <c r="U266" s="5" t="str">
        <f aca="false">IF(A266="","",IF(J266&gt;Parâmetros!$C$14,"SIM","NAO"))</f>
        <v/>
      </c>
      <c r="V266" s="5" t="str">
        <f aca="false">IF(B266="","",TRIM(LEFT(B266,IFERROR(FIND(" ",B266)-1,LEN(B266)))))</f>
        <v/>
      </c>
      <c r="W266" s="22"/>
      <c r="X266" s="5" t="str">
        <f aca="false">IF(A266="","",IF(W266&lt;&gt;"",W266,V266))</f>
        <v/>
      </c>
      <c r="Y266" s="5" t="str">
        <f aca="false">IF(A266="","",IF(COUNTIFS($X$2:$X$2001,X266,$D$2:$D$2001,"&lt;&gt;"&amp;D266,$C$2:$C$2001,C266)&gt;0,"SIM","NAO"))</f>
        <v/>
      </c>
      <c r="Z266" s="5" t="str">
        <f aca="false">IF(A266="","",IF(J266="","",IFERROR(360/J266,"")))</f>
        <v/>
      </c>
      <c r="AA266" s="5" t="str">
        <f aca="false">IF(A266="","",IF(H266=0,"Parado (sem venda 90d)",IF(Z266&gt;12,"Alto (&gt;12x/ano)",IF(Z266&gt;=4,"Medio (4-12x/ano)","Baixo (&lt;4x/ano)"))))</f>
        <v/>
      </c>
    </row>
    <row r="267" customFormat="false" ht="15" hidden="false" customHeight="true" outlineLevel="0" collapsed="false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18"/>
      <c r="L267" s="19" t="str">
        <f aca="false">IF(A267="","",G267*K267)</f>
        <v/>
      </c>
      <c r="M267" s="20"/>
      <c r="N267" s="6"/>
      <c r="O267" s="6"/>
      <c r="P267" s="5" t="str">
        <f aca="false">IF(A267="","",H267/90)</f>
        <v/>
      </c>
      <c r="Q267" s="5" t="str">
        <f aca="false">IF(A267="","",IFERROR(INDEX(Parâmetros!$C$6:$C$10,MATCH(F267,Parâmetros!$B$6:$B$10,0)),""))</f>
        <v/>
      </c>
      <c r="R267" s="5" t="str">
        <f aca="false">IF(OR(A267="",P267="",Q267=""),"",P267*Q267)</f>
        <v/>
      </c>
      <c r="S267" s="5" t="str">
        <f aca="false">IF(R267="","",MAX(0,R267-G267))</f>
        <v/>
      </c>
      <c r="T267" s="21" t="str">
        <f aca="false">IF(S267="","",S267*K267)</f>
        <v/>
      </c>
      <c r="U267" s="5" t="str">
        <f aca="false">IF(A267="","",IF(J267&gt;Parâmetros!$C$14,"SIM","NAO"))</f>
        <v/>
      </c>
      <c r="V267" s="5" t="str">
        <f aca="false">IF(B267="","",TRIM(LEFT(B267,IFERROR(FIND(" ",B267)-1,LEN(B267)))))</f>
        <v/>
      </c>
      <c r="W267" s="22"/>
      <c r="X267" s="5" t="str">
        <f aca="false">IF(A267="","",IF(W267&lt;&gt;"",W267,V267))</f>
        <v/>
      </c>
      <c r="Y267" s="5" t="str">
        <f aca="false">IF(A267="","",IF(COUNTIFS($X$2:$X$2001,X267,$D$2:$D$2001,"&lt;&gt;"&amp;D267,$C$2:$C$2001,C267)&gt;0,"SIM","NAO"))</f>
        <v/>
      </c>
      <c r="Z267" s="5" t="str">
        <f aca="false">IF(A267="","",IF(J267="","",IFERROR(360/J267,"")))</f>
        <v/>
      </c>
      <c r="AA267" s="5" t="str">
        <f aca="false">IF(A267="","",IF(H267=0,"Parado (sem venda 90d)",IF(Z267&gt;12,"Alto (&gt;12x/ano)",IF(Z267&gt;=4,"Medio (4-12x/ano)","Baixo (&lt;4x/ano)"))))</f>
        <v/>
      </c>
    </row>
    <row r="268" customFormat="false" ht="15" hidden="false" customHeight="true" outlineLevel="0" collapsed="false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18"/>
      <c r="L268" s="19" t="str">
        <f aca="false">IF(A268="","",G268*K268)</f>
        <v/>
      </c>
      <c r="M268" s="20"/>
      <c r="N268" s="6"/>
      <c r="O268" s="6"/>
      <c r="P268" s="5" t="str">
        <f aca="false">IF(A268="","",H268/90)</f>
        <v/>
      </c>
      <c r="Q268" s="5" t="str">
        <f aca="false">IF(A268="","",IFERROR(INDEX(Parâmetros!$C$6:$C$10,MATCH(F268,Parâmetros!$B$6:$B$10,0)),""))</f>
        <v/>
      </c>
      <c r="R268" s="5" t="str">
        <f aca="false">IF(OR(A268="",P268="",Q268=""),"",P268*Q268)</f>
        <v/>
      </c>
      <c r="S268" s="5" t="str">
        <f aca="false">IF(R268="","",MAX(0,R268-G268))</f>
        <v/>
      </c>
      <c r="T268" s="21" t="str">
        <f aca="false">IF(S268="","",S268*K268)</f>
        <v/>
      </c>
      <c r="U268" s="5" t="str">
        <f aca="false">IF(A268="","",IF(J268&gt;Parâmetros!$C$14,"SIM","NAO"))</f>
        <v/>
      </c>
      <c r="V268" s="5" t="str">
        <f aca="false">IF(B268="","",TRIM(LEFT(B268,IFERROR(FIND(" ",B268)-1,LEN(B268)))))</f>
        <v/>
      </c>
      <c r="W268" s="22"/>
      <c r="X268" s="5" t="str">
        <f aca="false">IF(A268="","",IF(W268&lt;&gt;"",W268,V268))</f>
        <v/>
      </c>
      <c r="Y268" s="5" t="str">
        <f aca="false">IF(A268="","",IF(COUNTIFS($X$2:$X$2001,X268,$D$2:$D$2001,"&lt;&gt;"&amp;D268,$C$2:$C$2001,C268)&gt;0,"SIM","NAO"))</f>
        <v/>
      </c>
      <c r="Z268" s="5" t="str">
        <f aca="false">IF(A268="","",IF(J268="","",IFERROR(360/J268,"")))</f>
        <v/>
      </c>
      <c r="AA268" s="5" t="str">
        <f aca="false">IF(A268="","",IF(H268=0,"Parado (sem venda 90d)",IF(Z268&gt;12,"Alto (&gt;12x/ano)",IF(Z268&gt;=4,"Medio (4-12x/ano)","Baixo (&lt;4x/ano)"))))</f>
        <v/>
      </c>
    </row>
    <row r="269" customFormat="false" ht="15" hidden="false" customHeight="true" outlineLevel="0" collapsed="false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18"/>
      <c r="L269" s="19" t="str">
        <f aca="false">IF(A269="","",G269*K269)</f>
        <v/>
      </c>
      <c r="M269" s="20"/>
      <c r="N269" s="6"/>
      <c r="O269" s="6"/>
      <c r="P269" s="5" t="str">
        <f aca="false">IF(A269="","",H269/90)</f>
        <v/>
      </c>
      <c r="Q269" s="5" t="str">
        <f aca="false">IF(A269="","",IFERROR(INDEX(Parâmetros!$C$6:$C$10,MATCH(F269,Parâmetros!$B$6:$B$10,0)),""))</f>
        <v/>
      </c>
      <c r="R269" s="5" t="str">
        <f aca="false">IF(OR(A269="",P269="",Q269=""),"",P269*Q269)</f>
        <v/>
      </c>
      <c r="S269" s="5" t="str">
        <f aca="false">IF(R269="","",MAX(0,R269-G269))</f>
        <v/>
      </c>
      <c r="T269" s="21" t="str">
        <f aca="false">IF(S269="","",S269*K269)</f>
        <v/>
      </c>
      <c r="U269" s="5" t="str">
        <f aca="false">IF(A269="","",IF(J269&gt;Parâmetros!$C$14,"SIM","NAO"))</f>
        <v/>
      </c>
      <c r="V269" s="5" t="str">
        <f aca="false">IF(B269="","",TRIM(LEFT(B269,IFERROR(FIND(" ",B269)-1,LEN(B269)))))</f>
        <v/>
      </c>
      <c r="W269" s="22"/>
      <c r="X269" s="5" t="str">
        <f aca="false">IF(A269="","",IF(W269&lt;&gt;"",W269,V269))</f>
        <v/>
      </c>
      <c r="Y269" s="5" t="str">
        <f aca="false">IF(A269="","",IF(COUNTIFS($X$2:$X$2001,X269,$D$2:$D$2001,"&lt;&gt;"&amp;D269,$C$2:$C$2001,C269)&gt;0,"SIM","NAO"))</f>
        <v/>
      </c>
      <c r="Z269" s="5" t="str">
        <f aca="false">IF(A269="","",IF(J269="","",IFERROR(360/J269,"")))</f>
        <v/>
      </c>
      <c r="AA269" s="5" t="str">
        <f aca="false">IF(A269="","",IF(H269=0,"Parado (sem venda 90d)",IF(Z269&gt;12,"Alto (&gt;12x/ano)",IF(Z269&gt;=4,"Medio (4-12x/ano)","Baixo (&lt;4x/ano)"))))</f>
        <v/>
      </c>
    </row>
    <row r="270" customFormat="false" ht="15" hidden="false" customHeight="true" outlineLevel="0" collapsed="false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18"/>
      <c r="L270" s="19" t="str">
        <f aca="false">IF(A270="","",G270*K270)</f>
        <v/>
      </c>
      <c r="M270" s="20"/>
      <c r="N270" s="6"/>
      <c r="O270" s="6"/>
      <c r="P270" s="5" t="str">
        <f aca="false">IF(A270="","",H270/90)</f>
        <v/>
      </c>
      <c r="Q270" s="5" t="str">
        <f aca="false">IF(A270="","",IFERROR(INDEX(Parâmetros!$C$6:$C$10,MATCH(F270,Parâmetros!$B$6:$B$10,0)),""))</f>
        <v/>
      </c>
      <c r="R270" s="5" t="str">
        <f aca="false">IF(OR(A270="",P270="",Q270=""),"",P270*Q270)</f>
        <v/>
      </c>
      <c r="S270" s="5" t="str">
        <f aca="false">IF(R270="","",MAX(0,R270-G270))</f>
        <v/>
      </c>
      <c r="T270" s="21" t="str">
        <f aca="false">IF(S270="","",S270*K270)</f>
        <v/>
      </c>
      <c r="U270" s="5" t="str">
        <f aca="false">IF(A270="","",IF(J270&gt;Parâmetros!$C$14,"SIM","NAO"))</f>
        <v/>
      </c>
      <c r="V270" s="5" t="str">
        <f aca="false">IF(B270="","",TRIM(LEFT(B270,IFERROR(FIND(" ",B270)-1,LEN(B270)))))</f>
        <v/>
      </c>
      <c r="W270" s="22"/>
      <c r="X270" s="5" t="str">
        <f aca="false">IF(A270="","",IF(W270&lt;&gt;"",W270,V270))</f>
        <v/>
      </c>
      <c r="Y270" s="5" t="str">
        <f aca="false">IF(A270="","",IF(COUNTIFS($X$2:$X$2001,X270,$D$2:$D$2001,"&lt;&gt;"&amp;D270,$C$2:$C$2001,C270)&gt;0,"SIM","NAO"))</f>
        <v/>
      </c>
      <c r="Z270" s="5" t="str">
        <f aca="false">IF(A270="","",IF(J270="","",IFERROR(360/J270,"")))</f>
        <v/>
      </c>
      <c r="AA270" s="5" t="str">
        <f aca="false">IF(A270="","",IF(H270=0,"Parado (sem venda 90d)",IF(Z270&gt;12,"Alto (&gt;12x/ano)",IF(Z270&gt;=4,"Medio (4-12x/ano)","Baixo (&lt;4x/ano)"))))</f>
        <v/>
      </c>
    </row>
    <row r="271" customFormat="false" ht="15" hidden="false" customHeight="true" outlineLevel="0" collapsed="false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18"/>
      <c r="L271" s="19" t="str">
        <f aca="false">IF(A271="","",G271*K271)</f>
        <v/>
      </c>
      <c r="M271" s="20"/>
      <c r="N271" s="6"/>
      <c r="O271" s="6"/>
      <c r="P271" s="5" t="str">
        <f aca="false">IF(A271="","",H271/90)</f>
        <v/>
      </c>
      <c r="Q271" s="5" t="str">
        <f aca="false">IF(A271="","",IFERROR(INDEX(Parâmetros!$C$6:$C$10,MATCH(F271,Parâmetros!$B$6:$B$10,0)),""))</f>
        <v/>
      </c>
      <c r="R271" s="5" t="str">
        <f aca="false">IF(OR(A271="",P271="",Q271=""),"",P271*Q271)</f>
        <v/>
      </c>
      <c r="S271" s="5" t="str">
        <f aca="false">IF(R271="","",MAX(0,R271-G271))</f>
        <v/>
      </c>
      <c r="T271" s="21" t="str">
        <f aca="false">IF(S271="","",S271*K271)</f>
        <v/>
      </c>
      <c r="U271" s="5" t="str">
        <f aca="false">IF(A271="","",IF(J271&gt;Parâmetros!$C$14,"SIM","NAO"))</f>
        <v/>
      </c>
      <c r="V271" s="5" t="str">
        <f aca="false">IF(B271="","",TRIM(LEFT(B271,IFERROR(FIND(" ",B271)-1,LEN(B271)))))</f>
        <v/>
      </c>
      <c r="W271" s="22"/>
      <c r="X271" s="5" t="str">
        <f aca="false">IF(A271="","",IF(W271&lt;&gt;"",W271,V271))</f>
        <v/>
      </c>
      <c r="Y271" s="5" t="str">
        <f aca="false">IF(A271="","",IF(COUNTIFS($X$2:$X$2001,X271,$D$2:$D$2001,"&lt;&gt;"&amp;D271,$C$2:$C$2001,C271)&gt;0,"SIM","NAO"))</f>
        <v/>
      </c>
      <c r="Z271" s="5" t="str">
        <f aca="false">IF(A271="","",IF(J271="","",IFERROR(360/J271,"")))</f>
        <v/>
      </c>
      <c r="AA271" s="5" t="str">
        <f aca="false">IF(A271="","",IF(H271=0,"Parado (sem venda 90d)",IF(Z271&gt;12,"Alto (&gt;12x/ano)",IF(Z271&gt;=4,"Medio (4-12x/ano)","Baixo (&lt;4x/ano)"))))</f>
        <v/>
      </c>
    </row>
    <row r="272" customFormat="false" ht="15" hidden="false" customHeight="true" outlineLevel="0" collapsed="false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18"/>
      <c r="L272" s="19" t="str">
        <f aca="false">IF(A272="","",G272*K272)</f>
        <v/>
      </c>
      <c r="M272" s="20"/>
      <c r="N272" s="6"/>
      <c r="O272" s="6"/>
      <c r="P272" s="5" t="str">
        <f aca="false">IF(A272="","",H272/90)</f>
        <v/>
      </c>
      <c r="Q272" s="5" t="str">
        <f aca="false">IF(A272="","",IFERROR(INDEX(Parâmetros!$C$6:$C$10,MATCH(F272,Parâmetros!$B$6:$B$10,0)),""))</f>
        <v/>
      </c>
      <c r="R272" s="5" t="str">
        <f aca="false">IF(OR(A272="",P272="",Q272=""),"",P272*Q272)</f>
        <v/>
      </c>
      <c r="S272" s="5" t="str">
        <f aca="false">IF(R272="","",MAX(0,R272-G272))</f>
        <v/>
      </c>
      <c r="T272" s="21" t="str">
        <f aca="false">IF(S272="","",S272*K272)</f>
        <v/>
      </c>
      <c r="U272" s="5" t="str">
        <f aca="false">IF(A272="","",IF(J272&gt;Parâmetros!$C$14,"SIM","NAO"))</f>
        <v/>
      </c>
      <c r="V272" s="5" t="str">
        <f aca="false">IF(B272="","",TRIM(LEFT(B272,IFERROR(FIND(" ",B272)-1,LEN(B272)))))</f>
        <v/>
      </c>
      <c r="W272" s="22"/>
      <c r="X272" s="5" t="str">
        <f aca="false">IF(A272="","",IF(W272&lt;&gt;"",W272,V272))</f>
        <v/>
      </c>
      <c r="Y272" s="5" t="str">
        <f aca="false">IF(A272="","",IF(COUNTIFS($X$2:$X$2001,X272,$D$2:$D$2001,"&lt;&gt;"&amp;D272,$C$2:$C$2001,C272)&gt;0,"SIM","NAO"))</f>
        <v/>
      </c>
      <c r="Z272" s="5" t="str">
        <f aca="false">IF(A272="","",IF(J272="","",IFERROR(360/J272,"")))</f>
        <v/>
      </c>
      <c r="AA272" s="5" t="str">
        <f aca="false">IF(A272="","",IF(H272=0,"Parado (sem venda 90d)",IF(Z272&gt;12,"Alto (&gt;12x/ano)",IF(Z272&gt;=4,"Medio (4-12x/ano)","Baixo (&lt;4x/ano)"))))</f>
        <v/>
      </c>
    </row>
    <row r="273" customFormat="false" ht="15" hidden="false" customHeight="true" outlineLevel="0" collapsed="false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18"/>
      <c r="L273" s="19" t="str">
        <f aca="false">IF(A273="","",G273*K273)</f>
        <v/>
      </c>
      <c r="M273" s="20"/>
      <c r="N273" s="6"/>
      <c r="O273" s="6"/>
      <c r="P273" s="5" t="str">
        <f aca="false">IF(A273="","",H273/90)</f>
        <v/>
      </c>
      <c r="Q273" s="5" t="str">
        <f aca="false">IF(A273="","",IFERROR(INDEX(Parâmetros!$C$6:$C$10,MATCH(F273,Parâmetros!$B$6:$B$10,0)),""))</f>
        <v/>
      </c>
      <c r="R273" s="5" t="str">
        <f aca="false">IF(OR(A273="",P273="",Q273=""),"",P273*Q273)</f>
        <v/>
      </c>
      <c r="S273" s="5" t="str">
        <f aca="false">IF(R273="","",MAX(0,R273-G273))</f>
        <v/>
      </c>
      <c r="T273" s="21" t="str">
        <f aca="false">IF(S273="","",S273*K273)</f>
        <v/>
      </c>
      <c r="U273" s="5" t="str">
        <f aca="false">IF(A273="","",IF(J273&gt;Parâmetros!$C$14,"SIM","NAO"))</f>
        <v/>
      </c>
      <c r="V273" s="5" t="str">
        <f aca="false">IF(B273="","",TRIM(LEFT(B273,IFERROR(FIND(" ",B273)-1,LEN(B273)))))</f>
        <v/>
      </c>
      <c r="W273" s="22"/>
      <c r="X273" s="5" t="str">
        <f aca="false">IF(A273="","",IF(W273&lt;&gt;"",W273,V273))</f>
        <v/>
      </c>
      <c r="Y273" s="5" t="str">
        <f aca="false">IF(A273="","",IF(COUNTIFS($X$2:$X$2001,X273,$D$2:$D$2001,"&lt;&gt;"&amp;D273,$C$2:$C$2001,C273)&gt;0,"SIM","NAO"))</f>
        <v/>
      </c>
      <c r="Z273" s="5" t="str">
        <f aca="false">IF(A273="","",IF(J273="","",IFERROR(360/J273,"")))</f>
        <v/>
      </c>
      <c r="AA273" s="5" t="str">
        <f aca="false">IF(A273="","",IF(H273=0,"Parado (sem venda 90d)",IF(Z273&gt;12,"Alto (&gt;12x/ano)",IF(Z273&gt;=4,"Medio (4-12x/ano)","Baixo (&lt;4x/ano)"))))</f>
        <v/>
      </c>
    </row>
    <row r="274" customFormat="false" ht="15" hidden="false" customHeight="true" outlineLevel="0" collapsed="false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18"/>
      <c r="L274" s="19" t="str">
        <f aca="false">IF(A274="","",G274*K274)</f>
        <v/>
      </c>
      <c r="M274" s="20"/>
      <c r="N274" s="6"/>
      <c r="O274" s="6"/>
      <c r="P274" s="5" t="str">
        <f aca="false">IF(A274="","",H274/90)</f>
        <v/>
      </c>
      <c r="Q274" s="5" t="str">
        <f aca="false">IF(A274="","",IFERROR(INDEX(Parâmetros!$C$6:$C$10,MATCH(F274,Parâmetros!$B$6:$B$10,0)),""))</f>
        <v/>
      </c>
      <c r="R274" s="5" t="str">
        <f aca="false">IF(OR(A274="",P274="",Q274=""),"",P274*Q274)</f>
        <v/>
      </c>
      <c r="S274" s="5" t="str">
        <f aca="false">IF(R274="","",MAX(0,R274-G274))</f>
        <v/>
      </c>
      <c r="T274" s="21" t="str">
        <f aca="false">IF(S274="","",S274*K274)</f>
        <v/>
      </c>
      <c r="U274" s="5" t="str">
        <f aca="false">IF(A274="","",IF(J274&gt;Parâmetros!$C$14,"SIM","NAO"))</f>
        <v/>
      </c>
      <c r="V274" s="5" t="str">
        <f aca="false">IF(B274="","",TRIM(LEFT(B274,IFERROR(FIND(" ",B274)-1,LEN(B274)))))</f>
        <v/>
      </c>
      <c r="W274" s="22"/>
      <c r="X274" s="5" t="str">
        <f aca="false">IF(A274="","",IF(W274&lt;&gt;"",W274,V274))</f>
        <v/>
      </c>
      <c r="Y274" s="5" t="str">
        <f aca="false">IF(A274="","",IF(COUNTIFS($X$2:$X$2001,X274,$D$2:$D$2001,"&lt;&gt;"&amp;D274,$C$2:$C$2001,C274)&gt;0,"SIM","NAO"))</f>
        <v/>
      </c>
      <c r="Z274" s="5" t="str">
        <f aca="false">IF(A274="","",IF(J274="","",IFERROR(360/J274,"")))</f>
        <v/>
      </c>
      <c r="AA274" s="5" t="str">
        <f aca="false">IF(A274="","",IF(H274=0,"Parado (sem venda 90d)",IF(Z274&gt;12,"Alto (&gt;12x/ano)",IF(Z274&gt;=4,"Medio (4-12x/ano)","Baixo (&lt;4x/ano)"))))</f>
        <v/>
      </c>
    </row>
    <row r="275" customFormat="false" ht="15" hidden="false" customHeight="true" outlineLevel="0" collapsed="false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18"/>
      <c r="L275" s="19" t="str">
        <f aca="false">IF(A275="","",G275*K275)</f>
        <v/>
      </c>
      <c r="M275" s="20"/>
      <c r="N275" s="6"/>
      <c r="O275" s="6"/>
      <c r="P275" s="5" t="str">
        <f aca="false">IF(A275="","",H275/90)</f>
        <v/>
      </c>
      <c r="Q275" s="5" t="str">
        <f aca="false">IF(A275="","",IFERROR(INDEX(Parâmetros!$C$6:$C$10,MATCH(F275,Parâmetros!$B$6:$B$10,0)),""))</f>
        <v/>
      </c>
      <c r="R275" s="5" t="str">
        <f aca="false">IF(OR(A275="",P275="",Q275=""),"",P275*Q275)</f>
        <v/>
      </c>
      <c r="S275" s="5" t="str">
        <f aca="false">IF(R275="","",MAX(0,R275-G275))</f>
        <v/>
      </c>
      <c r="T275" s="21" t="str">
        <f aca="false">IF(S275="","",S275*K275)</f>
        <v/>
      </c>
      <c r="U275" s="5" t="str">
        <f aca="false">IF(A275="","",IF(J275&gt;Parâmetros!$C$14,"SIM","NAO"))</f>
        <v/>
      </c>
      <c r="V275" s="5" t="str">
        <f aca="false">IF(B275="","",TRIM(LEFT(B275,IFERROR(FIND(" ",B275)-1,LEN(B275)))))</f>
        <v/>
      </c>
      <c r="W275" s="22"/>
      <c r="X275" s="5" t="str">
        <f aca="false">IF(A275="","",IF(W275&lt;&gt;"",W275,V275))</f>
        <v/>
      </c>
      <c r="Y275" s="5" t="str">
        <f aca="false">IF(A275="","",IF(COUNTIFS($X$2:$X$2001,X275,$D$2:$D$2001,"&lt;&gt;"&amp;D275,$C$2:$C$2001,C275)&gt;0,"SIM","NAO"))</f>
        <v/>
      </c>
      <c r="Z275" s="5" t="str">
        <f aca="false">IF(A275="","",IF(J275="","",IFERROR(360/J275,"")))</f>
        <v/>
      </c>
      <c r="AA275" s="5" t="str">
        <f aca="false">IF(A275="","",IF(H275=0,"Parado (sem venda 90d)",IF(Z275&gt;12,"Alto (&gt;12x/ano)",IF(Z275&gt;=4,"Medio (4-12x/ano)","Baixo (&lt;4x/ano)"))))</f>
        <v/>
      </c>
    </row>
    <row r="276" customFormat="false" ht="15" hidden="false" customHeight="true" outlineLevel="0" collapsed="false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18"/>
      <c r="L276" s="19" t="str">
        <f aca="false">IF(A276="","",G276*K276)</f>
        <v/>
      </c>
      <c r="M276" s="20"/>
      <c r="N276" s="6"/>
      <c r="O276" s="6"/>
      <c r="P276" s="5" t="str">
        <f aca="false">IF(A276="","",H276/90)</f>
        <v/>
      </c>
      <c r="Q276" s="5" t="str">
        <f aca="false">IF(A276="","",IFERROR(INDEX(Parâmetros!$C$6:$C$10,MATCH(F276,Parâmetros!$B$6:$B$10,0)),""))</f>
        <v/>
      </c>
      <c r="R276" s="5" t="str">
        <f aca="false">IF(OR(A276="",P276="",Q276=""),"",P276*Q276)</f>
        <v/>
      </c>
      <c r="S276" s="5" t="str">
        <f aca="false">IF(R276="","",MAX(0,R276-G276))</f>
        <v/>
      </c>
      <c r="T276" s="21" t="str">
        <f aca="false">IF(S276="","",S276*K276)</f>
        <v/>
      </c>
      <c r="U276" s="5" t="str">
        <f aca="false">IF(A276="","",IF(J276&gt;Parâmetros!$C$14,"SIM","NAO"))</f>
        <v/>
      </c>
      <c r="V276" s="5" t="str">
        <f aca="false">IF(B276="","",TRIM(LEFT(B276,IFERROR(FIND(" ",B276)-1,LEN(B276)))))</f>
        <v/>
      </c>
      <c r="W276" s="22"/>
      <c r="X276" s="5" t="str">
        <f aca="false">IF(A276="","",IF(W276&lt;&gt;"",W276,V276))</f>
        <v/>
      </c>
      <c r="Y276" s="5" t="str">
        <f aca="false">IF(A276="","",IF(COUNTIFS($X$2:$X$2001,X276,$D$2:$D$2001,"&lt;&gt;"&amp;D276,$C$2:$C$2001,C276)&gt;0,"SIM","NAO"))</f>
        <v/>
      </c>
      <c r="Z276" s="5" t="str">
        <f aca="false">IF(A276="","",IF(J276="","",IFERROR(360/J276,"")))</f>
        <v/>
      </c>
      <c r="AA276" s="5" t="str">
        <f aca="false">IF(A276="","",IF(H276=0,"Parado (sem venda 90d)",IF(Z276&gt;12,"Alto (&gt;12x/ano)",IF(Z276&gt;=4,"Medio (4-12x/ano)","Baixo (&lt;4x/ano)"))))</f>
        <v/>
      </c>
    </row>
    <row r="277" customFormat="false" ht="15" hidden="false" customHeight="true" outlineLevel="0" collapsed="false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18"/>
      <c r="L277" s="19" t="str">
        <f aca="false">IF(A277="","",G277*K277)</f>
        <v/>
      </c>
      <c r="M277" s="20"/>
      <c r="N277" s="6"/>
      <c r="O277" s="6"/>
      <c r="P277" s="5" t="str">
        <f aca="false">IF(A277="","",H277/90)</f>
        <v/>
      </c>
      <c r="Q277" s="5" t="str">
        <f aca="false">IF(A277="","",IFERROR(INDEX(Parâmetros!$C$6:$C$10,MATCH(F277,Parâmetros!$B$6:$B$10,0)),""))</f>
        <v/>
      </c>
      <c r="R277" s="5" t="str">
        <f aca="false">IF(OR(A277="",P277="",Q277=""),"",P277*Q277)</f>
        <v/>
      </c>
      <c r="S277" s="5" t="str">
        <f aca="false">IF(R277="","",MAX(0,R277-G277))</f>
        <v/>
      </c>
      <c r="T277" s="21" t="str">
        <f aca="false">IF(S277="","",S277*K277)</f>
        <v/>
      </c>
      <c r="U277" s="5" t="str">
        <f aca="false">IF(A277="","",IF(J277&gt;Parâmetros!$C$14,"SIM","NAO"))</f>
        <v/>
      </c>
      <c r="V277" s="5" t="str">
        <f aca="false">IF(B277="","",TRIM(LEFT(B277,IFERROR(FIND(" ",B277)-1,LEN(B277)))))</f>
        <v/>
      </c>
      <c r="W277" s="22"/>
      <c r="X277" s="5" t="str">
        <f aca="false">IF(A277="","",IF(W277&lt;&gt;"",W277,V277))</f>
        <v/>
      </c>
      <c r="Y277" s="5" t="str">
        <f aca="false">IF(A277="","",IF(COUNTIFS($X$2:$X$2001,X277,$D$2:$D$2001,"&lt;&gt;"&amp;D277,$C$2:$C$2001,C277)&gt;0,"SIM","NAO"))</f>
        <v/>
      </c>
      <c r="Z277" s="5" t="str">
        <f aca="false">IF(A277="","",IF(J277="","",IFERROR(360/J277,"")))</f>
        <v/>
      </c>
      <c r="AA277" s="5" t="str">
        <f aca="false">IF(A277="","",IF(H277=0,"Parado (sem venda 90d)",IF(Z277&gt;12,"Alto (&gt;12x/ano)",IF(Z277&gt;=4,"Medio (4-12x/ano)","Baixo (&lt;4x/ano)"))))</f>
        <v/>
      </c>
    </row>
    <row r="278" customFormat="false" ht="15" hidden="false" customHeight="true" outlineLevel="0" collapsed="false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18"/>
      <c r="L278" s="19" t="str">
        <f aca="false">IF(A278="","",G278*K278)</f>
        <v/>
      </c>
      <c r="M278" s="20"/>
      <c r="N278" s="6"/>
      <c r="O278" s="6"/>
      <c r="P278" s="5" t="str">
        <f aca="false">IF(A278="","",H278/90)</f>
        <v/>
      </c>
      <c r="Q278" s="5" t="str">
        <f aca="false">IF(A278="","",IFERROR(INDEX(Parâmetros!$C$6:$C$10,MATCH(F278,Parâmetros!$B$6:$B$10,0)),""))</f>
        <v/>
      </c>
      <c r="R278" s="5" t="str">
        <f aca="false">IF(OR(A278="",P278="",Q278=""),"",P278*Q278)</f>
        <v/>
      </c>
      <c r="S278" s="5" t="str">
        <f aca="false">IF(R278="","",MAX(0,R278-G278))</f>
        <v/>
      </c>
      <c r="T278" s="21" t="str">
        <f aca="false">IF(S278="","",S278*K278)</f>
        <v/>
      </c>
      <c r="U278" s="5" t="str">
        <f aca="false">IF(A278="","",IF(J278&gt;Parâmetros!$C$14,"SIM","NAO"))</f>
        <v/>
      </c>
      <c r="V278" s="5" t="str">
        <f aca="false">IF(B278="","",TRIM(LEFT(B278,IFERROR(FIND(" ",B278)-1,LEN(B278)))))</f>
        <v/>
      </c>
      <c r="W278" s="22"/>
      <c r="X278" s="5" t="str">
        <f aca="false">IF(A278="","",IF(W278&lt;&gt;"",W278,V278))</f>
        <v/>
      </c>
      <c r="Y278" s="5" t="str">
        <f aca="false">IF(A278="","",IF(COUNTIFS($X$2:$X$2001,X278,$D$2:$D$2001,"&lt;&gt;"&amp;D278,$C$2:$C$2001,C278)&gt;0,"SIM","NAO"))</f>
        <v/>
      </c>
      <c r="Z278" s="5" t="str">
        <f aca="false">IF(A278="","",IF(J278="","",IFERROR(360/J278,"")))</f>
        <v/>
      </c>
      <c r="AA278" s="5" t="str">
        <f aca="false">IF(A278="","",IF(H278=0,"Parado (sem venda 90d)",IF(Z278&gt;12,"Alto (&gt;12x/ano)",IF(Z278&gt;=4,"Medio (4-12x/ano)","Baixo (&lt;4x/ano)"))))</f>
        <v/>
      </c>
    </row>
    <row r="279" customFormat="false" ht="15" hidden="false" customHeight="true" outlineLevel="0" collapsed="false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18"/>
      <c r="L279" s="19" t="str">
        <f aca="false">IF(A279="","",G279*K279)</f>
        <v/>
      </c>
      <c r="M279" s="20"/>
      <c r="N279" s="6"/>
      <c r="O279" s="6"/>
      <c r="P279" s="5" t="str">
        <f aca="false">IF(A279="","",H279/90)</f>
        <v/>
      </c>
      <c r="Q279" s="5" t="str">
        <f aca="false">IF(A279="","",IFERROR(INDEX(Parâmetros!$C$6:$C$10,MATCH(F279,Parâmetros!$B$6:$B$10,0)),""))</f>
        <v/>
      </c>
      <c r="R279" s="5" t="str">
        <f aca="false">IF(OR(A279="",P279="",Q279=""),"",P279*Q279)</f>
        <v/>
      </c>
      <c r="S279" s="5" t="str">
        <f aca="false">IF(R279="","",MAX(0,R279-G279))</f>
        <v/>
      </c>
      <c r="T279" s="21" t="str">
        <f aca="false">IF(S279="","",S279*K279)</f>
        <v/>
      </c>
      <c r="U279" s="5" t="str">
        <f aca="false">IF(A279="","",IF(J279&gt;Parâmetros!$C$14,"SIM","NAO"))</f>
        <v/>
      </c>
      <c r="V279" s="5" t="str">
        <f aca="false">IF(B279="","",TRIM(LEFT(B279,IFERROR(FIND(" ",B279)-1,LEN(B279)))))</f>
        <v/>
      </c>
      <c r="W279" s="22"/>
      <c r="X279" s="5" t="str">
        <f aca="false">IF(A279="","",IF(W279&lt;&gt;"",W279,V279))</f>
        <v/>
      </c>
      <c r="Y279" s="5" t="str">
        <f aca="false">IF(A279="","",IF(COUNTIFS($X$2:$X$2001,X279,$D$2:$D$2001,"&lt;&gt;"&amp;D279,$C$2:$C$2001,C279)&gt;0,"SIM","NAO"))</f>
        <v/>
      </c>
      <c r="Z279" s="5" t="str">
        <f aca="false">IF(A279="","",IF(J279="","",IFERROR(360/J279,"")))</f>
        <v/>
      </c>
      <c r="AA279" s="5" t="str">
        <f aca="false">IF(A279="","",IF(H279=0,"Parado (sem venda 90d)",IF(Z279&gt;12,"Alto (&gt;12x/ano)",IF(Z279&gt;=4,"Medio (4-12x/ano)","Baixo (&lt;4x/ano)"))))</f>
        <v/>
      </c>
    </row>
    <row r="280" customFormat="false" ht="15" hidden="false" customHeight="true" outlineLevel="0" collapsed="false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18"/>
      <c r="L280" s="19" t="str">
        <f aca="false">IF(A280="","",G280*K280)</f>
        <v/>
      </c>
      <c r="M280" s="20"/>
      <c r="N280" s="6"/>
      <c r="O280" s="6"/>
      <c r="P280" s="5" t="str">
        <f aca="false">IF(A280="","",H280/90)</f>
        <v/>
      </c>
      <c r="Q280" s="5" t="str">
        <f aca="false">IF(A280="","",IFERROR(INDEX(Parâmetros!$C$6:$C$10,MATCH(F280,Parâmetros!$B$6:$B$10,0)),""))</f>
        <v/>
      </c>
      <c r="R280" s="5" t="str">
        <f aca="false">IF(OR(A280="",P280="",Q280=""),"",P280*Q280)</f>
        <v/>
      </c>
      <c r="S280" s="5" t="str">
        <f aca="false">IF(R280="","",MAX(0,R280-G280))</f>
        <v/>
      </c>
      <c r="T280" s="21" t="str">
        <f aca="false">IF(S280="","",S280*K280)</f>
        <v/>
      </c>
      <c r="U280" s="5" t="str">
        <f aca="false">IF(A280="","",IF(J280&gt;Parâmetros!$C$14,"SIM","NAO"))</f>
        <v/>
      </c>
      <c r="V280" s="5" t="str">
        <f aca="false">IF(B280="","",TRIM(LEFT(B280,IFERROR(FIND(" ",B280)-1,LEN(B280)))))</f>
        <v/>
      </c>
      <c r="W280" s="22"/>
      <c r="X280" s="5" t="str">
        <f aca="false">IF(A280="","",IF(W280&lt;&gt;"",W280,V280))</f>
        <v/>
      </c>
      <c r="Y280" s="5" t="str">
        <f aca="false">IF(A280="","",IF(COUNTIFS($X$2:$X$2001,X280,$D$2:$D$2001,"&lt;&gt;"&amp;D280,$C$2:$C$2001,C280)&gt;0,"SIM","NAO"))</f>
        <v/>
      </c>
      <c r="Z280" s="5" t="str">
        <f aca="false">IF(A280="","",IF(J280="","",IFERROR(360/J280,"")))</f>
        <v/>
      </c>
      <c r="AA280" s="5" t="str">
        <f aca="false">IF(A280="","",IF(H280=0,"Parado (sem venda 90d)",IF(Z280&gt;12,"Alto (&gt;12x/ano)",IF(Z280&gt;=4,"Medio (4-12x/ano)","Baixo (&lt;4x/ano)"))))</f>
        <v/>
      </c>
    </row>
    <row r="281" customFormat="false" ht="15" hidden="false" customHeight="true" outlineLevel="0" collapsed="false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18"/>
      <c r="L281" s="19" t="str">
        <f aca="false">IF(A281="","",G281*K281)</f>
        <v/>
      </c>
      <c r="M281" s="20"/>
      <c r="N281" s="6"/>
      <c r="O281" s="6"/>
      <c r="P281" s="5" t="str">
        <f aca="false">IF(A281="","",H281/90)</f>
        <v/>
      </c>
      <c r="Q281" s="5" t="str">
        <f aca="false">IF(A281="","",IFERROR(INDEX(Parâmetros!$C$6:$C$10,MATCH(F281,Parâmetros!$B$6:$B$10,0)),""))</f>
        <v/>
      </c>
      <c r="R281" s="5" t="str">
        <f aca="false">IF(OR(A281="",P281="",Q281=""),"",P281*Q281)</f>
        <v/>
      </c>
      <c r="S281" s="5" t="str">
        <f aca="false">IF(R281="","",MAX(0,R281-G281))</f>
        <v/>
      </c>
      <c r="T281" s="21" t="str">
        <f aca="false">IF(S281="","",S281*K281)</f>
        <v/>
      </c>
      <c r="U281" s="5" t="str">
        <f aca="false">IF(A281="","",IF(J281&gt;Parâmetros!$C$14,"SIM","NAO"))</f>
        <v/>
      </c>
      <c r="V281" s="5" t="str">
        <f aca="false">IF(B281="","",TRIM(LEFT(B281,IFERROR(FIND(" ",B281)-1,LEN(B281)))))</f>
        <v/>
      </c>
      <c r="W281" s="22"/>
      <c r="X281" s="5" t="str">
        <f aca="false">IF(A281="","",IF(W281&lt;&gt;"",W281,V281))</f>
        <v/>
      </c>
      <c r="Y281" s="5" t="str">
        <f aca="false">IF(A281="","",IF(COUNTIFS($X$2:$X$2001,X281,$D$2:$D$2001,"&lt;&gt;"&amp;D281,$C$2:$C$2001,C281)&gt;0,"SIM","NAO"))</f>
        <v/>
      </c>
      <c r="Z281" s="5" t="str">
        <f aca="false">IF(A281="","",IF(J281="","",IFERROR(360/J281,"")))</f>
        <v/>
      </c>
      <c r="AA281" s="5" t="str">
        <f aca="false">IF(A281="","",IF(H281=0,"Parado (sem venda 90d)",IF(Z281&gt;12,"Alto (&gt;12x/ano)",IF(Z281&gt;=4,"Medio (4-12x/ano)","Baixo (&lt;4x/ano)"))))</f>
        <v/>
      </c>
    </row>
    <row r="282" customFormat="false" ht="15" hidden="false" customHeight="true" outlineLevel="0" collapsed="false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18"/>
      <c r="L282" s="19" t="str">
        <f aca="false">IF(A282="","",G282*K282)</f>
        <v/>
      </c>
      <c r="M282" s="20"/>
      <c r="N282" s="6"/>
      <c r="O282" s="6"/>
      <c r="P282" s="5" t="str">
        <f aca="false">IF(A282="","",H282/90)</f>
        <v/>
      </c>
      <c r="Q282" s="5" t="str">
        <f aca="false">IF(A282="","",IFERROR(INDEX(Parâmetros!$C$6:$C$10,MATCH(F282,Parâmetros!$B$6:$B$10,0)),""))</f>
        <v/>
      </c>
      <c r="R282" s="5" t="str">
        <f aca="false">IF(OR(A282="",P282="",Q282=""),"",P282*Q282)</f>
        <v/>
      </c>
      <c r="S282" s="5" t="str">
        <f aca="false">IF(R282="","",MAX(0,R282-G282))</f>
        <v/>
      </c>
      <c r="T282" s="21" t="str">
        <f aca="false">IF(S282="","",S282*K282)</f>
        <v/>
      </c>
      <c r="U282" s="5" t="str">
        <f aca="false">IF(A282="","",IF(J282&gt;Parâmetros!$C$14,"SIM","NAO"))</f>
        <v/>
      </c>
      <c r="V282" s="5" t="str">
        <f aca="false">IF(B282="","",TRIM(LEFT(B282,IFERROR(FIND(" ",B282)-1,LEN(B282)))))</f>
        <v/>
      </c>
      <c r="W282" s="22"/>
      <c r="X282" s="5" t="str">
        <f aca="false">IF(A282="","",IF(W282&lt;&gt;"",W282,V282))</f>
        <v/>
      </c>
      <c r="Y282" s="5" t="str">
        <f aca="false">IF(A282="","",IF(COUNTIFS($X$2:$X$2001,X282,$D$2:$D$2001,"&lt;&gt;"&amp;D282,$C$2:$C$2001,C282)&gt;0,"SIM","NAO"))</f>
        <v/>
      </c>
      <c r="Z282" s="5" t="str">
        <f aca="false">IF(A282="","",IF(J282="","",IFERROR(360/J282,"")))</f>
        <v/>
      </c>
      <c r="AA282" s="5" t="str">
        <f aca="false">IF(A282="","",IF(H282=0,"Parado (sem venda 90d)",IF(Z282&gt;12,"Alto (&gt;12x/ano)",IF(Z282&gt;=4,"Medio (4-12x/ano)","Baixo (&lt;4x/ano)"))))</f>
        <v/>
      </c>
    </row>
    <row r="283" customFormat="false" ht="15" hidden="false" customHeight="true" outlineLevel="0" collapsed="false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18"/>
      <c r="L283" s="19" t="str">
        <f aca="false">IF(A283="","",G283*K283)</f>
        <v/>
      </c>
      <c r="M283" s="20"/>
      <c r="N283" s="6"/>
      <c r="O283" s="6"/>
      <c r="P283" s="5" t="str">
        <f aca="false">IF(A283="","",H283/90)</f>
        <v/>
      </c>
      <c r="Q283" s="5" t="str">
        <f aca="false">IF(A283="","",IFERROR(INDEX(Parâmetros!$C$6:$C$10,MATCH(F283,Parâmetros!$B$6:$B$10,0)),""))</f>
        <v/>
      </c>
      <c r="R283" s="5" t="str">
        <f aca="false">IF(OR(A283="",P283="",Q283=""),"",P283*Q283)</f>
        <v/>
      </c>
      <c r="S283" s="5" t="str">
        <f aca="false">IF(R283="","",MAX(0,R283-G283))</f>
        <v/>
      </c>
      <c r="T283" s="21" t="str">
        <f aca="false">IF(S283="","",S283*K283)</f>
        <v/>
      </c>
      <c r="U283" s="5" t="str">
        <f aca="false">IF(A283="","",IF(J283&gt;Parâmetros!$C$14,"SIM","NAO"))</f>
        <v/>
      </c>
      <c r="V283" s="5" t="str">
        <f aca="false">IF(B283="","",TRIM(LEFT(B283,IFERROR(FIND(" ",B283)-1,LEN(B283)))))</f>
        <v/>
      </c>
      <c r="W283" s="22"/>
      <c r="X283" s="5" t="str">
        <f aca="false">IF(A283="","",IF(W283&lt;&gt;"",W283,V283))</f>
        <v/>
      </c>
      <c r="Y283" s="5" t="str">
        <f aca="false">IF(A283="","",IF(COUNTIFS($X$2:$X$2001,X283,$D$2:$D$2001,"&lt;&gt;"&amp;D283,$C$2:$C$2001,C283)&gt;0,"SIM","NAO"))</f>
        <v/>
      </c>
      <c r="Z283" s="5" t="str">
        <f aca="false">IF(A283="","",IF(J283="","",IFERROR(360/J283,"")))</f>
        <v/>
      </c>
      <c r="AA283" s="5" t="str">
        <f aca="false">IF(A283="","",IF(H283=0,"Parado (sem venda 90d)",IF(Z283&gt;12,"Alto (&gt;12x/ano)",IF(Z283&gt;=4,"Medio (4-12x/ano)","Baixo (&lt;4x/ano)"))))</f>
        <v/>
      </c>
    </row>
    <row r="284" customFormat="false" ht="15" hidden="false" customHeight="true" outlineLevel="0" collapsed="false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18"/>
      <c r="L284" s="19" t="str">
        <f aca="false">IF(A284="","",G284*K284)</f>
        <v/>
      </c>
      <c r="M284" s="20"/>
      <c r="N284" s="6"/>
      <c r="O284" s="6"/>
      <c r="P284" s="5" t="str">
        <f aca="false">IF(A284="","",H284/90)</f>
        <v/>
      </c>
      <c r="Q284" s="5" t="str">
        <f aca="false">IF(A284="","",IFERROR(INDEX(Parâmetros!$C$6:$C$10,MATCH(F284,Parâmetros!$B$6:$B$10,0)),""))</f>
        <v/>
      </c>
      <c r="R284" s="5" t="str">
        <f aca="false">IF(OR(A284="",P284="",Q284=""),"",P284*Q284)</f>
        <v/>
      </c>
      <c r="S284" s="5" t="str">
        <f aca="false">IF(R284="","",MAX(0,R284-G284))</f>
        <v/>
      </c>
      <c r="T284" s="21" t="str">
        <f aca="false">IF(S284="","",S284*K284)</f>
        <v/>
      </c>
      <c r="U284" s="5" t="str">
        <f aca="false">IF(A284="","",IF(J284&gt;Parâmetros!$C$14,"SIM","NAO"))</f>
        <v/>
      </c>
      <c r="V284" s="5" t="str">
        <f aca="false">IF(B284="","",TRIM(LEFT(B284,IFERROR(FIND(" ",B284)-1,LEN(B284)))))</f>
        <v/>
      </c>
      <c r="W284" s="22"/>
      <c r="X284" s="5" t="str">
        <f aca="false">IF(A284="","",IF(W284&lt;&gt;"",W284,V284))</f>
        <v/>
      </c>
      <c r="Y284" s="5" t="str">
        <f aca="false">IF(A284="","",IF(COUNTIFS($X$2:$X$2001,X284,$D$2:$D$2001,"&lt;&gt;"&amp;D284,$C$2:$C$2001,C284)&gt;0,"SIM","NAO"))</f>
        <v/>
      </c>
      <c r="Z284" s="5" t="str">
        <f aca="false">IF(A284="","",IF(J284="","",IFERROR(360/J284,"")))</f>
        <v/>
      </c>
      <c r="AA284" s="5" t="str">
        <f aca="false">IF(A284="","",IF(H284=0,"Parado (sem venda 90d)",IF(Z284&gt;12,"Alto (&gt;12x/ano)",IF(Z284&gt;=4,"Medio (4-12x/ano)","Baixo (&lt;4x/ano)"))))</f>
        <v/>
      </c>
    </row>
    <row r="285" customFormat="false" ht="15" hidden="false" customHeight="true" outlineLevel="0" collapsed="false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18"/>
      <c r="L285" s="19" t="str">
        <f aca="false">IF(A285="","",G285*K285)</f>
        <v/>
      </c>
      <c r="M285" s="20"/>
      <c r="N285" s="6"/>
      <c r="O285" s="6"/>
      <c r="P285" s="5" t="str">
        <f aca="false">IF(A285="","",H285/90)</f>
        <v/>
      </c>
      <c r="Q285" s="5" t="str">
        <f aca="false">IF(A285="","",IFERROR(INDEX(Parâmetros!$C$6:$C$10,MATCH(F285,Parâmetros!$B$6:$B$10,0)),""))</f>
        <v/>
      </c>
      <c r="R285" s="5" t="str">
        <f aca="false">IF(OR(A285="",P285="",Q285=""),"",P285*Q285)</f>
        <v/>
      </c>
      <c r="S285" s="5" t="str">
        <f aca="false">IF(R285="","",MAX(0,R285-G285))</f>
        <v/>
      </c>
      <c r="T285" s="21" t="str">
        <f aca="false">IF(S285="","",S285*K285)</f>
        <v/>
      </c>
      <c r="U285" s="5" t="str">
        <f aca="false">IF(A285="","",IF(J285&gt;Parâmetros!$C$14,"SIM","NAO"))</f>
        <v/>
      </c>
      <c r="V285" s="5" t="str">
        <f aca="false">IF(B285="","",TRIM(LEFT(B285,IFERROR(FIND(" ",B285)-1,LEN(B285)))))</f>
        <v/>
      </c>
      <c r="W285" s="22"/>
      <c r="X285" s="5" t="str">
        <f aca="false">IF(A285="","",IF(W285&lt;&gt;"",W285,V285))</f>
        <v/>
      </c>
      <c r="Y285" s="5" t="str">
        <f aca="false">IF(A285="","",IF(COUNTIFS($X$2:$X$2001,X285,$D$2:$D$2001,"&lt;&gt;"&amp;D285,$C$2:$C$2001,C285)&gt;0,"SIM","NAO"))</f>
        <v/>
      </c>
      <c r="Z285" s="5" t="str">
        <f aca="false">IF(A285="","",IF(J285="","",IFERROR(360/J285,"")))</f>
        <v/>
      </c>
      <c r="AA285" s="5" t="str">
        <f aca="false">IF(A285="","",IF(H285=0,"Parado (sem venda 90d)",IF(Z285&gt;12,"Alto (&gt;12x/ano)",IF(Z285&gt;=4,"Medio (4-12x/ano)","Baixo (&lt;4x/ano)"))))</f>
        <v/>
      </c>
    </row>
    <row r="286" customFormat="false" ht="15" hidden="false" customHeight="true" outlineLevel="0" collapsed="false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18"/>
      <c r="L286" s="19" t="str">
        <f aca="false">IF(A286="","",G286*K286)</f>
        <v/>
      </c>
      <c r="M286" s="20"/>
      <c r="N286" s="6"/>
      <c r="O286" s="6"/>
      <c r="P286" s="5" t="str">
        <f aca="false">IF(A286="","",H286/90)</f>
        <v/>
      </c>
      <c r="Q286" s="5" t="str">
        <f aca="false">IF(A286="","",IFERROR(INDEX(Parâmetros!$C$6:$C$10,MATCH(F286,Parâmetros!$B$6:$B$10,0)),""))</f>
        <v/>
      </c>
      <c r="R286" s="5" t="str">
        <f aca="false">IF(OR(A286="",P286="",Q286=""),"",P286*Q286)</f>
        <v/>
      </c>
      <c r="S286" s="5" t="str">
        <f aca="false">IF(R286="","",MAX(0,R286-G286))</f>
        <v/>
      </c>
      <c r="T286" s="21" t="str">
        <f aca="false">IF(S286="","",S286*K286)</f>
        <v/>
      </c>
      <c r="U286" s="5" t="str">
        <f aca="false">IF(A286="","",IF(J286&gt;Parâmetros!$C$14,"SIM","NAO"))</f>
        <v/>
      </c>
      <c r="V286" s="5" t="str">
        <f aca="false">IF(B286="","",TRIM(LEFT(B286,IFERROR(FIND(" ",B286)-1,LEN(B286)))))</f>
        <v/>
      </c>
      <c r="W286" s="22"/>
      <c r="X286" s="5" t="str">
        <f aca="false">IF(A286="","",IF(W286&lt;&gt;"",W286,V286))</f>
        <v/>
      </c>
      <c r="Y286" s="5" t="str">
        <f aca="false">IF(A286="","",IF(COUNTIFS($X$2:$X$2001,X286,$D$2:$D$2001,"&lt;&gt;"&amp;D286,$C$2:$C$2001,C286)&gt;0,"SIM","NAO"))</f>
        <v/>
      </c>
      <c r="Z286" s="5" t="str">
        <f aca="false">IF(A286="","",IF(J286="","",IFERROR(360/J286,"")))</f>
        <v/>
      </c>
      <c r="AA286" s="5" t="str">
        <f aca="false">IF(A286="","",IF(H286=0,"Parado (sem venda 90d)",IF(Z286&gt;12,"Alto (&gt;12x/ano)",IF(Z286&gt;=4,"Medio (4-12x/ano)","Baixo (&lt;4x/ano)"))))</f>
        <v/>
      </c>
    </row>
    <row r="287" customFormat="false" ht="15" hidden="false" customHeight="true" outlineLevel="0" collapsed="false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18"/>
      <c r="L287" s="19" t="str">
        <f aca="false">IF(A287="","",G287*K287)</f>
        <v/>
      </c>
      <c r="M287" s="20"/>
      <c r="N287" s="6"/>
      <c r="O287" s="6"/>
      <c r="P287" s="5" t="str">
        <f aca="false">IF(A287="","",H287/90)</f>
        <v/>
      </c>
      <c r="Q287" s="5" t="str">
        <f aca="false">IF(A287="","",IFERROR(INDEX(Parâmetros!$C$6:$C$10,MATCH(F287,Parâmetros!$B$6:$B$10,0)),""))</f>
        <v/>
      </c>
      <c r="R287" s="5" t="str">
        <f aca="false">IF(OR(A287="",P287="",Q287=""),"",P287*Q287)</f>
        <v/>
      </c>
      <c r="S287" s="5" t="str">
        <f aca="false">IF(R287="","",MAX(0,R287-G287))</f>
        <v/>
      </c>
      <c r="T287" s="21" t="str">
        <f aca="false">IF(S287="","",S287*K287)</f>
        <v/>
      </c>
      <c r="U287" s="5" t="str">
        <f aca="false">IF(A287="","",IF(J287&gt;Parâmetros!$C$14,"SIM","NAO"))</f>
        <v/>
      </c>
      <c r="V287" s="5" t="str">
        <f aca="false">IF(B287="","",TRIM(LEFT(B287,IFERROR(FIND(" ",B287)-1,LEN(B287)))))</f>
        <v/>
      </c>
      <c r="W287" s="22"/>
      <c r="X287" s="5" t="str">
        <f aca="false">IF(A287="","",IF(W287&lt;&gt;"",W287,V287))</f>
        <v/>
      </c>
      <c r="Y287" s="5" t="str">
        <f aca="false">IF(A287="","",IF(COUNTIFS($X$2:$X$2001,X287,$D$2:$D$2001,"&lt;&gt;"&amp;D287,$C$2:$C$2001,C287)&gt;0,"SIM","NAO"))</f>
        <v/>
      </c>
      <c r="Z287" s="5" t="str">
        <f aca="false">IF(A287="","",IF(J287="","",IFERROR(360/J287,"")))</f>
        <v/>
      </c>
      <c r="AA287" s="5" t="str">
        <f aca="false">IF(A287="","",IF(H287=0,"Parado (sem venda 90d)",IF(Z287&gt;12,"Alto (&gt;12x/ano)",IF(Z287&gt;=4,"Medio (4-12x/ano)","Baixo (&lt;4x/ano)"))))</f>
        <v/>
      </c>
    </row>
    <row r="288" customFormat="false" ht="15" hidden="false" customHeight="true" outlineLevel="0" collapsed="false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18"/>
      <c r="L288" s="19" t="str">
        <f aca="false">IF(A288="","",G288*K288)</f>
        <v/>
      </c>
      <c r="M288" s="20"/>
      <c r="N288" s="6"/>
      <c r="O288" s="6"/>
      <c r="P288" s="5" t="str">
        <f aca="false">IF(A288="","",H288/90)</f>
        <v/>
      </c>
      <c r="Q288" s="5" t="str">
        <f aca="false">IF(A288="","",IFERROR(INDEX(Parâmetros!$C$6:$C$10,MATCH(F288,Parâmetros!$B$6:$B$10,0)),""))</f>
        <v/>
      </c>
      <c r="R288" s="5" t="str">
        <f aca="false">IF(OR(A288="",P288="",Q288=""),"",P288*Q288)</f>
        <v/>
      </c>
      <c r="S288" s="5" t="str">
        <f aca="false">IF(R288="","",MAX(0,R288-G288))</f>
        <v/>
      </c>
      <c r="T288" s="21" t="str">
        <f aca="false">IF(S288="","",S288*K288)</f>
        <v/>
      </c>
      <c r="U288" s="5" t="str">
        <f aca="false">IF(A288="","",IF(J288&gt;Parâmetros!$C$14,"SIM","NAO"))</f>
        <v/>
      </c>
      <c r="V288" s="5" t="str">
        <f aca="false">IF(B288="","",TRIM(LEFT(B288,IFERROR(FIND(" ",B288)-1,LEN(B288)))))</f>
        <v/>
      </c>
      <c r="W288" s="22"/>
      <c r="X288" s="5" t="str">
        <f aca="false">IF(A288="","",IF(W288&lt;&gt;"",W288,V288))</f>
        <v/>
      </c>
      <c r="Y288" s="5" t="str">
        <f aca="false">IF(A288="","",IF(COUNTIFS($X$2:$X$2001,X288,$D$2:$D$2001,"&lt;&gt;"&amp;D288,$C$2:$C$2001,C288)&gt;0,"SIM","NAO"))</f>
        <v/>
      </c>
      <c r="Z288" s="5" t="str">
        <f aca="false">IF(A288="","",IF(J288="","",IFERROR(360/J288,"")))</f>
        <v/>
      </c>
      <c r="AA288" s="5" t="str">
        <f aca="false">IF(A288="","",IF(H288=0,"Parado (sem venda 90d)",IF(Z288&gt;12,"Alto (&gt;12x/ano)",IF(Z288&gt;=4,"Medio (4-12x/ano)","Baixo (&lt;4x/ano)"))))</f>
        <v/>
      </c>
    </row>
    <row r="289" customFormat="false" ht="15" hidden="false" customHeight="true" outlineLevel="0" collapsed="false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18"/>
      <c r="L289" s="19" t="str">
        <f aca="false">IF(A289="","",G289*K289)</f>
        <v/>
      </c>
      <c r="M289" s="20"/>
      <c r="N289" s="6"/>
      <c r="O289" s="6"/>
      <c r="P289" s="5" t="str">
        <f aca="false">IF(A289="","",H289/90)</f>
        <v/>
      </c>
      <c r="Q289" s="5" t="str">
        <f aca="false">IF(A289="","",IFERROR(INDEX(Parâmetros!$C$6:$C$10,MATCH(F289,Parâmetros!$B$6:$B$10,0)),""))</f>
        <v/>
      </c>
      <c r="R289" s="5" t="str">
        <f aca="false">IF(OR(A289="",P289="",Q289=""),"",P289*Q289)</f>
        <v/>
      </c>
      <c r="S289" s="5" t="str">
        <f aca="false">IF(R289="","",MAX(0,R289-G289))</f>
        <v/>
      </c>
      <c r="T289" s="21" t="str">
        <f aca="false">IF(S289="","",S289*K289)</f>
        <v/>
      </c>
      <c r="U289" s="5" t="str">
        <f aca="false">IF(A289="","",IF(J289&gt;Parâmetros!$C$14,"SIM","NAO"))</f>
        <v/>
      </c>
      <c r="V289" s="5" t="str">
        <f aca="false">IF(B289="","",TRIM(LEFT(B289,IFERROR(FIND(" ",B289)-1,LEN(B289)))))</f>
        <v/>
      </c>
      <c r="W289" s="22"/>
      <c r="X289" s="5" t="str">
        <f aca="false">IF(A289="","",IF(W289&lt;&gt;"",W289,V289))</f>
        <v/>
      </c>
      <c r="Y289" s="5" t="str">
        <f aca="false">IF(A289="","",IF(COUNTIFS($X$2:$X$2001,X289,$D$2:$D$2001,"&lt;&gt;"&amp;D289,$C$2:$C$2001,C289)&gt;0,"SIM","NAO"))</f>
        <v/>
      </c>
      <c r="Z289" s="5" t="str">
        <f aca="false">IF(A289="","",IF(J289="","",IFERROR(360/J289,"")))</f>
        <v/>
      </c>
      <c r="AA289" s="5" t="str">
        <f aca="false">IF(A289="","",IF(H289=0,"Parado (sem venda 90d)",IF(Z289&gt;12,"Alto (&gt;12x/ano)",IF(Z289&gt;=4,"Medio (4-12x/ano)","Baixo (&lt;4x/ano)"))))</f>
        <v/>
      </c>
    </row>
    <row r="290" customFormat="false" ht="15" hidden="false" customHeight="true" outlineLevel="0" collapsed="false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18"/>
      <c r="L290" s="19" t="str">
        <f aca="false">IF(A290="","",G290*K290)</f>
        <v/>
      </c>
      <c r="M290" s="20"/>
      <c r="N290" s="6"/>
      <c r="O290" s="6"/>
      <c r="P290" s="5" t="str">
        <f aca="false">IF(A290="","",H290/90)</f>
        <v/>
      </c>
      <c r="Q290" s="5" t="str">
        <f aca="false">IF(A290="","",IFERROR(INDEX(Parâmetros!$C$6:$C$10,MATCH(F290,Parâmetros!$B$6:$B$10,0)),""))</f>
        <v/>
      </c>
      <c r="R290" s="5" t="str">
        <f aca="false">IF(OR(A290="",P290="",Q290=""),"",P290*Q290)</f>
        <v/>
      </c>
      <c r="S290" s="5" t="str">
        <f aca="false">IF(R290="","",MAX(0,R290-G290))</f>
        <v/>
      </c>
      <c r="T290" s="21" t="str">
        <f aca="false">IF(S290="","",S290*K290)</f>
        <v/>
      </c>
      <c r="U290" s="5" t="str">
        <f aca="false">IF(A290="","",IF(J290&gt;Parâmetros!$C$14,"SIM","NAO"))</f>
        <v/>
      </c>
      <c r="V290" s="5" t="str">
        <f aca="false">IF(B290="","",TRIM(LEFT(B290,IFERROR(FIND(" ",B290)-1,LEN(B290)))))</f>
        <v/>
      </c>
      <c r="W290" s="22"/>
      <c r="X290" s="5" t="str">
        <f aca="false">IF(A290="","",IF(W290&lt;&gt;"",W290,V290))</f>
        <v/>
      </c>
      <c r="Y290" s="5" t="str">
        <f aca="false">IF(A290="","",IF(COUNTIFS($X$2:$X$2001,X290,$D$2:$D$2001,"&lt;&gt;"&amp;D290,$C$2:$C$2001,C290)&gt;0,"SIM","NAO"))</f>
        <v/>
      </c>
      <c r="Z290" s="5" t="str">
        <f aca="false">IF(A290="","",IF(J290="","",IFERROR(360/J290,"")))</f>
        <v/>
      </c>
      <c r="AA290" s="5" t="str">
        <f aca="false">IF(A290="","",IF(H290=0,"Parado (sem venda 90d)",IF(Z290&gt;12,"Alto (&gt;12x/ano)",IF(Z290&gt;=4,"Medio (4-12x/ano)","Baixo (&lt;4x/ano)"))))</f>
        <v/>
      </c>
    </row>
    <row r="291" customFormat="false" ht="15" hidden="false" customHeight="true" outlineLevel="0" collapsed="false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18"/>
      <c r="L291" s="19" t="str">
        <f aca="false">IF(A291="","",G291*K291)</f>
        <v/>
      </c>
      <c r="M291" s="20"/>
      <c r="N291" s="6"/>
      <c r="O291" s="6"/>
      <c r="P291" s="5" t="str">
        <f aca="false">IF(A291="","",H291/90)</f>
        <v/>
      </c>
      <c r="Q291" s="5" t="str">
        <f aca="false">IF(A291="","",IFERROR(INDEX(Parâmetros!$C$6:$C$10,MATCH(F291,Parâmetros!$B$6:$B$10,0)),""))</f>
        <v/>
      </c>
      <c r="R291" s="5" t="str">
        <f aca="false">IF(OR(A291="",P291="",Q291=""),"",P291*Q291)</f>
        <v/>
      </c>
      <c r="S291" s="5" t="str">
        <f aca="false">IF(R291="","",MAX(0,R291-G291))</f>
        <v/>
      </c>
      <c r="T291" s="21" t="str">
        <f aca="false">IF(S291="","",S291*K291)</f>
        <v/>
      </c>
      <c r="U291" s="5" t="str">
        <f aca="false">IF(A291="","",IF(J291&gt;Parâmetros!$C$14,"SIM","NAO"))</f>
        <v/>
      </c>
      <c r="V291" s="5" t="str">
        <f aca="false">IF(B291="","",TRIM(LEFT(B291,IFERROR(FIND(" ",B291)-1,LEN(B291)))))</f>
        <v/>
      </c>
      <c r="W291" s="22"/>
      <c r="X291" s="5" t="str">
        <f aca="false">IF(A291="","",IF(W291&lt;&gt;"",W291,V291))</f>
        <v/>
      </c>
      <c r="Y291" s="5" t="str">
        <f aca="false">IF(A291="","",IF(COUNTIFS($X$2:$X$2001,X291,$D$2:$D$2001,"&lt;&gt;"&amp;D291,$C$2:$C$2001,C291)&gt;0,"SIM","NAO"))</f>
        <v/>
      </c>
      <c r="Z291" s="5" t="str">
        <f aca="false">IF(A291="","",IF(J291="","",IFERROR(360/J291,"")))</f>
        <v/>
      </c>
      <c r="AA291" s="5" t="str">
        <f aca="false">IF(A291="","",IF(H291=0,"Parado (sem venda 90d)",IF(Z291&gt;12,"Alto (&gt;12x/ano)",IF(Z291&gt;=4,"Medio (4-12x/ano)","Baixo (&lt;4x/ano)"))))</f>
        <v/>
      </c>
    </row>
    <row r="292" customFormat="false" ht="15" hidden="false" customHeight="true" outlineLevel="0" collapsed="false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18"/>
      <c r="L292" s="19" t="str">
        <f aca="false">IF(A292="","",G292*K292)</f>
        <v/>
      </c>
      <c r="M292" s="20"/>
      <c r="N292" s="6"/>
      <c r="O292" s="6"/>
      <c r="P292" s="5" t="str">
        <f aca="false">IF(A292="","",H292/90)</f>
        <v/>
      </c>
      <c r="Q292" s="5" t="str">
        <f aca="false">IF(A292="","",IFERROR(INDEX(Parâmetros!$C$6:$C$10,MATCH(F292,Parâmetros!$B$6:$B$10,0)),""))</f>
        <v/>
      </c>
      <c r="R292" s="5" t="str">
        <f aca="false">IF(OR(A292="",P292="",Q292=""),"",P292*Q292)</f>
        <v/>
      </c>
      <c r="S292" s="5" t="str">
        <f aca="false">IF(R292="","",MAX(0,R292-G292))</f>
        <v/>
      </c>
      <c r="T292" s="21" t="str">
        <f aca="false">IF(S292="","",S292*K292)</f>
        <v/>
      </c>
      <c r="U292" s="5" t="str">
        <f aca="false">IF(A292="","",IF(J292&gt;Parâmetros!$C$14,"SIM","NAO"))</f>
        <v/>
      </c>
      <c r="V292" s="5" t="str">
        <f aca="false">IF(B292="","",TRIM(LEFT(B292,IFERROR(FIND(" ",B292)-1,LEN(B292)))))</f>
        <v/>
      </c>
      <c r="W292" s="22"/>
      <c r="X292" s="5" t="str">
        <f aca="false">IF(A292="","",IF(W292&lt;&gt;"",W292,V292))</f>
        <v/>
      </c>
      <c r="Y292" s="5" t="str">
        <f aca="false">IF(A292="","",IF(COUNTIFS($X$2:$X$2001,X292,$D$2:$D$2001,"&lt;&gt;"&amp;D292,$C$2:$C$2001,C292)&gt;0,"SIM","NAO"))</f>
        <v/>
      </c>
      <c r="Z292" s="5" t="str">
        <f aca="false">IF(A292="","",IF(J292="","",IFERROR(360/J292,"")))</f>
        <v/>
      </c>
      <c r="AA292" s="5" t="str">
        <f aca="false">IF(A292="","",IF(H292=0,"Parado (sem venda 90d)",IF(Z292&gt;12,"Alto (&gt;12x/ano)",IF(Z292&gt;=4,"Medio (4-12x/ano)","Baixo (&lt;4x/ano)"))))</f>
        <v/>
      </c>
    </row>
    <row r="293" customFormat="false" ht="15" hidden="false" customHeight="true" outlineLevel="0" collapsed="false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18"/>
      <c r="L293" s="19" t="str">
        <f aca="false">IF(A293="","",G293*K293)</f>
        <v/>
      </c>
      <c r="M293" s="20"/>
      <c r="N293" s="6"/>
      <c r="O293" s="6"/>
      <c r="P293" s="5" t="str">
        <f aca="false">IF(A293="","",H293/90)</f>
        <v/>
      </c>
      <c r="Q293" s="5" t="str">
        <f aca="false">IF(A293="","",IFERROR(INDEX(Parâmetros!$C$6:$C$10,MATCH(F293,Parâmetros!$B$6:$B$10,0)),""))</f>
        <v/>
      </c>
      <c r="R293" s="5" t="str">
        <f aca="false">IF(OR(A293="",P293="",Q293=""),"",P293*Q293)</f>
        <v/>
      </c>
      <c r="S293" s="5" t="str">
        <f aca="false">IF(R293="","",MAX(0,R293-G293))</f>
        <v/>
      </c>
      <c r="T293" s="21" t="str">
        <f aca="false">IF(S293="","",S293*K293)</f>
        <v/>
      </c>
      <c r="U293" s="5" t="str">
        <f aca="false">IF(A293="","",IF(J293&gt;Parâmetros!$C$14,"SIM","NAO"))</f>
        <v/>
      </c>
      <c r="V293" s="5" t="str">
        <f aca="false">IF(B293="","",TRIM(LEFT(B293,IFERROR(FIND(" ",B293)-1,LEN(B293)))))</f>
        <v/>
      </c>
      <c r="W293" s="22"/>
      <c r="X293" s="5" t="str">
        <f aca="false">IF(A293="","",IF(W293&lt;&gt;"",W293,V293))</f>
        <v/>
      </c>
      <c r="Y293" s="5" t="str">
        <f aca="false">IF(A293="","",IF(COUNTIFS($X$2:$X$2001,X293,$D$2:$D$2001,"&lt;&gt;"&amp;D293,$C$2:$C$2001,C293)&gt;0,"SIM","NAO"))</f>
        <v/>
      </c>
      <c r="Z293" s="5" t="str">
        <f aca="false">IF(A293="","",IF(J293="","",IFERROR(360/J293,"")))</f>
        <v/>
      </c>
      <c r="AA293" s="5" t="str">
        <f aca="false">IF(A293="","",IF(H293=0,"Parado (sem venda 90d)",IF(Z293&gt;12,"Alto (&gt;12x/ano)",IF(Z293&gt;=4,"Medio (4-12x/ano)","Baixo (&lt;4x/ano)"))))</f>
        <v/>
      </c>
    </row>
    <row r="294" customFormat="false" ht="15" hidden="false" customHeight="true" outlineLevel="0" collapsed="false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18"/>
      <c r="L294" s="19" t="str">
        <f aca="false">IF(A294="","",G294*K294)</f>
        <v/>
      </c>
      <c r="M294" s="20"/>
      <c r="N294" s="6"/>
      <c r="O294" s="6"/>
      <c r="P294" s="5" t="str">
        <f aca="false">IF(A294="","",H294/90)</f>
        <v/>
      </c>
      <c r="Q294" s="5" t="str">
        <f aca="false">IF(A294="","",IFERROR(INDEX(Parâmetros!$C$6:$C$10,MATCH(F294,Parâmetros!$B$6:$B$10,0)),""))</f>
        <v/>
      </c>
      <c r="R294" s="5" t="str">
        <f aca="false">IF(OR(A294="",P294="",Q294=""),"",P294*Q294)</f>
        <v/>
      </c>
      <c r="S294" s="5" t="str">
        <f aca="false">IF(R294="","",MAX(0,R294-G294))</f>
        <v/>
      </c>
      <c r="T294" s="21" t="str">
        <f aca="false">IF(S294="","",S294*K294)</f>
        <v/>
      </c>
      <c r="U294" s="5" t="str">
        <f aca="false">IF(A294="","",IF(J294&gt;Parâmetros!$C$14,"SIM","NAO"))</f>
        <v/>
      </c>
      <c r="V294" s="5" t="str">
        <f aca="false">IF(B294="","",TRIM(LEFT(B294,IFERROR(FIND(" ",B294)-1,LEN(B294)))))</f>
        <v/>
      </c>
      <c r="W294" s="22"/>
      <c r="X294" s="5" t="str">
        <f aca="false">IF(A294="","",IF(W294&lt;&gt;"",W294,V294))</f>
        <v/>
      </c>
      <c r="Y294" s="5" t="str">
        <f aca="false">IF(A294="","",IF(COUNTIFS($X$2:$X$2001,X294,$D$2:$D$2001,"&lt;&gt;"&amp;D294,$C$2:$C$2001,C294)&gt;0,"SIM","NAO"))</f>
        <v/>
      </c>
      <c r="Z294" s="5" t="str">
        <f aca="false">IF(A294="","",IF(J294="","",IFERROR(360/J294,"")))</f>
        <v/>
      </c>
      <c r="AA294" s="5" t="str">
        <f aca="false">IF(A294="","",IF(H294=0,"Parado (sem venda 90d)",IF(Z294&gt;12,"Alto (&gt;12x/ano)",IF(Z294&gt;=4,"Medio (4-12x/ano)","Baixo (&lt;4x/ano)"))))</f>
        <v/>
      </c>
    </row>
    <row r="295" customFormat="false" ht="15" hidden="false" customHeight="true" outlineLevel="0" collapsed="false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18"/>
      <c r="L295" s="19" t="str">
        <f aca="false">IF(A295="","",G295*K295)</f>
        <v/>
      </c>
      <c r="M295" s="20"/>
      <c r="N295" s="6"/>
      <c r="O295" s="6"/>
      <c r="P295" s="5" t="str">
        <f aca="false">IF(A295="","",H295/90)</f>
        <v/>
      </c>
      <c r="Q295" s="5" t="str">
        <f aca="false">IF(A295="","",IFERROR(INDEX(Parâmetros!$C$6:$C$10,MATCH(F295,Parâmetros!$B$6:$B$10,0)),""))</f>
        <v/>
      </c>
      <c r="R295" s="5" t="str">
        <f aca="false">IF(OR(A295="",P295="",Q295=""),"",P295*Q295)</f>
        <v/>
      </c>
      <c r="S295" s="5" t="str">
        <f aca="false">IF(R295="","",MAX(0,R295-G295))</f>
        <v/>
      </c>
      <c r="T295" s="21" t="str">
        <f aca="false">IF(S295="","",S295*K295)</f>
        <v/>
      </c>
      <c r="U295" s="5" t="str">
        <f aca="false">IF(A295="","",IF(J295&gt;Parâmetros!$C$14,"SIM","NAO"))</f>
        <v/>
      </c>
      <c r="V295" s="5" t="str">
        <f aca="false">IF(B295="","",TRIM(LEFT(B295,IFERROR(FIND(" ",B295)-1,LEN(B295)))))</f>
        <v/>
      </c>
      <c r="W295" s="22"/>
      <c r="X295" s="5" t="str">
        <f aca="false">IF(A295="","",IF(W295&lt;&gt;"",W295,V295))</f>
        <v/>
      </c>
      <c r="Y295" s="5" t="str">
        <f aca="false">IF(A295="","",IF(COUNTIFS($X$2:$X$2001,X295,$D$2:$D$2001,"&lt;&gt;"&amp;D295,$C$2:$C$2001,C295)&gt;0,"SIM","NAO"))</f>
        <v/>
      </c>
      <c r="Z295" s="5" t="str">
        <f aca="false">IF(A295="","",IF(J295="","",IFERROR(360/J295,"")))</f>
        <v/>
      </c>
      <c r="AA295" s="5" t="str">
        <f aca="false">IF(A295="","",IF(H295=0,"Parado (sem venda 90d)",IF(Z295&gt;12,"Alto (&gt;12x/ano)",IF(Z295&gt;=4,"Medio (4-12x/ano)","Baixo (&lt;4x/ano)"))))</f>
        <v/>
      </c>
    </row>
    <row r="296" customFormat="false" ht="15" hidden="false" customHeight="true" outlineLevel="0" collapsed="false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18"/>
      <c r="L296" s="19" t="str">
        <f aca="false">IF(A296="","",G296*K296)</f>
        <v/>
      </c>
      <c r="M296" s="20"/>
      <c r="N296" s="6"/>
      <c r="O296" s="6"/>
      <c r="P296" s="5" t="str">
        <f aca="false">IF(A296="","",H296/90)</f>
        <v/>
      </c>
      <c r="Q296" s="5" t="str">
        <f aca="false">IF(A296="","",IFERROR(INDEX(Parâmetros!$C$6:$C$10,MATCH(F296,Parâmetros!$B$6:$B$10,0)),""))</f>
        <v/>
      </c>
      <c r="R296" s="5" t="str">
        <f aca="false">IF(OR(A296="",P296="",Q296=""),"",P296*Q296)</f>
        <v/>
      </c>
      <c r="S296" s="5" t="str">
        <f aca="false">IF(R296="","",MAX(0,R296-G296))</f>
        <v/>
      </c>
      <c r="T296" s="21" t="str">
        <f aca="false">IF(S296="","",S296*K296)</f>
        <v/>
      </c>
      <c r="U296" s="5" t="str">
        <f aca="false">IF(A296="","",IF(J296&gt;Parâmetros!$C$14,"SIM","NAO"))</f>
        <v/>
      </c>
      <c r="V296" s="5" t="str">
        <f aca="false">IF(B296="","",TRIM(LEFT(B296,IFERROR(FIND(" ",B296)-1,LEN(B296)))))</f>
        <v/>
      </c>
      <c r="W296" s="22"/>
      <c r="X296" s="5" t="str">
        <f aca="false">IF(A296="","",IF(W296&lt;&gt;"",W296,V296))</f>
        <v/>
      </c>
      <c r="Y296" s="5" t="str">
        <f aca="false">IF(A296="","",IF(COUNTIFS($X$2:$X$2001,X296,$D$2:$D$2001,"&lt;&gt;"&amp;D296,$C$2:$C$2001,C296)&gt;0,"SIM","NAO"))</f>
        <v/>
      </c>
      <c r="Z296" s="5" t="str">
        <f aca="false">IF(A296="","",IF(J296="","",IFERROR(360/J296,"")))</f>
        <v/>
      </c>
      <c r="AA296" s="5" t="str">
        <f aca="false">IF(A296="","",IF(H296=0,"Parado (sem venda 90d)",IF(Z296&gt;12,"Alto (&gt;12x/ano)",IF(Z296&gt;=4,"Medio (4-12x/ano)","Baixo (&lt;4x/ano)"))))</f>
        <v/>
      </c>
    </row>
    <row r="297" customFormat="false" ht="15" hidden="false" customHeight="true" outlineLevel="0" collapsed="false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18"/>
      <c r="L297" s="19" t="str">
        <f aca="false">IF(A297="","",G297*K297)</f>
        <v/>
      </c>
      <c r="M297" s="20"/>
      <c r="N297" s="6"/>
      <c r="O297" s="6"/>
      <c r="P297" s="5" t="str">
        <f aca="false">IF(A297="","",H297/90)</f>
        <v/>
      </c>
      <c r="Q297" s="5" t="str">
        <f aca="false">IF(A297="","",IFERROR(INDEX(Parâmetros!$C$6:$C$10,MATCH(F297,Parâmetros!$B$6:$B$10,0)),""))</f>
        <v/>
      </c>
      <c r="R297" s="5" t="str">
        <f aca="false">IF(OR(A297="",P297="",Q297=""),"",P297*Q297)</f>
        <v/>
      </c>
      <c r="S297" s="5" t="str">
        <f aca="false">IF(R297="","",MAX(0,R297-G297))</f>
        <v/>
      </c>
      <c r="T297" s="21" t="str">
        <f aca="false">IF(S297="","",S297*K297)</f>
        <v/>
      </c>
      <c r="U297" s="5" t="str">
        <f aca="false">IF(A297="","",IF(J297&gt;Parâmetros!$C$14,"SIM","NAO"))</f>
        <v/>
      </c>
      <c r="V297" s="5" t="str">
        <f aca="false">IF(B297="","",TRIM(LEFT(B297,IFERROR(FIND(" ",B297)-1,LEN(B297)))))</f>
        <v/>
      </c>
      <c r="W297" s="22"/>
      <c r="X297" s="5" t="str">
        <f aca="false">IF(A297="","",IF(W297&lt;&gt;"",W297,V297))</f>
        <v/>
      </c>
      <c r="Y297" s="5" t="str">
        <f aca="false">IF(A297="","",IF(COUNTIFS($X$2:$X$2001,X297,$D$2:$D$2001,"&lt;&gt;"&amp;D297,$C$2:$C$2001,C297)&gt;0,"SIM","NAO"))</f>
        <v/>
      </c>
      <c r="Z297" s="5" t="str">
        <f aca="false">IF(A297="","",IF(J297="","",IFERROR(360/J297,"")))</f>
        <v/>
      </c>
      <c r="AA297" s="5" t="str">
        <f aca="false">IF(A297="","",IF(H297=0,"Parado (sem venda 90d)",IF(Z297&gt;12,"Alto (&gt;12x/ano)",IF(Z297&gt;=4,"Medio (4-12x/ano)","Baixo (&lt;4x/ano)"))))</f>
        <v/>
      </c>
    </row>
    <row r="298" customFormat="false" ht="15" hidden="false" customHeight="true" outlineLevel="0" collapsed="false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18"/>
      <c r="L298" s="19" t="str">
        <f aca="false">IF(A298="","",G298*K298)</f>
        <v/>
      </c>
      <c r="M298" s="20"/>
      <c r="N298" s="6"/>
      <c r="O298" s="6"/>
      <c r="P298" s="5" t="str">
        <f aca="false">IF(A298="","",H298/90)</f>
        <v/>
      </c>
      <c r="Q298" s="5" t="str">
        <f aca="false">IF(A298="","",IFERROR(INDEX(Parâmetros!$C$6:$C$10,MATCH(F298,Parâmetros!$B$6:$B$10,0)),""))</f>
        <v/>
      </c>
      <c r="R298" s="5" t="str">
        <f aca="false">IF(OR(A298="",P298="",Q298=""),"",P298*Q298)</f>
        <v/>
      </c>
      <c r="S298" s="5" t="str">
        <f aca="false">IF(R298="","",MAX(0,R298-G298))</f>
        <v/>
      </c>
      <c r="T298" s="21" t="str">
        <f aca="false">IF(S298="","",S298*K298)</f>
        <v/>
      </c>
      <c r="U298" s="5" t="str">
        <f aca="false">IF(A298="","",IF(J298&gt;Parâmetros!$C$14,"SIM","NAO"))</f>
        <v/>
      </c>
      <c r="V298" s="5" t="str">
        <f aca="false">IF(B298="","",TRIM(LEFT(B298,IFERROR(FIND(" ",B298)-1,LEN(B298)))))</f>
        <v/>
      </c>
      <c r="W298" s="22"/>
      <c r="X298" s="5" t="str">
        <f aca="false">IF(A298="","",IF(W298&lt;&gt;"",W298,V298))</f>
        <v/>
      </c>
      <c r="Y298" s="5" t="str">
        <f aca="false">IF(A298="","",IF(COUNTIFS($X$2:$X$2001,X298,$D$2:$D$2001,"&lt;&gt;"&amp;D298,$C$2:$C$2001,C298)&gt;0,"SIM","NAO"))</f>
        <v/>
      </c>
      <c r="Z298" s="5" t="str">
        <f aca="false">IF(A298="","",IF(J298="","",IFERROR(360/J298,"")))</f>
        <v/>
      </c>
      <c r="AA298" s="5" t="str">
        <f aca="false">IF(A298="","",IF(H298=0,"Parado (sem venda 90d)",IF(Z298&gt;12,"Alto (&gt;12x/ano)",IF(Z298&gt;=4,"Medio (4-12x/ano)","Baixo (&lt;4x/ano)"))))</f>
        <v/>
      </c>
    </row>
    <row r="299" customFormat="false" ht="15" hidden="false" customHeight="true" outlineLevel="0" collapsed="false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18"/>
      <c r="L299" s="19" t="str">
        <f aca="false">IF(A299="","",G299*K299)</f>
        <v/>
      </c>
      <c r="M299" s="20"/>
      <c r="N299" s="6"/>
      <c r="O299" s="6"/>
      <c r="P299" s="5" t="str">
        <f aca="false">IF(A299="","",H299/90)</f>
        <v/>
      </c>
      <c r="Q299" s="5" t="str">
        <f aca="false">IF(A299="","",IFERROR(INDEX(Parâmetros!$C$6:$C$10,MATCH(F299,Parâmetros!$B$6:$B$10,0)),""))</f>
        <v/>
      </c>
      <c r="R299" s="5" t="str">
        <f aca="false">IF(OR(A299="",P299="",Q299=""),"",P299*Q299)</f>
        <v/>
      </c>
      <c r="S299" s="5" t="str">
        <f aca="false">IF(R299="","",MAX(0,R299-G299))</f>
        <v/>
      </c>
      <c r="T299" s="21" t="str">
        <f aca="false">IF(S299="","",S299*K299)</f>
        <v/>
      </c>
      <c r="U299" s="5" t="str">
        <f aca="false">IF(A299="","",IF(J299&gt;Parâmetros!$C$14,"SIM","NAO"))</f>
        <v/>
      </c>
      <c r="V299" s="5" t="str">
        <f aca="false">IF(B299="","",TRIM(LEFT(B299,IFERROR(FIND(" ",B299)-1,LEN(B299)))))</f>
        <v/>
      </c>
      <c r="W299" s="22"/>
      <c r="X299" s="5" t="str">
        <f aca="false">IF(A299="","",IF(W299&lt;&gt;"",W299,V299))</f>
        <v/>
      </c>
      <c r="Y299" s="5" t="str">
        <f aca="false">IF(A299="","",IF(COUNTIFS($X$2:$X$2001,X299,$D$2:$D$2001,"&lt;&gt;"&amp;D299,$C$2:$C$2001,C299)&gt;0,"SIM","NAO"))</f>
        <v/>
      </c>
      <c r="Z299" s="5" t="str">
        <f aca="false">IF(A299="","",IF(J299="","",IFERROR(360/J299,"")))</f>
        <v/>
      </c>
      <c r="AA299" s="5" t="str">
        <f aca="false">IF(A299="","",IF(H299=0,"Parado (sem venda 90d)",IF(Z299&gt;12,"Alto (&gt;12x/ano)",IF(Z299&gt;=4,"Medio (4-12x/ano)","Baixo (&lt;4x/ano)"))))</f>
        <v/>
      </c>
    </row>
    <row r="300" customFormat="false" ht="15" hidden="false" customHeight="true" outlineLevel="0" collapsed="false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18"/>
      <c r="L300" s="19" t="str">
        <f aca="false">IF(A300="","",G300*K300)</f>
        <v/>
      </c>
      <c r="M300" s="20"/>
      <c r="N300" s="6"/>
      <c r="O300" s="6"/>
      <c r="P300" s="5" t="str">
        <f aca="false">IF(A300="","",H300/90)</f>
        <v/>
      </c>
      <c r="Q300" s="5" t="str">
        <f aca="false">IF(A300="","",IFERROR(INDEX(Parâmetros!$C$6:$C$10,MATCH(F300,Parâmetros!$B$6:$B$10,0)),""))</f>
        <v/>
      </c>
      <c r="R300" s="5" t="str">
        <f aca="false">IF(OR(A300="",P300="",Q300=""),"",P300*Q300)</f>
        <v/>
      </c>
      <c r="S300" s="5" t="str">
        <f aca="false">IF(R300="","",MAX(0,R300-G300))</f>
        <v/>
      </c>
      <c r="T300" s="21" t="str">
        <f aca="false">IF(S300="","",S300*K300)</f>
        <v/>
      </c>
      <c r="U300" s="5" t="str">
        <f aca="false">IF(A300="","",IF(J300&gt;Parâmetros!$C$14,"SIM","NAO"))</f>
        <v/>
      </c>
      <c r="V300" s="5" t="str">
        <f aca="false">IF(B300="","",TRIM(LEFT(B300,IFERROR(FIND(" ",B300)-1,LEN(B300)))))</f>
        <v/>
      </c>
      <c r="W300" s="22"/>
      <c r="X300" s="5" t="str">
        <f aca="false">IF(A300="","",IF(W300&lt;&gt;"",W300,V300))</f>
        <v/>
      </c>
      <c r="Y300" s="5" t="str">
        <f aca="false">IF(A300="","",IF(COUNTIFS($X$2:$X$2001,X300,$D$2:$D$2001,"&lt;&gt;"&amp;D300,$C$2:$C$2001,C300)&gt;0,"SIM","NAO"))</f>
        <v/>
      </c>
      <c r="Z300" s="5" t="str">
        <f aca="false">IF(A300="","",IF(J300="","",IFERROR(360/J300,"")))</f>
        <v/>
      </c>
      <c r="AA300" s="5" t="str">
        <f aca="false">IF(A300="","",IF(H300=0,"Parado (sem venda 90d)",IF(Z300&gt;12,"Alto (&gt;12x/ano)",IF(Z300&gt;=4,"Medio (4-12x/ano)","Baixo (&lt;4x/ano)"))))</f>
        <v/>
      </c>
    </row>
    <row r="301" customFormat="false" ht="15" hidden="false" customHeight="true" outlineLevel="0" collapsed="false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18"/>
      <c r="L301" s="19" t="str">
        <f aca="false">IF(A301="","",G301*K301)</f>
        <v/>
      </c>
      <c r="M301" s="20"/>
      <c r="N301" s="6"/>
      <c r="O301" s="6"/>
      <c r="P301" s="5" t="str">
        <f aca="false">IF(A301="","",H301/90)</f>
        <v/>
      </c>
      <c r="Q301" s="5" t="str">
        <f aca="false">IF(A301="","",IFERROR(INDEX(Parâmetros!$C$6:$C$10,MATCH(F301,Parâmetros!$B$6:$B$10,0)),""))</f>
        <v/>
      </c>
      <c r="R301" s="5" t="str">
        <f aca="false">IF(OR(A301="",P301="",Q301=""),"",P301*Q301)</f>
        <v/>
      </c>
      <c r="S301" s="5" t="str">
        <f aca="false">IF(R301="","",MAX(0,R301-G301))</f>
        <v/>
      </c>
      <c r="T301" s="21" t="str">
        <f aca="false">IF(S301="","",S301*K301)</f>
        <v/>
      </c>
      <c r="U301" s="5" t="str">
        <f aca="false">IF(A301="","",IF(J301&gt;Parâmetros!$C$14,"SIM","NAO"))</f>
        <v/>
      </c>
      <c r="V301" s="5" t="str">
        <f aca="false">IF(B301="","",TRIM(LEFT(B301,IFERROR(FIND(" ",B301)-1,LEN(B301)))))</f>
        <v/>
      </c>
      <c r="W301" s="22"/>
      <c r="X301" s="5" t="str">
        <f aca="false">IF(A301="","",IF(W301&lt;&gt;"",W301,V301))</f>
        <v/>
      </c>
      <c r="Y301" s="5" t="str">
        <f aca="false">IF(A301="","",IF(COUNTIFS($X$2:$X$2001,X301,$D$2:$D$2001,"&lt;&gt;"&amp;D301,$C$2:$C$2001,C301)&gt;0,"SIM","NAO"))</f>
        <v/>
      </c>
      <c r="Z301" s="5" t="str">
        <f aca="false">IF(A301="","",IF(J301="","",IFERROR(360/J301,"")))</f>
        <v/>
      </c>
      <c r="AA301" s="5" t="str">
        <f aca="false">IF(A301="","",IF(H301=0,"Parado (sem venda 90d)",IF(Z301&gt;12,"Alto (&gt;12x/ano)",IF(Z301&gt;=4,"Medio (4-12x/ano)","Baixo (&lt;4x/ano)"))))</f>
        <v/>
      </c>
    </row>
    <row r="302" customFormat="false" ht="15" hidden="false" customHeight="true" outlineLevel="0" collapsed="false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18"/>
      <c r="L302" s="19" t="str">
        <f aca="false">IF(A302="","",G302*K302)</f>
        <v/>
      </c>
      <c r="M302" s="20"/>
      <c r="N302" s="6"/>
      <c r="O302" s="6"/>
      <c r="P302" s="5" t="str">
        <f aca="false">IF(A302="","",H302/90)</f>
        <v/>
      </c>
      <c r="Q302" s="5" t="str">
        <f aca="false">IF(A302="","",IFERROR(INDEX(Parâmetros!$C$6:$C$10,MATCH(F302,Parâmetros!$B$6:$B$10,0)),""))</f>
        <v/>
      </c>
      <c r="R302" s="5" t="str">
        <f aca="false">IF(OR(A302="",P302="",Q302=""),"",P302*Q302)</f>
        <v/>
      </c>
      <c r="S302" s="5" t="str">
        <f aca="false">IF(R302="","",MAX(0,R302-G302))</f>
        <v/>
      </c>
      <c r="T302" s="21" t="str">
        <f aca="false">IF(S302="","",S302*K302)</f>
        <v/>
      </c>
      <c r="U302" s="5" t="str">
        <f aca="false">IF(A302="","",IF(J302&gt;Parâmetros!$C$14,"SIM","NAO"))</f>
        <v/>
      </c>
      <c r="V302" s="5" t="str">
        <f aca="false">IF(B302="","",TRIM(LEFT(B302,IFERROR(FIND(" ",B302)-1,LEN(B302)))))</f>
        <v/>
      </c>
      <c r="W302" s="22"/>
      <c r="X302" s="5" t="str">
        <f aca="false">IF(A302="","",IF(W302&lt;&gt;"",W302,V302))</f>
        <v/>
      </c>
      <c r="Y302" s="5" t="str">
        <f aca="false">IF(A302="","",IF(COUNTIFS($X$2:$X$2001,X302,$D$2:$D$2001,"&lt;&gt;"&amp;D302,$C$2:$C$2001,C302)&gt;0,"SIM","NAO"))</f>
        <v/>
      </c>
      <c r="Z302" s="5" t="str">
        <f aca="false">IF(A302="","",IF(J302="","",IFERROR(360/J302,"")))</f>
        <v/>
      </c>
      <c r="AA302" s="5" t="str">
        <f aca="false">IF(A302="","",IF(H302=0,"Parado (sem venda 90d)",IF(Z302&gt;12,"Alto (&gt;12x/ano)",IF(Z302&gt;=4,"Medio (4-12x/ano)","Baixo (&lt;4x/ano)"))))</f>
        <v/>
      </c>
    </row>
    <row r="303" customFormat="false" ht="15" hidden="false" customHeight="true" outlineLevel="0" collapsed="false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18"/>
      <c r="L303" s="19" t="str">
        <f aca="false">IF(A303="","",G303*K303)</f>
        <v/>
      </c>
      <c r="M303" s="20"/>
      <c r="N303" s="6"/>
      <c r="O303" s="6"/>
      <c r="P303" s="5" t="str">
        <f aca="false">IF(A303="","",H303/90)</f>
        <v/>
      </c>
      <c r="Q303" s="5" t="str">
        <f aca="false">IF(A303="","",IFERROR(INDEX(Parâmetros!$C$6:$C$10,MATCH(F303,Parâmetros!$B$6:$B$10,0)),""))</f>
        <v/>
      </c>
      <c r="R303" s="5" t="str">
        <f aca="false">IF(OR(A303="",P303="",Q303=""),"",P303*Q303)</f>
        <v/>
      </c>
      <c r="S303" s="5" t="str">
        <f aca="false">IF(R303="","",MAX(0,R303-G303))</f>
        <v/>
      </c>
      <c r="T303" s="21" t="str">
        <f aca="false">IF(S303="","",S303*K303)</f>
        <v/>
      </c>
      <c r="U303" s="5" t="str">
        <f aca="false">IF(A303="","",IF(J303&gt;Parâmetros!$C$14,"SIM","NAO"))</f>
        <v/>
      </c>
      <c r="V303" s="5" t="str">
        <f aca="false">IF(B303="","",TRIM(LEFT(B303,IFERROR(FIND(" ",B303)-1,LEN(B303)))))</f>
        <v/>
      </c>
      <c r="W303" s="22"/>
      <c r="X303" s="5" t="str">
        <f aca="false">IF(A303="","",IF(W303&lt;&gt;"",W303,V303))</f>
        <v/>
      </c>
      <c r="Y303" s="5" t="str">
        <f aca="false">IF(A303="","",IF(COUNTIFS($X$2:$X$2001,X303,$D$2:$D$2001,"&lt;&gt;"&amp;D303,$C$2:$C$2001,C303)&gt;0,"SIM","NAO"))</f>
        <v/>
      </c>
      <c r="Z303" s="5" t="str">
        <f aca="false">IF(A303="","",IF(J303="","",IFERROR(360/J303,"")))</f>
        <v/>
      </c>
      <c r="AA303" s="5" t="str">
        <f aca="false">IF(A303="","",IF(H303=0,"Parado (sem venda 90d)",IF(Z303&gt;12,"Alto (&gt;12x/ano)",IF(Z303&gt;=4,"Medio (4-12x/ano)","Baixo (&lt;4x/ano)"))))</f>
        <v/>
      </c>
    </row>
    <row r="304" customFormat="false" ht="15" hidden="false" customHeight="true" outlineLevel="0" collapsed="false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18"/>
      <c r="L304" s="19" t="str">
        <f aca="false">IF(A304="","",G304*K304)</f>
        <v/>
      </c>
      <c r="M304" s="20"/>
      <c r="N304" s="6"/>
      <c r="O304" s="6"/>
      <c r="P304" s="5" t="str">
        <f aca="false">IF(A304="","",H304/90)</f>
        <v/>
      </c>
      <c r="Q304" s="5" t="str">
        <f aca="false">IF(A304="","",IFERROR(INDEX(Parâmetros!$C$6:$C$10,MATCH(F304,Parâmetros!$B$6:$B$10,0)),""))</f>
        <v/>
      </c>
      <c r="R304" s="5" t="str">
        <f aca="false">IF(OR(A304="",P304="",Q304=""),"",P304*Q304)</f>
        <v/>
      </c>
      <c r="S304" s="5" t="str">
        <f aca="false">IF(R304="","",MAX(0,R304-G304))</f>
        <v/>
      </c>
      <c r="T304" s="21" t="str">
        <f aca="false">IF(S304="","",S304*K304)</f>
        <v/>
      </c>
      <c r="U304" s="5" t="str">
        <f aca="false">IF(A304="","",IF(J304&gt;Parâmetros!$C$14,"SIM","NAO"))</f>
        <v/>
      </c>
      <c r="V304" s="5" t="str">
        <f aca="false">IF(B304="","",TRIM(LEFT(B304,IFERROR(FIND(" ",B304)-1,LEN(B304)))))</f>
        <v/>
      </c>
      <c r="W304" s="22"/>
      <c r="X304" s="5" t="str">
        <f aca="false">IF(A304="","",IF(W304&lt;&gt;"",W304,V304))</f>
        <v/>
      </c>
      <c r="Y304" s="5" t="str">
        <f aca="false">IF(A304="","",IF(COUNTIFS($X$2:$X$2001,X304,$D$2:$D$2001,"&lt;&gt;"&amp;D304,$C$2:$C$2001,C304)&gt;0,"SIM","NAO"))</f>
        <v/>
      </c>
      <c r="Z304" s="5" t="str">
        <f aca="false">IF(A304="","",IF(J304="","",IFERROR(360/J304,"")))</f>
        <v/>
      </c>
      <c r="AA304" s="5" t="str">
        <f aca="false">IF(A304="","",IF(H304=0,"Parado (sem venda 90d)",IF(Z304&gt;12,"Alto (&gt;12x/ano)",IF(Z304&gt;=4,"Medio (4-12x/ano)","Baixo (&lt;4x/ano)"))))</f>
        <v/>
      </c>
    </row>
    <row r="305" customFormat="false" ht="15" hidden="false" customHeight="true" outlineLevel="0" collapsed="false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18"/>
      <c r="L305" s="19" t="str">
        <f aca="false">IF(A305="","",G305*K305)</f>
        <v/>
      </c>
      <c r="M305" s="20"/>
      <c r="N305" s="6"/>
      <c r="O305" s="6"/>
      <c r="P305" s="5" t="str">
        <f aca="false">IF(A305="","",H305/90)</f>
        <v/>
      </c>
      <c r="Q305" s="5" t="str">
        <f aca="false">IF(A305="","",IFERROR(INDEX(Parâmetros!$C$6:$C$10,MATCH(F305,Parâmetros!$B$6:$B$10,0)),""))</f>
        <v/>
      </c>
      <c r="R305" s="5" t="str">
        <f aca="false">IF(OR(A305="",P305="",Q305=""),"",P305*Q305)</f>
        <v/>
      </c>
      <c r="S305" s="5" t="str">
        <f aca="false">IF(R305="","",MAX(0,R305-G305))</f>
        <v/>
      </c>
      <c r="T305" s="21" t="str">
        <f aca="false">IF(S305="","",S305*K305)</f>
        <v/>
      </c>
      <c r="U305" s="5" t="str">
        <f aca="false">IF(A305="","",IF(J305&gt;Parâmetros!$C$14,"SIM","NAO"))</f>
        <v/>
      </c>
      <c r="V305" s="5" t="str">
        <f aca="false">IF(B305="","",TRIM(LEFT(B305,IFERROR(FIND(" ",B305)-1,LEN(B305)))))</f>
        <v/>
      </c>
      <c r="W305" s="22"/>
      <c r="X305" s="5" t="str">
        <f aca="false">IF(A305="","",IF(W305&lt;&gt;"",W305,V305))</f>
        <v/>
      </c>
      <c r="Y305" s="5" t="str">
        <f aca="false">IF(A305="","",IF(COUNTIFS($X$2:$X$2001,X305,$D$2:$D$2001,"&lt;&gt;"&amp;D305,$C$2:$C$2001,C305)&gt;0,"SIM","NAO"))</f>
        <v/>
      </c>
      <c r="Z305" s="5" t="str">
        <f aca="false">IF(A305="","",IF(J305="","",IFERROR(360/J305,"")))</f>
        <v/>
      </c>
      <c r="AA305" s="5" t="str">
        <f aca="false">IF(A305="","",IF(H305=0,"Parado (sem venda 90d)",IF(Z305&gt;12,"Alto (&gt;12x/ano)",IF(Z305&gt;=4,"Medio (4-12x/ano)","Baixo (&lt;4x/ano)"))))</f>
        <v/>
      </c>
    </row>
    <row r="306" customFormat="false" ht="15" hidden="false" customHeight="true" outlineLevel="0" collapsed="false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18"/>
      <c r="L306" s="19" t="str">
        <f aca="false">IF(A306="","",G306*K306)</f>
        <v/>
      </c>
      <c r="M306" s="20"/>
      <c r="N306" s="6"/>
      <c r="O306" s="6"/>
      <c r="P306" s="5" t="str">
        <f aca="false">IF(A306="","",H306/90)</f>
        <v/>
      </c>
      <c r="Q306" s="5" t="str">
        <f aca="false">IF(A306="","",IFERROR(INDEX(Parâmetros!$C$6:$C$10,MATCH(F306,Parâmetros!$B$6:$B$10,0)),""))</f>
        <v/>
      </c>
      <c r="R306" s="5" t="str">
        <f aca="false">IF(OR(A306="",P306="",Q306=""),"",P306*Q306)</f>
        <v/>
      </c>
      <c r="S306" s="5" t="str">
        <f aca="false">IF(R306="","",MAX(0,R306-G306))</f>
        <v/>
      </c>
      <c r="T306" s="21" t="str">
        <f aca="false">IF(S306="","",S306*K306)</f>
        <v/>
      </c>
      <c r="U306" s="5" t="str">
        <f aca="false">IF(A306="","",IF(J306&gt;Parâmetros!$C$14,"SIM","NAO"))</f>
        <v/>
      </c>
      <c r="V306" s="5" t="str">
        <f aca="false">IF(B306="","",TRIM(LEFT(B306,IFERROR(FIND(" ",B306)-1,LEN(B306)))))</f>
        <v/>
      </c>
      <c r="W306" s="22"/>
      <c r="X306" s="5" t="str">
        <f aca="false">IF(A306="","",IF(W306&lt;&gt;"",W306,V306))</f>
        <v/>
      </c>
      <c r="Y306" s="5" t="str">
        <f aca="false">IF(A306="","",IF(COUNTIFS($X$2:$X$2001,X306,$D$2:$D$2001,"&lt;&gt;"&amp;D306,$C$2:$C$2001,C306)&gt;0,"SIM","NAO"))</f>
        <v/>
      </c>
      <c r="Z306" s="5" t="str">
        <f aca="false">IF(A306="","",IF(J306="","",IFERROR(360/J306,"")))</f>
        <v/>
      </c>
      <c r="AA306" s="5" t="str">
        <f aca="false">IF(A306="","",IF(H306=0,"Parado (sem venda 90d)",IF(Z306&gt;12,"Alto (&gt;12x/ano)",IF(Z306&gt;=4,"Medio (4-12x/ano)","Baixo (&lt;4x/ano)"))))</f>
        <v/>
      </c>
    </row>
    <row r="307" customFormat="false" ht="15" hidden="false" customHeight="true" outlineLevel="0" collapsed="false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18"/>
      <c r="L307" s="19" t="str">
        <f aca="false">IF(A307="","",G307*K307)</f>
        <v/>
      </c>
      <c r="M307" s="20"/>
      <c r="N307" s="6"/>
      <c r="O307" s="6"/>
      <c r="P307" s="5" t="str">
        <f aca="false">IF(A307="","",H307/90)</f>
        <v/>
      </c>
      <c r="Q307" s="5" t="str">
        <f aca="false">IF(A307="","",IFERROR(INDEX(Parâmetros!$C$6:$C$10,MATCH(F307,Parâmetros!$B$6:$B$10,0)),""))</f>
        <v/>
      </c>
      <c r="R307" s="5" t="str">
        <f aca="false">IF(OR(A307="",P307="",Q307=""),"",P307*Q307)</f>
        <v/>
      </c>
      <c r="S307" s="5" t="str">
        <f aca="false">IF(R307="","",MAX(0,R307-G307))</f>
        <v/>
      </c>
      <c r="T307" s="21" t="str">
        <f aca="false">IF(S307="","",S307*K307)</f>
        <v/>
      </c>
      <c r="U307" s="5" t="str">
        <f aca="false">IF(A307="","",IF(J307&gt;Parâmetros!$C$14,"SIM","NAO"))</f>
        <v/>
      </c>
      <c r="V307" s="5" t="str">
        <f aca="false">IF(B307="","",TRIM(LEFT(B307,IFERROR(FIND(" ",B307)-1,LEN(B307)))))</f>
        <v/>
      </c>
      <c r="W307" s="22"/>
      <c r="X307" s="5" t="str">
        <f aca="false">IF(A307="","",IF(W307&lt;&gt;"",W307,V307))</f>
        <v/>
      </c>
      <c r="Y307" s="5" t="str">
        <f aca="false">IF(A307="","",IF(COUNTIFS($X$2:$X$2001,X307,$D$2:$D$2001,"&lt;&gt;"&amp;D307,$C$2:$C$2001,C307)&gt;0,"SIM","NAO"))</f>
        <v/>
      </c>
      <c r="Z307" s="5" t="str">
        <f aca="false">IF(A307="","",IF(J307="","",IFERROR(360/J307,"")))</f>
        <v/>
      </c>
      <c r="AA307" s="5" t="str">
        <f aca="false">IF(A307="","",IF(H307=0,"Parado (sem venda 90d)",IF(Z307&gt;12,"Alto (&gt;12x/ano)",IF(Z307&gt;=4,"Medio (4-12x/ano)","Baixo (&lt;4x/ano)"))))</f>
        <v/>
      </c>
    </row>
    <row r="308" customFormat="false" ht="15" hidden="false" customHeight="true" outlineLevel="0" collapsed="false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18"/>
      <c r="L308" s="19" t="str">
        <f aca="false">IF(A308="","",G308*K308)</f>
        <v/>
      </c>
      <c r="M308" s="20"/>
      <c r="N308" s="6"/>
      <c r="O308" s="6"/>
      <c r="P308" s="5" t="str">
        <f aca="false">IF(A308="","",H308/90)</f>
        <v/>
      </c>
      <c r="Q308" s="5" t="str">
        <f aca="false">IF(A308="","",IFERROR(INDEX(Parâmetros!$C$6:$C$10,MATCH(F308,Parâmetros!$B$6:$B$10,0)),""))</f>
        <v/>
      </c>
      <c r="R308" s="5" t="str">
        <f aca="false">IF(OR(A308="",P308="",Q308=""),"",P308*Q308)</f>
        <v/>
      </c>
      <c r="S308" s="5" t="str">
        <f aca="false">IF(R308="","",MAX(0,R308-G308))</f>
        <v/>
      </c>
      <c r="T308" s="21" t="str">
        <f aca="false">IF(S308="","",S308*K308)</f>
        <v/>
      </c>
      <c r="U308" s="5" t="str">
        <f aca="false">IF(A308="","",IF(J308&gt;Parâmetros!$C$14,"SIM","NAO"))</f>
        <v/>
      </c>
      <c r="V308" s="5" t="str">
        <f aca="false">IF(B308="","",TRIM(LEFT(B308,IFERROR(FIND(" ",B308)-1,LEN(B308)))))</f>
        <v/>
      </c>
      <c r="W308" s="22"/>
      <c r="X308" s="5" t="str">
        <f aca="false">IF(A308="","",IF(W308&lt;&gt;"",W308,V308))</f>
        <v/>
      </c>
      <c r="Y308" s="5" t="str">
        <f aca="false">IF(A308="","",IF(COUNTIFS($X$2:$X$2001,X308,$D$2:$D$2001,"&lt;&gt;"&amp;D308,$C$2:$C$2001,C308)&gt;0,"SIM","NAO"))</f>
        <v/>
      </c>
      <c r="Z308" s="5" t="str">
        <f aca="false">IF(A308="","",IF(J308="","",IFERROR(360/J308,"")))</f>
        <v/>
      </c>
      <c r="AA308" s="5" t="str">
        <f aca="false">IF(A308="","",IF(H308=0,"Parado (sem venda 90d)",IF(Z308&gt;12,"Alto (&gt;12x/ano)",IF(Z308&gt;=4,"Medio (4-12x/ano)","Baixo (&lt;4x/ano)"))))</f>
        <v/>
      </c>
    </row>
    <row r="309" customFormat="false" ht="15" hidden="false" customHeight="true" outlineLevel="0" collapsed="false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18"/>
      <c r="L309" s="19" t="str">
        <f aca="false">IF(A309="","",G309*K309)</f>
        <v/>
      </c>
      <c r="M309" s="20"/>
      <c r="N309" s="6"/>
      <c r="O309" s="6"/>
      <c r="P309" s="5" t="str">
        <f aca="false">IF(A309="","",H309/90)</f>
        <v/>
      </c>
      <c r="Q309" s="5" t="str">
        <f aca="false">IF(A309="","",IFERROR(INDEX(Parâmetros!$C$6:$C$10,MATCH(F309,Parâmetros!$B$6:$B$10,0)),""))</f>
        <v/>
      </c>
      <c r="R309" s="5" t="str">
        <f aca="false">IF(OR(A309="",P309="",Q309=""),"",P309*Q309)</f>
        <v/>
      </c>
      <c r="S309" s="5" t="str">
        <f aca="false">IF(R309="","",MAX(0,R309-G309))</f>
        <v/>
      </c>
      <c r="T309" s="21" t="str">
        <f aca="false">IF(S309="","",S309*K309)</f>
        <v/>
      </c>
      <c r="U309" s="5" t="str">
        <f aca="false">IF(A309="","",IF(J309&gt;Parâmetros!$C$14,"SIM","NAO"))</f>
        <v/>
      </c>
      <c r="V309" s="5" t="str">
        <f aca="false">IF(B309="","",TRIM(LEFT(B309,IFERROR(FIND(" ",B309)-1,LEN(B309)))))</f>
        <v/>
      </c>
      <c r="W309" s="22"/>
      <c r="X309" s="5" t="str">
        <f aca="false">IF(A309="","",IF(W309&lt;&gt;"",W309,V309))</f>
        <v/>
      </c>
      <c r="Y309" s="5" t="str">
        <f aca="false">IF(A309="","",IF(COUNTIFS($X$2:$X$2001,X309,$D$2:$D$2001,"&lt;&gt;"&amp;D309,$C$2:$C$2001,C309)&gt;0,"SIM","NAO"))</f>
        <v/>
      </c>
      <c r="Z309" s="5" t="str">
        <f aca="false">IF(A309="","",IF(J309="","",IFERROR(360/J309,"")))</f>
        <v/>
      </c>
      <c r="AA309" s="5" t="str">
        <f aca="false">IF(A309="","",IF(H309=0,"Parado (sem venda 90d)",IF(Z309&gt;12,"Alto (&gt;12x/ano)",IF(Z309&gt;=4,"Medio (4-12x/ano)","Baixo (&lt;4x/ano)"))))</f>
        <v/>
      </c>
    </row>
    <row r="310" customFormat="false" ht="15" hidden="false" customHeight="true" outlineLevel="0" collapsed="false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18"/>
      <c r="L310" s="19" t="str">
        <f aca="false">IF(A310="","",G310*K310)</f>
        <v/>
      </c>
      <c r="M310" s="20"/>
      <c r="N310" s="6"/>
      <c r="O310" s="6"/>
      <c r="P310" s="5" t="str">
        <f aca="false">IF(A310="","",H310/90)</f>
        <v/>
      </c>
      <c r="Q310" s="5" t="str">
        <f aca="false">IF(A310="","",IFERROR(INDEX(Parâmetros!$C$6:$C$10,MATCH(F310,Parâmetros!$B$6:$B$10,0)),""))</f>
        <v/>
      </c>
      <c r="R310" s="5" t="str">
        <f aca="false">IF(OR(A310="",P310="",Q310=""),"",P310*Q310)</f>
        <v/>
      </c>
      <c r="S310" s="5" t="str">
        <f aca="false">IF(R310="","",MAX(0,R310-G310))</f>
        <v/>
      </c>
      <c r="T310" s="21" t="str">
        <f aca="false">IF(S310="","",S310*K310)</f>
        <v/>
      </c>
      <c r="U310" s="5" t="str">
        <f aca="false">IF(A310="","",IF(J310&gt;Parâmetros!$C$14,"SIM","NAO"))</f>
        <v/>
      </c>
      <c r="V310" s="5" t="str">
        <f aca="false">IF(B310="","",TRIM(LEFT(B310,IFERROR(FIND(" ",B310)-1,LEN(B310)))))</f>
        <v/>
      </c>
      <c r="W310" s="22"/>
      <c r="X310" s="5" t="str">
        <f aca="false">IF(A310="","",IF(W310&lt;&gt;"",W310,V310))</f>
        <v/>
      </c>
      <c r="Y310" s="5" t="str">
        <f aca="false">IF(A310="","",IF(COUNTIFS($X$2:$X$2001,X310,$D$2:$D$2001,"&lt;&gt;"&amp;D310,$C$2:$C$2001,C310)&gt;0,"SIM","NAO"))</f>
        <v/>
      </c>
      <c r="Z310" s="5" t="str">
        <f aca="false">IF(A310="","",IF(J310="","",IFERROR(360/J310,"")))</f>
        <v/>
      </c>
      <c r="AA310" s="5" t="str">
        <f aca="false">IF(A310="","",IF(H310=0,"Parado (sem venda 90d)",IF(Z310&gt;12,"Alto (&gt;12x/ano)",IF(Z310&gt;=4,"Medio (4-12x/ano)","Baixo (&lt;4x/ano)"))))</f>
        <v/>
      </c>
    </row>
    <row r="311" customFormat="false" ht="15" hidden="false" customHeight="true" outlineLevel="0" collapsed="false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18"/>
      <c r="L311" s="19" t="str">
        <f aca="false">IF(A311="","",G311*K311)</f>
        <v/>
      </c>
      <c r="M311" s="20"/>
      <c r="N311" s="6"/>
      <c r="O311" s="6"/>
      <c r="P311" s="5" t="str">
        <f aca="false">IF(A311="","",H311/90)</f>
        <v/>
      </c>
      <c r="Q311" s="5" t="str">
        <f aca="false">IF(A311="","",IFERROR(INDEX(Parâmetros!$C$6:$C$10,MATCH(F311,Parâmetros!$B$6:$B$10,0)),""))</f>
        <v/>
      </c>
      <c r="R311" s="5" t="str">
        <f aca="false">IF(OR(A311="",P311="",Q311=""),"",P311*Q311)</f>
        <v/>
      </c>
      <c r="S311" s="5" t="str">
        <f aca="false">IF(R311="","",MAX(0,R311-G311))</f>
        <v/>
      </c>
      <c r="T311" s="21" t="str">
        <f aca="false">IF(S311="","",S311*K311)</f>
        <v/>
      </c>
      <c r="U311" s="5" t="str">
        <f aca="false">IF(A311="","",IF(J311&gt;Parâmetros!$C$14,"SIM","NAO"))</f>
        <v/>
      </c>
      <c r="V311" s="5" t="str">
        <f aca="false">IF(B311="","",TRIM(LEFT(B311,IFERROR(FIND(" ",B311)-1,LEN(B311)))))</f>
        <v/>
      </c>
      <c r="W311" s="22"/>
      <c r="X311" s="5" t="str">
        <f aca="false">IF(A311="","",IF(W311&lt;&gt;"",W311,V311))</f>
        <v/>
      </c>
      <c r="Y311" s="5" t="str">
        <f aca="false">IF(A311="","",IF(COUNTIFS($X$2:$X$2001,X311,$D$2:$D$2001,"&lt;&gt;"&amp;D311,$C$2:$C$2001,C311)&gt;0,"SIM","NAO"))</f>
        <v/>
      </c>
      <c r="Z311" s="5" t="str">
        <f aca="false">IF(A311="","",IF(J311="","",IFERROR(360/J311,"")))</f>
        <v/>
      </c>
      <c r="AA311" s="5" t="str">
        <f aca="false">IF(A311="","",IF(H311=0,"Parado (sem venda 90d)",IF(Z311&gt;12,"Alto (&gt;12x/ano)",IF(Z311&gt;=4,"Medio (4-12x/ano)","Baixo (&lt;4x/ano)"))))</f>
        <v/>
      </c>
    </row>
    <row r="312" customFormat="false" ht="15" hidden="false" customHeight="true" outlineLevel="0" collapsed="false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18"/>
      <c r="L312" s="19" t="str">
        <f aca="false">IF(A312="","",G312*K312)</f>
        <v/>
      </c>
      <c r="M312" s="20"/>
      <c r="N312" s="6"/>
      <c r="O312" s="6"/>
      <c r="P312" s="5" t="str">
        <f aca="false">IF(A312="","",H312/90)</f>
        <v/>
      </c>
      <c r="Q312" s="5" t="str">
        <f aca="false">IF(A312="","",IFERROR(INDEX(Parâmetros!$C$6:$C$10,MATCH(F312,Parâmetros!$B$6:$B$10,0)),""))</f>
        <v/>
      </c>
      <c r="R312" s="5" t="str">
        <f aca="false">IF(OR(A312="",P312="",Q312=""),"",P312*Q312)</f>
        <v/>
      </c>
      <c r="S312" s="5" t="str">
        <f aca="false">IF(R312="","",MAX(0,R312-G312))</f>
        <v/>
      </c>
      <c r="T312" s="21" t="str">
        <f aca="false">IF(S312="","",S312*K312)</f>
        <v/>
      </c>
      <c r="U312" s="5" t="str">
        <f aca="false">IF(A312="","",IF(J312&gt;Parâmetros!$C$14,"SIM","NAO"))</f>
        <v/>
      </c>
      <c r="V312" s="5" t="str">
        <f aca="false">IF(B312="","",TRIM(LEFT(B312,IFERROR(FIND(" ",B312)-1,LEN(B312)))))</f>
        <v/>
      </c>
      <c r="W312" s="22"/>
      <c r="X312" s="5" t="str">
        <f aca="false">IF(A312="","",IF(W312&lt;&gt;"",W312,V312))</f>
        <v/>
      </c>
      <c r="Y312" s="5" t="str">
        <f aca="false">IF(A312="","",IF(COUNTIFS($X$2:$X$2001,X312,$D$2:$D$2001,"&lt;&gt;"&amp;D312,$C$2:$C$2001,C312)&gt;0,"SIM","NAO"))</f>
        <v/>
      </c>
      <c r="Z312" s="5" t="str">
        <f aca="false">IF(A312="","",IF(J312="","",IFERROR(360/J312,"")))</f>
        <v/>
      </c>
      <c r="AA312" s="5" t="str">
        <f aca="false">IF(A312="","",IF(H312=0,"Parado (sem venda 90d)",IF(Z312&gt;12,"Alto (&gt;12x/ano)",IF(Z312&gt;=4,"Medio (4-12x/ano)","Baixo (&lt;4x/ano)"))))</f>
        <v/>
      </c>
    </row>
    <row r="313" customFormat="false" ht="15" hidden="false" customHeight="true" outlineLevel="0" collapsed="false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18"/>
      <c r="L313" s="19" t="str">
        <f aca="false">IF(A313="","",G313*K313)</f>
        <v/>
      </c>
      <c r="M313" s="20"/>
      <c r="N313" s="6"/>
      <c r="O313" s="6"/>
      <c r="P313" s="5" t="str">
        <f aca="false">IF(A313="","",H313/90)</f>
        <v/>
      </c>
      <c r="Q313" s="5" t="str">
        <f aca="false">IF(A313="","",IFERROR(INDEX(Parâmetros!$C$6:$C$10,MATCH(F313,Parâmetros!$B$6:$B$10,0)),""))</f>
        <v/>
      </c>
      <c r="R313" s="5" t="str">
        <f aca="false">IF(OR(A313="",P313="",Q313=""),"",P313*Q313)</f>
        <v/>
      </c>
      <c r="S313" s="5" t="str">
        <f aca="false">IF(R313="","",MAX(0,R313-G313))</f>
        <v/>
      </c>
      <c r="T313" s="21" t="str">
        <f aca="false">IF(S313="","",S313*K313)</f>
        <v/>
      </c>
      <c r="U313" s="5" t="str">
        <f aca="false">IF(A313="","",IF(J313&gt;Parâmetros!$C$14,"SIM","NAO"))</f>
        <v/>
      </c>
      <c r="V313" s="5" t="str">
        <f aca="false">IF(B313="","",TRIM(LEFT(B313,IFERROR(FIND(" ",B313)-1,LEN(B313)))))</f>
        <v/>
      </c>
      <c r="W313" s="22"/>
      <c r="X313" s="5" t="str">
        <f aca="false">IF(A313="","",IF(W313&lt;&gt;"",W313,V313))</f>
        <v/>
      </c>
      <c r="Y313" s="5" t="str">
        <f aca="false">IF(A313="","",IF(COUNTIFS($X$2:$X$2001,X313,$D$2:$D$2001,"&lt;&gt;"&amp;D313,$C$2:$C$2001,C313)&gt;0,"SIM","NAO"))</f>
        <v/>
      </c>
      <c r="Z313" s="5" t="str">
        <f aca="false">IF(A313="","",IF(J313="","",IFERROR(360/J313,"")))</f>
        <v/>
      </c>
      <c r="AA313" s="5" t="str">
        <f aca="false">IF(A313="","",IF(H313=0,"Parado (sem venda 90d)",IF(Z313&gt;12,"Alto (&gt;12x/ano)",IF(Z313&gt;=4,"Medio (4-12x/ano)","Baixo (&lt;4x/ano)"))))</f>
        <v/>
      </c>
    </row>
    <row r="314" customFormat="false" ht="15" hidden="false" customHeight="true" outlineLevel="0" collapsed="false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18"/>
      <c r="L314" s="19" t="str">
        <f aca="false">IF(A314="","",G314*K314)</f>
        <v/>
      </c>
      <c r="M314" s="20"/>
      <c r="N314" s="6"/>
      <c r="O314" s="6"/>
      <c r="P314" s="5" t="str">
        <f aca="false">IF(A314="","",H314/90)</f>
        <v/>
      </c>
      <c r="Q314" s="5" t="str">
        <f aca="false">IF(A314="","",IFERROR(INDEX(Parâmetros!$C$6:$C$10,MATCH(F314,Parâmetros!$B$6:$B$10,0)),""))</f>
        <v/>
      </c>
      <c r="R314" s="5" t="str">
        <f aca="false">IF(OR(A314="",P314="",Q314=""),"",P314*Q314)</f>
        <v/>
      </c>
      <c r="S314" s="5" t="str">
        <f aca="false">IF(R314="","",MAX(0,R314-G314))</f>
        <v/>
      </c>
      <c r="T314" s="21" t="str">
        <f aca="false">IF(S314="","",S314*K314)</f>
        <v/>
      </c>
      <c r="U314" s="5" t="str">
        <f aca="false">IF(A314="","",IF(J314&gt;Parâmetros!$C$14,"SIM","NAO"))</f>
        <v/>
      </c>
      <c r="V314" s="5" t="str">
        <f aca="false">IF(B314="","",TRIM(LEFT(B314,IFERROR(FIND(" ",B314)-1,LEN(B314)))))</f>
        <v/>
      </c>
      <c r="W314" s="22"/>
      <c r="X314" s="5" t="str">
        <f aca="false">IF(A314="","",IF(W314&lt;&gt;"",W314,V314))</f>
        <v/>
      </c>
      <c r="Y314" s="5" t="str">
        <f aca="false">IF(A314="","",IF(COUNTIFS($X$2:$X$2001,X314,$D$2:$D$2001,"&lt;&gt;"&amp;D314,$C$2:$C$2001,C314)&gt;0,"SIM","NAO"))</f>
        <v/>
      </c>
      <c r="Z314" s="5" t="str">
        <f aca="false">IF(A314="","",IF(J314="","",IFERROR(360/J314,"")))</f>
        <v/>
      </c>
      <c r="AA314" s="5" t="str">
        <f aca="false">IF(A314="","",IF(H314=0,"Parado (sem venda 90d)",IF(Z314&gt;12,"Alto (&gt;12x/ano)",IF(Z314&gt;=4,"Medio (4-12x/ano)","Baixo (&lt;4x/ano)"))))</f>
        <v/>
      </c>
    </row>
    <row r="315" customFormat="false" ht="15" hidden="false" customHeight="true" outlineLevel="0" collapsed="false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18"/>
      <c r="L315" s="19" t="str">
        <f aca="false">IF(A315="","",G315*K315)</f>
        <v/>
      </c>
      <c r="M315" s="20"/>
      <c r="N315" s="6"/>
      <c r="O315" s="6"/>
      <c r="P315" s="5" t="str">
        <f aca="false">IF(A315="","",H315/90)</f>
        <v/>
      </c>
      <c r="Q315" s="5" t="str">
        <f aca="false">IF(A315="","",IFERROR(INDEX(Parâmetros!$C$6:$C$10,MATCH(F315,Parâmetros!$B$6:$B$10,0)),""))</f>
        <v/>
      </c>
      <c r="R315" s="5" t="str">
        <f aca="false">IF(OR(A315="",P315="",Q315=""),"",P315*Q315)</f>
        <v/>
      </c>
      <c r="S315" s="5" t="str">
        <f aca="false">IF(R315="","",MAX(0,R315-G315))</f>
        <v/>
      </c>
      <c r="T315" s="21" t="str">
        <f aca="false">IF(S315="","",S315*K315)</f>
        <v/>
      </c>
      <c r="U315" s="5" t="str">
        <f aca="false">IF(A315="","",IF(J315&gt;Parâmetros!$C$14,"SIM","NAO"))</f>
        <v/>
      </c>
      <c r="V315" s="5" t="str">
        <f aca="false">IF(B315="","",TRIM(LEFT(B315,IFERROR(FIND(" ",B315)-1,LEN(B315)))))</f>
        <v/>
      </c>
      <c r="W315" s="22"/>
      <c r="X315" s="5" t="str">
        <f aca="false">IF(A315="","",IF(W315&lt;&gt;"",W315,V315))</f>
        <v/>
      </c>
      <c r="Y315" s="5" t="str">
        <f aca="false">IF(A315="","",IF(COUNTIFS($X$2:$X$2001,X315,$D$2:$D$2001,"&lt;&gt;"&amp;D315,$C$2:$C$2001,C315)&gt;0,"SIM","NAO"))</f>
        <v/>
      </c>
      <c r="Z315" s="5" t="str">
        <f aca="false">IF(A315="","",IF(J315="","",IFERROR(360/J315,"")))</f>
        <v/>
      </c>
      <c r="AA315" s="5" t="str">
        <f aca="false">IF(A315="","",IF(H315=0,"Parado (sem venda 90d)",IF(Z315&gt;12,"Alto (&gt;12x/ano)",IF(Z315&gt;=4,"Medio (4-12x/ano)","Baixo (&lt;4x/ano)"))))</f>
        <v/>
      </c>
    </row>
    <row r="316" customFormat="false" ht="15" hidden="false" customHeight="true" outlineLevel="0" collapsed="false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18"/>
      <c r="L316" s="19" t="str">
        <f aca="false">IF(A316="","",G316*K316)</f>
        <v/>
      </c>
      <c r="M316" s="20"/>
      <c r="N316" s="6"/>
      <c r="O316" s="6"/>
      <c r="P316" s="5" t="str">
        <f aca="false">IF(A316="","",H316/90)</f>
        <v/>
      </c>
      <c r="Q316" s="5" t="str">
        <f aca="false">IF(A316="","",IFERROR(INDEX(Parâmetros!$C$6:$C$10,MATCH(F316,Parâmetros!$B$6:$B$10,0)),""))</f>
        <v/>
      </c>
      <c r="R316" s="5" t="str">
        <f aca="false">IF(OR(A316="",P316="",Q316=""),"",P316*Q316)</f>
        <v/>
      </c>
      <c r="S316" s="5" t="str">
        <f aca="false">IF(R316="","",MAX(0,R316-G316))</f>
        <v/>
      </c>
      <c r="T316" s="21" t="str">
        <f aca="false">IF(S316="","",S316*K316)</f>
        <v/>
      </c>
      <c r="U316" s="5" t="str">
        <f aca="false">IF(A316="","",IF(J316&gt;Parâmetros!$C$14,"SIM","NAO"))</f>
        <v/>
      </c>
      <c r="V316" s="5" t="str">
        <f aca="false">IF(B316="","",TRIM(LEFT(B316,IFERROR(FIND(" ",B316)-1,LEN(B316)))))</f>
        <v/>
      </c>
      <c r="W316" s="22"/>
      <c r="X316" s="5" t="str">
        <f aca="false">IF(A316="","",IF(W316&lt;&gt;"",W316,V316))</f>
        <v/>
      </c>
      <c r="Y316" s="5" t="str">
        <f aca="false">IF(A316="","",IF(COUNTIFS($X$2:$X$2001,X316,$D$2:$D$2001,"&lt;&gt;"&amp;D316,$C$2:$C$2001,C316)&gt;0,"SIM","NAO"))</f>
        <v/>
      </c>
      <c r="Z316" s="5" t="str">
        <f aca="false">IF(A316="","",IF(J316="","",IFERROR(360/J316,"")))</f>
        <v/>
      </c>
      <c r="AA316" s="5" t="str">
        <f aca="false">IF(A316="","",IF(H316=0,"Parado (sem venda 90d)",IF(Z316&gt;12,"Alto (&gt;12x/ano)",IF(Z316&gt;=4,"Medio (4-12x/ano)","Baixo (&lt;4x/ano)"))))</f>
        <v/>
      </c>
    </row>
    <row r="317" customFormat="false" ht="15" hidden="false" customHeight="true" outlineLevel="0" collapsed="false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18"/>
      <c r="L317" s="19" t="str">
        <f aca="false">IF(A317="","",G317*K317)</f>
        <v/>
      </c>
      <c r="M317" s="20"/>
      <c r="N317" s="6"/>
      <c r="O317" s="6"/>
      <c r="P317" s="5" t="str">
        <f aca="false">IF(A317="","",H317/90)</f>
        <v/>
      </c>
      <c r="Q317" s="5" t="str">
        <f aca="false">IF(A317="","",IFERROR(INDEX(Parâmetros!$C$6:$C$10,MATCH(F317,Parâmetros!$B$6:$B$10,0)),""))</f>
        <v/>
      </c>
      <c r="R317" s="5" t="str">
        <f aca="false">IF(OR(A317="",P317="",Q317=""),"",P317*Q317)</f>
        <v/>
      </c>
      <c r="S317" s="5" t="str">
        <f aca="false">IF(R317="","",MAX(0,R317-G317))</f>
        <v/>
      </c>
      <c r="T317" s="21" t="str">
        <f aca="false">IF(S317="","",S317*K317)</f>
        <v/>
      </c>
      <c r="U317" s="5" t="str">
        <f aca="false">IF(A317="","",IF(J317&gt;Parâmetros!$C$14,"SIM","NAO"))</f>
        <v/>
      </c>
      <c r="V317" s="5" t="str">
        <f aca="false">IF(B317="","",TRIM(LEFT(B317,IFERROR(FIND(" ",B317)-1,LEN(B317)))))</f>
        <v/>
      </c>
      <c r="W317" s="22"/>
      <c r="X317" s="5" t="str">
        <f aca="false">IF(A317="","",IF(W317&lt;&gt;"",W317,V317))</f>
        <v/>
      </c>
      <c r="Y317" s="5" t="str">
        <f aca="false">IF(A317="","",IF(COUNTIFS($X$2:$X$2001,X317,$D$2:$D$2001,"&lt;&gt;"&amp;D317,$C$2:$C$2001,C317)&gt;0,"SIM","NAO"))</f>
        <v/>
      </c>
      <c r="Z317" s="5" t="str">
        <f aca="false">IF(A317="","",IF(J317="","",IFERROR(360/J317,"")))</f>
        <v/>
      </c>
      <c r="AA317" s="5" t="str">
        <f aca="false">IF(A317="","",IF(H317=0,"Parado (sem venda 90d)",IF(Z317&gt;12,"Alto (&gt;12x/ano)",IF(Z317&gt;=4,"Medio (4-12x/ano)","Baixo (&lt;4x/ano)"))))</f>
        <v/>
      </c>
    </row>
    <row r="318" customFormat="false" ht="15" hidden="false" customHeight="true" outlineLevel="0" collapsed="false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18"/>
      <c r="L318" s="19" t="str">
        <f aca="false">IF(A318="","",G318*K318)</f>
        <v/>
      </c>
      <c r="M318" s="20"/>
      <c r="N318" s="6"/>
      <c r="O318" s="6"/>
      <c r="P318" s="5" t="str">
        <f aca="false">IF(A318="","",H318/90)</f>
        <v/>
      </c>
      <c r="Q318" s="5" t="str">
        <f aca="false">IF(A318="","",IFERROR(INDEX(Parâmetros!$C$6:$C$10,MATCH(F318,Parâmetros!$B$6:$B$10,0)),""))</f>
        <v/>
      </c>
      <c r="R318" s="5" t="str">
        <f aca="false">IF(OR(A318="",P318="",Q318=""),"",P318*Q318)</f>
        <v/>
      </c>
      <c r="S318" s="5" t="str">
        <f aca="false">IF(R318="","",MAX(0,R318-G318))</f>
        <v/>
      </c>
      <c r="T318" s="21" t="str">
        <f aca="false">IF(S318="","",S318*K318)</f>
        <v/>
      </c>
      <c r="U318" s="5" t="str">
        <f aca="false">IF(A318="","",IF(J318&gt;Parâmetros!$C$14,"SIM","NAO"))</f>
        <v/>
      </c>
      <c r="V318" s="5" t="str">
        <f aca="false">IF(B318="","",TRIM(LEFT(B318,IFERROR(FIND(" ",B318)-1,LEN(B318)))))</f>
        <v/>
      </c>
      <c r="W318" s="22"/>
      <c r="X318" s="5" t="str">
        <f aca="false">IF(A318="","",IF(W318&lt;&gt;"",W318,V318))</f>
        <v/>
      </c>
      <c r="Y318" s="5" t="str">
        <f aca="false">IF(A318="","",IF(COUNTIFS($X$2:$X$2001,X318,$D$2:$D$2001,"&lt;&gt;"&amp;D318,$C$2:$C$2001,C318)&gt;0,"SIM","NAO"))</f>
        <v/>
      </c>
      <c r="Z318" s="5" t="str">
        <f aca="false">IF(A318="","",IF(J318="","",IFERROR(360/J318,"")))</f>
        <v/>
      </c>
      <c r="AA318" s="5" t="str">
        <f aca="false">IF(A318="","",IF(H318=0,"Parado (sem venda 90d)",IF(Z318&gt;12,"Alto (&gt;12x/ano)",IF(Z318&gt;=4,"Medio (4-12x/ano)","Baixo (&lt;4x/ano)"))))</f>
        <v/>
      </c>
    </row>
    <row r="319" customFormat="false" ht="15" hidden="false" customHeight="true" outlineLevel="0" collapsed="false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18"/>
      <c r="L319" s="19" t="str">
        <f aca="false">IF(A319="","",G319*K319)</f>
        <v/>
      </c>
      <c r="M319" s="20"/>
      <c r="N319" s="6"/>
      <c r="O319" s="6"/>
      <c r="P319" s="5" t="str">
        <f aca="false">IF(A319="","",H319/90)</f>
        <v/>
      </c>
      <c r="Q319" s="5" t="str">
        <f aca="false">IF(A319="","",IFERROR(INDEX(Parâmetros!$C$6:$C$10,MATCH(F319,Parâmetros!$B$6:$B$10,0)),""))</f>
        <v/>
      </c>
      <c r="R319" s="5" t="str">
        <f aca="false">IF(OR(A319="",P319="",Q319=""),"",P319*Q319)</f>
        <v/>
      </c>
      <c r="S319" s="5" t="str">
        <f aca="false">IF(R319="","",MAX(0,R319-G319))</f>
        <v/>
      </c>
      <c r="T319" s="21" t="str">
        <f aca="false">IF(S319="","",S319*K319)</f>
        <v/>
      </c>
      <c r="U319" s="5" t="str">
        <f aca="false">IF(A319="","",IF(J319&gt;Parâmetros!$C$14,"SIM","NAO"))</f>
        <v/>
      </c>
      <c r="V319" s="5" t="str">
        <f aca="false">IF(B319="","",TRIM(LEFT(B319,IFERROR(FIND(" ",B319)-1,LEN(B319)))))</f>
        <v/>
      </c>
      <c r="W319" s="22"/>
      <c r="X319" s="5" t="str">
        <f aca="false">IF(A319="","",IF(W319&lt;&gt;"",W319,V319))</f>
        <v/>
      </c>
      <c r="Y319" s="5" t="str">
        <f aca="false">IF(A319="","",IF(COUNTIFS($X$2:$X$2001,X319,$D$2:$D$2001,"&lt;&gt;"&amp;D319,$C$2:$C$2001,C319)&gt;0,"SIM","NAO"))</f>
        <v/>
      </c>
      <c r="Z319" s="5" t="str">
        <f aca="false">IF(A319="","",IF(J319="","",IFERROR(360/J319,"")))</f>
        <v/>
      </c>
      <c r="AA319" s="5" t="str">
        <f aca="false">IF(A319="","",IF(H319=0,"Parado (sem venda 90d)",IF(Z319&gt;12,"Alto (&gt;12x/ano)",IF(Z319&gt;=4,"Medio (4-12x/ano)","Baixo (&lt;4x/ano)"))))</f>
        <v/>
      </c>
    </row>
    <row r="320" customFormat="false" ht="15" hidden="false" customHeight="true" outlineLevel="0" collapsed="false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18"/>
      <c r="L320" s="19" t="str">
        <f aca="false">IF(A320="","",G320*K320)</f>
        <v/>
      </c>
      <c r="M320" s="20"/>
      <c r="N320" s="6"/>
      <c r="O320" s="6"/>
      <c r="P320" s="5" t="str">
        <f aca="false">IF(A320="","",H320/90)</f>
        <v/>
      </c>
      <c r="Q320" s="5" t="str">
        <f aca="false">IF(A320="","",IFERROR(INDEX(Parâmetros!$C$6:$C$10,MATCH(F320,Parâmetros!$B$6:$B$10,0)),""))</f>
        <v/>
      </c>
      <c r="R320" s="5" t="str">
        <f aca="false">IF(OR(A320="",P320="",Q320=""),"",P320*Q320)</f>
        <v/>
      </c>
      <c r="S320" s="5" t="str">
        <f aca="false">IF(R320="","",MAX(0,R320-G320))</f>
        <v/>
      </c>
      <c r="T320" s="21" t="str">
        <f aca="false">IF(S320="","",S320*K320)</f>
        <v/>
      </c>
      <c r="U320" s="5" t="str">
        <f aca="false">IF(A320="","",IF(J320&gt;Parâmetros!$C$14,"SIM","NAO"))</f>
        <v/>
      </c>
      <c r="V320" s="5" t="str">
        <f aca="false">IF(B320="","",TRIM(LEFT(B320,IFERROR(FIND(" ",B320)-1,LEN(B320)))))</f>
        <v/>
      </c>
      <c r="W320" s="22"/>
      <c r="X320" s="5" t="str">
        <f aca="false">IF(A320="","",IF(W320&lt;&gt;"",W320,V320))</f>
        <v/>
      </c>
      <c r="Y320" s="5" t="str">
        <f aca="false">IF(A320="","",IF(COUNTIFS($X$2:$X$2001,X320,$D$2:$D$2001,"&lt;&gt;"&amp;D320,$C$2:$C$2001,C320)&gt;0,"SIM","NAO"))</f>
        <v/>
      </c>
      <c r="Z320" s="5" t="str">
        <f aca="false">IF(A320="","",IF(J320="","",IFERROR(360/J320,"")))</f>
        <v/>
      </c>
      <c r="AA320" s="5" t="str">
        <f aca="false">IF(A320="","",IF(H320=0,"Parado (sem venda 90d)",IF(Z320&gt;12,"Alto (&gt;12x/ano)",IF(Z320&gt;=4,"Medio (4-12x/ano)","Baixo (&lt;4x/ano)"))))</f>
        <v/>
      </c>
    </row>
    <row r="321" customFormat="false" ht="15" hidden="false" customHeight="true" outlineLevel="0" collapsed="false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18"/>
      <c r="L321" s="19" t="str">
        <f aca="false">IF(A321="","",G321*K321)</f>
        <v/>
      </c>
      <c r="M321" s="20"/>
      <c r="N321" s="6"/>
      <c r="O321" s="6"/>
      <c r="P321" s="5" t="str">
        <f aca="false">IF(A321="","",H321/90)</f>
        <v/>
      </c>
      <c r="Q321" s="5" t="str">
        <f aca="false">IF(A321="","",IFERROR(INDEX(Parâmetros!$C$6:$C$10,MATCH(F321,Parâmetros!$B$6:$B$10,0)),""))</f>
        <v/>
      </c>
      <c r="R321" s="5" t="str">
        <f aca="false">IF(OR(A321="",P321="",Q321=""),"",P321*Q321)</f>
        <v/>
      </c>
      <c r="S321" s="5" t="str">
        <f aca="false">IF(R321="","",MAX(0,R321-G321))</f>
        <v/>
      </c>
      <c r="T321" s="21" t="str">
        <f aca="false">IF(S321="","",S321*K321)</f>
        <v/>
      </c>
      <c r="U321" s="5" t="str">
        <f aca="false">IF(A321="","",IF(J321&gt;Parâmetros!$C$14,"SIM","NAO"))</f>
        <v/>
      </c>
      <c r="V321" s="5" t="str">
        <f aca="false">IF(B321="","",TRIM(LEFT(B321,IFERROR(FIND(" ",B321)-1,LEN(B321)))))</f>
        <v/>
      </c>
      <c r="W321" s="22"/>
      <c r="X321" s="5" t="str">
        <f aca="false">IF(A321="","",IF(W321&lt;&gt;"",W321,V321))</f>
        <v/>
      </c>
      <c r="Y321" s="5" t="str">
        <f aca="false">IF(A321="","",IF(COUNTIFS($X$2:$X$2001,X321,$D$2:$D$2001,"&lt;&gt;"&amp;D321,$C$2:$C$2001,C321)&gt;0,"SIM","NAO"))</f>
        <v/>
      </c>
      <c r="Z321" s="5" t="str">
        <f aca="false">IF(A321="","",IF(J321="","",IFERROR(360/J321,"")))</f>
        <v/>
      </c>
      <c r="AA321" s="5" t="str">
        <f aca="false">IF(A321="","",IF(H321=0,"Parado (sem venda 90d)",IF(Z321&gt;12,"Alto (&gt;12x/ano)",IF(Z321&gt;=4,"Medio (4-12x/ano)","Baixo (&lt;4x/ano)"))))</f>
        <v/>
      </c>
    </row>
    <row r="322" customFormat="false" ht="15" hidden="false" customHeight="true" outlineLevel="0" collapsed="false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18"/>
      <c r="L322" s="19" t="str">
        <f aca="false">IF(A322="","",G322*K322)</f>
        <v/>
      </c>
      <c r="M322" s="20"/>
      <c r="N322" s="6"/>
      <c r="O322" s="6"/>
      <c r="P322" s="5" t="str">
        <f aca="false">IF(A322="","",H322/90)</f>
        <v/>
      </c>
      <c r="Q322" s="5" t="str">
        <f aca="false">IF(A322="","",IFERROR(INDEX(Parâmetros!$C$6:$C$10,MATCH(F322,Parâmetros!$B$6:$B$10,0)),""))</f>
        <v/>
      </c>
      <c r="R322" s="5" t="str">
        <f aca="false">IF(OR(A322="",P322="",Q322=""),"",P322*Q322)</f>
        <v/>
      </c>
      <c r="S322" s="5" t="str">
        <f aca="false">IF(R322="","",MAX(0,R322-G322))</f>
        <v/>
      </c>
      <c r="T322" s="21" t="str">
        <f aca="false">IF(S322="","",S322*K322)</f>
        <v/>
      </c>
      <c r="U322" s="5" t="str">
        <f aca="false">IF(A322="","",IF(J322&gt;Parâmetros!$C$14,"SIM","NAO"))</f>
        <v/>
      </c>
      <c r="V322" s="5" t="str">
        <f aca="false">IF(B322="","",TRIM(LEFT(B322,IFERROR(FIND(" ",B322)-1,LEN(B322)))))</f>
        <v/>
      </c>
      <c r="W322" s="22"/>
      <c r="X322" s="5" t="str">
        <f aca="false">IF(A322="","",IF(W322&lt;&gt;"",W322,V322))</f>
        <v/>
      </c>
      <c r="Y322" s="5" t="str">
        <f aca="false">IF(A322="","",IF(COUNTIFS($X$2:$X$2001,X322,$D$2:$D$2001,"&lt;&gt;"&amp;D322,$C$2:$C$2001,C322)&gt;0,"SIM","NAO"))</f>
        <v/>
      </c>
      <c r="Z322" s="5" t="str">
        <f aca="false">IF(A322="","",IF(J322="","",IFERROR(360/J322,"")))</f>
        <v/>
      </c>
      <c r="AA322" s="5" t="str">
        <f aca="false">IF(A322="","",IF(H322=0,"Parado (sem venda 90d)",IF(Z322&gt;12,"Alto (&gt;12x/ano)",IF(Z322&gt;=4,"Medio (4-12x/ano)","Baixo (&lt;4x/ano)"))))</f>
        <v/>
      </c>
    </row>
    <row r="323" customFormat="false" ht="15" hidden="false" customHeight="true" outlineLevel="0" collapsed="false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18"/>
      <c r="L323" s="19" t="str">
        <f aca="false">IF(A323="","",G323*K323)</f>
        <v/>
      </c>
      <c r="M323" s="20"/>
      <c r="N323" s="6"/>
      <c r="O323" s="6"/>
      <c r="P323" s="5" t="str">
        <f aca="false">IF(A323="","",H323/90)</f>
        <v/>
      </c>
      <c r="Q323" s="5" t="str">
        <f aca="false">IF(A323="","",IFERROR(INDEX(Parâmetros!$C$6:$C$10,MATCH(F323,Parâmetros!$B$6:$B$10,0)),""))</f>
        <v/>
      </c>
      <c r="R323" s="5" t="str">
        <f aca="false">IF(OR(A323="",P323="",Q323=""),"",P323*Q323)</f>
        <v/>
      </c>
      <c r="S323" s="5" t="str">
        <f aca="false">IF(R323="","",MAX(0,R323-G323))</f>
        <v/>
      </c>
      <c r="T323" s="21" t="str">
        <f aca="false">IF(S323="","",S323*K323)</f>
        <v/>
      </c>
      <c r="U323" s="5" t="str">
        <f aca="false">IF(A323="","",IF(J323&gt;Parâmetros!$C$14,"SIM","NAO"))</f>
        <v/>
      </c>
      <c r="V323" s="5" t="str">
        <f aca="false">IF(B323="","",TRIM(LEFT(B323,IFERROR(FIND(" ",B323)-1,LEN(B323)))))</f>
        <v/>
      </c>
      <c r="W323" s="22"/>
      <c r="X323" s="5" t="str">
        <f aca="false">IF(A323="","",IF(W323&lt;&gt;"",W323,V323))</f>
        <v/>
      </c>
      <c r="Y323" s="5" t="str">
        <f aca="false">IF(A323="","",IF(COUNTIFS($X$2:$X$2001,X323,$D$2:$D$2001,"&lt;&gt;"&amp;D323,$C$2:$C$2001,C323)&gt;0,"SIM","NAO"))</f>
        <v/>
      </c>
      <c r="Z323" s="5" t="str">
        <f aca="false">IF(A323="","",IF(J323="","",IFERROR(360/J323,"")))</f>
        <v/>
      </c>
      <c r="AA323" s="5" t="str">
        <f aca="false">IF(A323="","",IF(H323=0,"Parado (sem venda 90d)",IF(Z323&gt;12,"Alto (&gt;12x/ano)",IF(Z323&gt;=4,"Medio (4-12x/ano)","Baixo (&lt;4x/ano)"))))</f>
        <v/>
      </c>
    </row>
    <row r="324" customFormat="false" ht="15" hidden="false" customHeight="true" outlineLevel="0" collapsed="false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18"/>
      <c r="L324" s="19" t="str">
        <f aca="false">IF(A324="","",G324*K324)</f>
        <v/>
      </c>
      <c r="M324" s="20"/>
      <c r="N324" s="6"/>
      <c r="O324" s="6"/>
      <c r="P324" s="5" t="str">
        <f aca="false">IF(A324="","",H324/90)</f>
        <v/>
      </c>
      <c r="Q324" s="5" t="str">
        <f aca="false">IF(A324="","",IFERROR(INDEX(Parâmetros!$C$6:$C$10,MATCH(F324,Parâmetros!$B$6:$B$10,0)),""))</f>
        <v/>
      </c>
      <c r="R324" s="5" t="str">
        <f aca="false">IF(OR(A324="",P324="",Q324=""),"",P324*Q324)</f>
        <v/>
      </c>
      <c r="S324" s="5" t="str">
        <f aca="false">IF(R324="","",MAX(0,R324-G324))</f>
        <v/>
      </c>
      <c r="T324" s="21" t="str">
        <f aca="false">IF(S324="","",S324*K324)</f>
        <v/>
      </c>
      <c r="U324" s="5" t="str">
        <f aca="false">IF(A324="","",IF(J324&gt;Parâmetros!$C$14,"SIM","NAO"))</f>
        <v/>
      </c>
      <c r="V324" s="5" t="str">
        <f aca="false">IF(B324="","",TRIM(LEFT(B324,IFERROR(FIND(" ",B324)-1,LEN(B324)))))</f>
        <v/>
      </c>
      <c r="W324" s="22"/>
      <c r="X324" s="5" t="str">
        <f aca="false">IF(A324="","",IF(W324&lt;&gt;"",W324,V324))</f>
        <v/>
      </c>
      <c r="Y324" s="5" t="str">
        <f aca="false">IF(A324="","",IF(COUNTIFS($X$2:$X$2001,X324,$D$2:$D$2001,"&lt;&gt;"&amp;D324,$C$2:$C$2001,C324)&gt;0,"SIM","NAO"))</f>
        <v/>
      </c>
      <c r="Z324" s="5" t="str">
        <f aca="false">IF(A324="","",IF(J324="","",IFERROR(360/J324,"")))</f>
        <v/>
      </c>
      <c r="AA324" s="5" t="str">
        <f aca="false">IF(A324="","",IF(H324=0,"Parado (sem venda 90d)",IF(Z324&gt;12,"Alto (&gt;12x/ano)",IF(Z324&gt;=4,"Medio (4-12x/ano)","Baixo (&lt;4x/ano)"))))</f>
        <v/>
      </c>
    </row>
    <row r="325" customFormat="false" ht="15" hidden="false" customHeight="true" outlineLevel="0" collapsed="false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18"/>
      <c r="L325" s="19" t="str">
        <f aca="false">IF(A325="","",G325*K325)</f>
        <v/>
      </c>
      <c r="M325" s="20"/>
      <c r="N325" s="6"/>
      <c r="O325" s="6"/>
      <c r="P325" s="5" t="str">
        <f aca="false">IF(A325="","",H325/90)</f>
        <v/>
      </c>
      <c r="Q325" s="5" t="str">
        <f aca="false">IF(A325="","",IFERROR(INDEX(Parâmetros!$C$6:$C$10,MATCH(F325,Parâmetros!$B$6:$B$10,0)),""))</f>
        <v/>
      </c>
      <c r="R325" s="5" t="str">
        <f aca="false">IF(OR(A325="",P325="",Q325=""),"",P325*Q325)</f>
        <v/>
      </c>
      <c r="S325" s="5" t="str">
        <f aca="false">IF(R325="","",MAX(0,R325-G325))</f>
        <v/>
      </c>
      <c r="T325" s="21" t="str">
        <f aca="false">IF(S325="","",S325*K325)</f>
        <v/>
      </c>
      <c r="U325" s="5" t="str">
        <f aca="false">IF(A325="","",IF(J325&gt;Parâmetros!$C$14,"SIM","NAO"))</f>
        <v/>
      </c>
      <c r="V325" s="5" t="str">
        <f aca="false">IF(B325="","",TRIM(LEFT(B325,IFERROR(FIND(" ",B325)-1,LEN(B325)))))</f>
        <v/>
      </c>
      <c r="W325" s="22"/>
      <c r="X325" s="5" t="str">
        <f aca="false">IF(A325="","",IF(W325&lt;&gt;"",W325,V325))</f>
        <v/>
      </c>
      <c r="Y325" s="5" t="str">
        <f aca="false">IF(A325="","",IF(COUNTIFS($X$2:$X$2001,X325,$D$2:$D$2001,"&lt;&gt;"&amp;D325,$C$2:$C$2001,C325)&gt;0,"SIM","NAO"))</f>
        <v/>
      </c>
      <c r="Z325" s="5" t="str">
        <f aca="false">IF(A325="","",IF(J325="","",IFERROR(360/J325,"")))</f>
        <v/>
      </c>
      <c r="AA325" s="5" t="str">
        <f aca="false">IF(A325="","",IF(H325=0,"Parado (sem venda 90d)",IF(Z325&gt;12,"Alto (&gt;12x/ano)",IF(Z325&gt;=4,"Medio (4-12x/ano)","Baixo (&lt;4x/ano)"))))</f>
        <v/>
      </c>
    </row>
    <row r="326" customFormat="false" ht="15" hidden="false" customHeight="true" outlineLevel="0" collapsed="false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18"/>
      <c r="L326" s="19" t="str">
        <f aca="false">IF(A326="","",G326*K326)</f>
        <v/>
      </c>
      <c r="M326" s="20"/>
      <c r="N326" s="6"/>
      <c r="O326" s="6"/>
      <c r="P326" s="5" t="str">
        <f aca="false">IF(A326="","",H326/90)</f>
        <v/>
      </c>
      <c r="Q326" s="5" t="str">
        <f aca="false">IF(A326="","",IFERROR(INDEX(Parâmetros!$C$6:$C$10,MATCH(F326,Parâmetros!$B$6:$B$10,0)),""))</f>
        <v/>
      </c>
      <c r="R326" s="5" t="str">
        <f aca="false">IF(OR(A326="",P326="",Q326=""),"",P326*Q326)</f>
        <v/>
      </c>
      <c r="S326" s="5" t="str">
        <f aca="false">IF(R326="","",MAX(0,R326-G326))</f>
        <v/>
      </c>
      <c r="T326" s="21" t="str">
        <f aca="false">IF(S326="","",S326*K326)</f>
        <v/>
      </c>
      <c r="U326" s="5" t="str">
        <f aca="false">IF(A326="","",IF(J326&gt;Parâmetros!$C$14,"SIM","NAO"))</f>
        <v/>
      </c>
      <c r="V326" s="5" t="str">
        <f aca="false">IF(B326="","",TRIM(LEFT(B326,IFERROR(FIND(" ",B326)-1,LEN(B326)))))</f>
        <v/>
      </c>
      <c r="W326" s="22"/>
      <c r="X326" s="5" t="str">
        <f aca="false">IF(A326="","",IF(W326&lt;&gt;"",W326,V326))</f>
        <v/>
      </c>
      <c r="Y326" s="5" t="str">
        <f aca="false">IF(A326="","",IF(COUNTIFS($X$2:$X$2001,X326,$D$2:$D$2001,"&lt;&gt;"&amp;D326,$C$2:$C$2001,C326)&gt;0,"SIM","NAO"))</f>
        <v/>
      </c>
      <c r="Z326" s="5" t="str">
        <f aca="false">IF(A326="","",IF(J326="","",IFERROR(360/J326,"")))</f>
        <v/>
      </c>
      <c r="AA326" s="5" t="str">
        <f aca="false">IF(A326="","",IF(H326=0,"Parado (sem venda 90d)",IF(Z326&gt;12,"Alto (&gt;12x/ano)",IF(Z326&gt;=4,"Medio (4-12x/ano)","Baixo (&lt;4x/ano)"))))</f>
        <v/>
      </c>
    </row>
    <row r="327" customFormat="false" ht="15" hidden="false" customHeight="true" outlineLevel="0" collapsed="false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18"/>
      <c r="L327" s="19" t="str">
        <f aca="false">IF(A327="","",G327*K327)</f>
        <v/>
      </c>
      <c r="M327" s="20"/>
      <c r="N327" s="6"/>
      <c r="O327" s="6"/>
      <c r="P327" s="5" t="str">
        <f aca="false">IF(A327="","",H327/90)</f>
        <v/>
      </c>
      <c r="Q327" s="5" t="str">
        <f aca="false">IF(A327="","",IFERROR(INDEX(Parâmetros!$C$6:$C$10,MATCH(F327,Parâmetros!$B$6:$B$10,0)),""))</f>
        <v/>
      </c>
      <c r="R327" s="5" t="str">
        <f aca="false">IF(OR(A327="",P327="",Q327=""),"",P327*Q327)</f>
        <v/>
      </c>
      <c r="S327" s="5" t="str">
        <f aca="false">IF(R327="","",MAX(0,R327-G327))</f>
        <v/>
      </c>
      <c r="T327" s="21" t="str">
        <f aca="false">IF(S327="","",S327*K327)</f>
        <v/>
      </c>
      <c r="U327" s="5" t="str">
        <f aca="false">IF(A327="","",IF(J327&gt;Parâmetros!$C$14,"SIM","NAO"))</f>
        <v/>
      </c>
      <c r="V327" s="5" t="str">
        <f aca="false">IF(B327="","",TRIM(LEFT(B327,IFERROR(FIND(" ",B327)-1,LEN(B327)))))</f>
        <v/>
      </c>
      <c r="W327" s="22"/>
      <c r="X327" s="5" t="str">
        <f aca="false">IF(A327="","",IF(W327&lt;&gt;"",W327,V327))</f>
        <v/>
      </c>
      <c r="Y327" s="5" t="str">
        <f aca="false">IF(A327="","",IF(COUNTIFS($X$2:$X$2001,X327,$D$2:$D$2001,"&lt;&gt;"&amp;D327,$C$2:$C$2001,C327)&gt;0,"SIM","NAO"))</f>
        <v/>
      </c>
      <c r="Z327" s="5" t="str">
        <f aca="false">IF(A327="","",IF(J327="","",IFERROR(360/J327,"")))</f>
        <v/>
      </c>
      <c r="AA327" s="5" t="str">
        <f aca="false">IF(A327="","",IF(H327=0,"Parado (sem venda 90d)",IF(Z327&gt;12,"Alto (&gt;12x/ano)",IF(Z327&gt;=4,"Medio (4-12x/ano)","Baixo (&lt;4x/ano)"))))</f>
        <v/>
      </c>
    </row>
    <row r="328" customFormat="false" ht="15" hidden="false" customHeight="true" outlineLevel="0" collapsed="false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18"/>
      <c r="L328" s="19" t="str">
        <f aca="false">IF(A328="","",G328*K328)</f>
        <v/>
      </c>
      <c r="M328" s="20"/>
      <c r="N328" s="6"/>
      <c r="O328" s="6"/>
      <c r="P328" s="5" t="str">
        <f aca="false">IF(A328="","",H328/90)</f>
        <v/>
      </c>
      <c r="Q328" s="5" t="str">
        <f aca="false">IF(A328="","",IFERROR(INDEX(Parâmetros!$C$6:$C$10,MATCH(F328,Parâmetros!$B$6:$B$10,0)),""))</f>
        <v/>
      </c>
      <c r="R328" s="5" t="str">
        <f aca="false">IF(OR(A328="",P328="",Q328=""),"",P328*Q328)</f>
        <v/>
      </c>
      <c r="S328" s="5" t="str">
        <f aca="false">IF(R328="","",MAX(0,R328-G328))</f>
        <v/>
      </c>
      <c r="T328" s="21" t="str">
        <f aca="false">IF(S328="","",S328*K328)</f>
        <v/>
      </c>
      <c r="U328" s="5" t="str">
        <f aca="false">IF(A328="","",IF(J328&gt;Parâmetros!$C$14,"SIM","NAO"))</f>
        <v/>
      </c>
      <c r="V328" s="5" t="str">
        <f aca="false">IF(B328="","",TRIM(LEFT(B328,IFERROR(FIND(" ",B328)-1,LEN(B328)))))</f>
        <v/>
      </c>
      <c r="W328" s="22"/>
      <c r="X328" s="5" t="str">
        <f aca="false">IF(A328="","",IF(W328&lt;&gt;"",W328,V328))</f>
        <v/>
      </c>
      <c r="Y328" s="5" t="str">
        <f aca="false">IF(A328="","",IF(COUNTIFS($X$2:$X$2001,X328,$D$2:$D$2001,"&lt;&gt;"&amp;D328,$C$2:$C$2001,C328)&gt;0,"SIM","NAO"))</f>
        <v/>
      </c>
      <c r="Z328" s="5" t="str">
        <f aca="false">IF(A328="","",IF(J328="","",IFERROR(360/J328,"")))</f>
        <v/>
      </c>
      <c r="AA328" s="5" t="str">
        <f aca="false">IF(A328="","",IF(H328=0,"Parado (sem venda 90d)",IF(Z328&gt;12,"Alto (&gt;12x/ano)",IF(Z328&gt;=4,"Medio (4-12x/ano)","Baixo (&lt;4x/ano)"))))</f>
        <v/>
      </c>
    </row>
    <row r="329" customFormat="false" ht="15" hidden="false" customHeight="true" outlineLevel="0" collapsed="false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18"/>
      <c r="L329" s="19" t="str">
        <f aca="false">IF(A329="","",G329*K329)</f>
        <v/>
      </c>
      <c r="M329" s="20"/>
      <c r="N329" s="6"/>
      <c r="O329" s="6"/>
      <c r="P329" s="5" t="str">
        <f aca="false">IF(A329="","",H329/90)</f>
        <v/>
      </c>
      <c r="Q329" s="5" t="str">
        <f aca="false">IF(A329="","",IFERROR(INDEX(Parâmetros!$C$6:$C$10,MATCH(F329,Parâmetros!$B$6:$B$10,0)),""))</f>
        <v/>
      </c>
      <c r="R329" s="5" t="str">
        <f aca="false">IF(OR(A329="",P329="",Q329=""),"",P329*Q329)</f>
        <v/>
      </c>
      <c r="S329" s="5" t="str">
        <f aca="false">IF(R329="","",MAX(0,R329-G329))</f>
        <v/>
      </c>
      <c r="T329" s="21" t="str">
        <f aca="false">IF(S329="","",S329*K329)</f>
        <v/>
      </c>
      <c r="U329" s="5" t="str">
        <f aca="false">IF(A329="","",IF(J329&gt;Parâmetros!$C$14,"SIM","NAO"))</f>
        <v/>
      </c>
      <c r="V329" s="5" t="str">
        <f aca="false">IF(B329="","",TRIM(LEFT(B329,IFERROR(FIND(" ",B329)-1,LEN(B329)))))</f>
        <v/>
      </c>
      <c r="W329" s="22"/>
      <c r="X329" s="5" t="str">
        <f aca="false">IF(A329="","",IF(W329&lt;&gt;"",W329,V329))</f>
        <v/>
      </c>
      <c r="Y329" s="5" t="str">
        <f aca="false">IF(A329="","",IF(COUNTIFS($X$2:$X$2001,X329,$D$2:$D$2001,"&lt;&gt;"&amp;D329,$C$2:$C$2001,C329)&gt;0,"SIM","NAO"))</f>
        <v/>
      </c>
      <c r="Z329" s="5" t="str">
        <f aca="false">IF(A329="","",IF(J329="","",IFERROR(360/J329,"")))</f>
        <v/>
      </c>
      <c r="AA329" s="5" t="str">
        <f aca="false">IF(A329="","",IF(H329=0,"Parado (sem venda 90d)",IF(Z329&gt;12,"Alto (&gt;12x/ano)",IF(Z329&gt;=4,"Medio (4-12x/ano)","Baixo (&lt;4x/ano)"))))</f>
        <v/>
      </c>
    </row>
    <row r="330" customFormat="false" ht="15" hidden="false" customHeight="true" outlineLevel="0" collapsed="false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18"/>
      <c r="L330" s="19" t="str">
        <f aca="false">IF(A330="","",G330*K330)</f>
        <v/>
      </c>
      <c r="M330" s="20"/>
      <c r="N330" s="6"/>
      <c r="O330" s="6"/>
      <c r="P330" s="5" t="str">
        <f aca="false">IF(A330="","",H330/90)</f>
        <v/>
      </c>
      <c r="Q330" s="5" t="str">
        <f aca="false">IF(A330="","",IFERROR(INDEX(Parâmetros!$C$6:$C$10,MATCH(F330,Parâmetros!$B$6:$B$10,0)),""))</f>
        <v/>
      </c>
      <c r="R330" s="5" t="str">
        <f aca="false">IF(OR(A330="",P330="",Q330=""),"",P330*Q330)</f>
        <v/>
      </c>
      <c r="S330" s="5" t="str">
        <f aca="false">IF(R330="","",MAX(0,R330-G330))</f>
        <v/>
      </c>
      <c r="T330" s="21" t="str">
        <f aca="false">IF(S330="","",S330*K330)</f>
        <v/>
      </c>
      <c r="U330" s="5" t="str">
        <f aca="false">IF(A330="","",IF(J330&gt;Parâmetros!$C$14,"SIM","NAO"))</f>
        <v/>
      </c>
      <c r="V330" s="5" t="str">
        <f aca="false">IF(B330="","",TRIM(LEFT(B330,IFERROR(FIND(" ",B330)-1,LEN(B330)))))</f>
        <v/>
      </c>
      <c r="W330" s="22"/>
      <c r="X330" s="5" t="str">
        <f aca="false">IF(A330="","",IF(W330&lt;&gt;"",W330,V330))</f>
        <v/>
      </c>
      <c r="Y330" s="5" t="str">
        <f aca="false">IF(A330="","",IF(COUNTIFS($X$2:$X$2001,X330,$D$2:$D$2001,"&lt;&gt;"&amp;D330,$C$2:$C$2001,C330)&gt;0,"SIM","NAO"))</f>
        <v/>
      </c>
      <c r="Z330" s="5" t="str">
        <f aca="false">IF(A330="","",IF(J330="","",IFERROR(360/J330,"")))</f>
        <v/>
      </c>
      <c r="AA330" s="5" t="str">
        <f aca="false">IF(A330="","",IF(H330=0,"Parado (sem venda 90d)",IF(Z330&gt;12,"Alto (&gt;12x/ano)",IF(Z330&gt;=4,"Medio (4-12x/ano)","Baixo (&lt;4x/ano)"))))</f>
        <v/>
      </c>
    </row>
    <row r="331" customFormat="false" ht="15" hidden="false" customHeight="true" outlineLevel="0" collapsed="false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18"/>
      <c r="L331" s="19" t="str">
        <f aca="false">IF(A331="","",G331*K331)</f>
        <v/>
      </c>
      <c r="M331" s="20"/>
      <c r="N331" s="6"/>
      <c r="O331" s="6"/>
      <c r="P331" s="5" t="str">
        <f aca="false">IF(A331="","",H331/90)</f>
        <v/>
      </c>
      <c r="Q331" s="5" t="str">
        <f aca="false">IF(A331="","",IFERROR(INDEX(Parâmetros!$C$6:$C$10,MATCH(F331,Parâmetros!$B$6:$B$10,0)),""))</f>
        <v/>
      </c>
      <c r="R331" s="5" t="str">
        <f aca="false">IF(OR(A331="",P331="",Q331=""),"",P331*Q331)</f>
        <v/>
      </c>
      <c r="S331" s="5" t="str">
        <f aca="false">IF(R331="","",MAX(0,R331-G331))</f>
        <v/>
      </c>
      <c r="T331" s="21" t="str">
        <f aca="false">IF(S331="","",S331*K331)</f>
        <v/>
      </c>
      <c r="U331" s="5" t="str">
        <f aca="false">IF(A331="","",IF(J331&gt;Parâmetros!$C$14,"SIM","NAO"))</f>
        <v/>
      </c>
      <c r="V331" s="5" t="str">
        <f aca="false">IF(B331="","",TRIM(LEFT(B331,IFERROR(FIND(" ",B331)-1,LEN(B331)))))</f>
        <v/>
      </c>
      <c r="W331" s="22"/>
      <c r="X331" s="5" t="str">
        <f aca="false">IF(A331="","",IF(W331&lt;&gt;"",W331,V331))</f>
        <v/>
      </c>
      <c r="Y331" s="5" t="str">
        <f aca="false">IF(A331="","",IF(COUNTIFS($X$2:$X$2001,X331,$D$2:$D$2001,"&lt;&gt;"&amp;D331,$C$2:$C$2001,C331)&gt;0,"SIM","NAO"))</f>
        <v/>
      </c>
      <c r="Z331" s="5" t="str">
        <f aca="false">IF(A331="","",IF(J331="","",IFERROR(360/J331,"")))</f>
        <v/>
      </c>
      <c r="AA331" s="5" t="str">
        <f aca="false">IF(A331="","",IF(H331=0,"Parado (sem venda 90d)",IF(Z331&gt;12,"Alto (&gt;12x/ano)",IF(Z331&gt;=4,"Medio (4-12x/ano)","Baixo (&lt;4x/ano)"))))</f>
        <v/>
      </c>
    </row>
    <row r="332" customFormat="false" ht="15" hidden="false" customHeight="true" outlineLevel="0" collapsed="false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18"/>
      <c r="L332" s="19" t="str">
        <f aca="false">IF(A332="","",G332*K332)</f>
        <v/>
      </c>
      <c r="M332" s="20"/>
      <c r="N332" s="6"/>
      <c r="O332" s="6"/>
      <c r="P332" s="5" t="str">
        <f aca="false">IF(A332="","",H332/90)</f>
        <v/>
      </c>
      <c r="Q332" s="5" t="str">
        <f aca="false">IF(A332="","",IFERROR(INDEX(Parâmetros!$C$6:$C$10,MATCH(F332,Parâmetros!$B$6:$B$10,0)),""))</f>
        <v/>
      </c>
      <c r="R332" s="5" t="str">
        <f aca="false">IF(OR(A332="",P332="",Q332=""),"",P332*Q332)</f>
        <v/>
      </c>
      <c r="S332" s="5" t="str">
        <f aca="false">IF(R332="","",MAX(0,R332-G332))</f>
        <v/>
      </c>
      <c r="T332" s="21" t="str">
        <f aca="false">IF(S332="","",S332*K332)</f>
        <v/>
      </c>
      <c r="U332" s="5" t="str">
        <f aca="false">IF(A332="","",IF(J332&gt;Parâmetros!$C$14,"SIM","NAO"))</f>
        <v/>
      </c>
      <c r="V332" s="5" t="str">
        <f aca="false">IF(B332="","",TRIM(LEFT(B332,IFERROR(FIND(" ",B332)-1,LEN(B332)))))</f>
        <v/>
      </c>
      <c r="W332" s="22"/>
      <c r="X332" s="5" t="str">
        <f aca="false">IF(A332="","",IF(W332&lt;&gt;"",W332,V332))</f>
        <v/>
      </c>
      <c r="Y332" s="5" t="str">
        <f aca="false">IF(A332="","",IF(COUNTIFS($X$2:$X$2001,X332,$D$2:$D$2001,"&lt;&gt;"&amp;D332,$C$2:$C$2001,C332)&gt;0,"SIM","NAO"))</f>
        <v/>
      </c>
      <c r="Z332" s="5" t="str">
        <f aca="false">IF(A332="","",IF(J332="","",IFERROR(360/J332,"")))</f>
        <v/>
      </c>
      <c r="AA332" s="5" t="str">
        <f aca="false">IF(A332="","",IF(H332=0,"Parado (sem venda 90d)",IF(Z332&gt;12,"Alto (&gt;12x/ano)",IF(Z332&gt;=4,"Medio (4-12x/ano)","Baixo (&lt;4x/ano)"))))</f>
        <v/>
      </c>
    </row>
    <row r="333" customFormat="false" ht="15" hidden="false" customHeight="true" outlineLevel="0" collapsed="false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18"/>
      <c r="L333" s="19" t="str">
        <f aca="false">IF(A333="","",G333*K333)</f>
        <v/>
      </c>
      <c r="M333" s="20"/>
      <c r="N333" s="6"/>
      <c r="O333" s="6"/>
      <c r="P333" s="5" t="str">
        <f aca="false">IF(A333="","",H333/90)</f>
        <v/>
      </c>
      <c r="Q333" s="5" t="str">
        <f aca="false">IF(A333="","",IFERROR(INDEX(Parâmetros!$C$6:$C$10,MATCH(F333,Parâmetros!$B$6:$B$10,0)),""))</f>
        <v/>
      </c>
      <c r="R333" s="5" t="str">
        <f aca="false">IF(OR(A333="",P333="",Q333=""),"",P333*Q333)</f>
        <v/>
      </c>
      <c r="S333" s="5" t="str">
        <f aca="false">IF(R333="","",MAX(0,R333-G333))</f>
        <v/>
      </c>
      <c r="T333" s="21" t="str">
        <f aca="false">IF(S333="","",S333*K333)</f>
        <v/>
      </c>
      <c r="U333" s="5" t="str">
        <f aca="false">IF(A333="","",IF(J333&gt;Parâmetros!$C$14,"SIM","NAO"))</f>
        <v/>
      </c>
      <c r="V333" s="5" t="str">
        <f aca="false">IF(B333="","",TRIM(LEFT(B333,IFERROR(FIND(" ",B333)-1,LEN(B333)))))</f>
        <v/>
      </c>
      <c r="W333" s="22"/>
      <c r="X333" s="5" t="str">
        <f aca="false">IF(A333="","",IF(W333&lt;&gt;"",W333,V333))</f>
        <v/>
      </c>
      <c r="Y333" s="5" t="str">
        <f aca="false">IF(A333="","",IF(COUNTIFS($X$2:$X$2001,X333,$D$2:$D$2001,"&lt;&gt;"&amp;D333,$C$2:$C$2001,C333)&gt;0,"SIM","NAO"))</f>
        <v/>
      </c>
      <c r="Z333" s="5" t="str">
        <f aca="false">IF(A333="","",IF(J333="","",IFERROR(360/J333,"")))</f>
        <v/>
      </c>
      <c r="AA333" s="5" t="str">
        <f aca="false">IF(A333="","",IF(H333=0,"Parado (sem venda 90d)",IF(Z333&gt;12,"Alto (&gt;12x/ano)",IF(Z333&gt;=4,"Medio (4-12x/ano)","Baixo (&lt;4x/ano)"))))</f>
        <v/>
      </c>
    </row>
    <row r="334" customFormat="false" ht="15" hidden="false" customHeight="true" outlineLevel="0" collapsed="false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18"/>
      <c r="L334" s="19" t="str">
        <f aca="false">IF(A334="","",G334*K334)</f>
        <v/>
      </c>
      <c r="M334" s="20"/>
      <c r="N334" s="6"/>
      <c r="O334" s="6"/>
      <c r="P334" s="5" t="str">
        <f aca="false">IF(A334="","",H334/90)</f>
        <v/>
      </c>
      <c r="Q334" s="5" t="str">
        <f aca="false">IF(A334="","",IFERROR(INDEX(Parâmetros!$C$6:$C$10,MATCH(F334,Parâmetros!$B$6:$B$10,0)),""))</f>
        <v/>
      </c>
      <c r="R334" s="5" t="str">
        <f aca="false">IF(OR(A334="",P334="",Q334=""),"",P334*Q334)</f>
        <v/>
      </c>
      <c r="S334" s="5" t="str">
        <f aca="false">IF(R334="","",MAX(0,R334-G334))</f>
        <v/>
      </c>
      <c r="T334" s="21" t="str">
        <f aca="false">IF(S334="","",S334*K334)</f>
        <v/>
      </c>
      <c r="U334" s="5" t="str">
        <f aca="false">IF(A334="","",IF(J334&gt;Parâmetros!$C$14,"SIM","NAO"))</f>
        <v/>
      </c>
      <c r="V334" s="5" t="str">
        <f aca="false">IF(B334="","",TRIM(LEFT(B334,IFERROR(FIND(" ",B334)-1,LEN(B334)))))</f>
        <v/>
      </c>
      <c r="W334" s="22"/>
      <c r="X334" s="5" t="str">
        <f aca="false">IF(A334="","",IF(W334&lt;&gt;"",W334,V334))</f>
        <v/>
      </c>
      <c r="Y334" s="5" t="str">
        <f aca="false">IF(A334="","",IF(COUNTIFS($X$2:$X$2001,X334,$D$2:$D$2001,"&lt;&gt;"&amp;D334,$C$2:$C$2001,C334)&gt;0,"SIM","NAO"))</f>
        <v/>
      </c>
      <c r="Z334" s="5" t="str">
        <f aca="false">IF(A334="","",IF(J334="","",IFERROR(360/J334,"")))</f>
        <v/>
      </c>
      <c r="AA334" s="5" t="str">
        <f aca="false">IF(A334="","",IF(H334=0,"Parado (sem venda 90d)",IF(Z334&gt;12,"Alto (&gt;12x/ano)",IF(Z334&gt;=4,"Medio (4-12x/ano)","Baixo (&lt;4x/ano)"))))</f>
        <v/>
      </c>
    </row>
    <row r="335" customFormat="false" ht="15" hidden="false" customHeight="true" outlineLevel="0" collapsed="false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18"/>
      <c r="L335" s="19" t="str">
        <f aca="false">IF(A335="","",G335*K335)</f>
        <v/>
      </c>
      <c r="M335" s="20"/>
      <c r="N335" s="6"/>
      <c r="O335" s="6"/>
      <c r="P335" s="5" t="str">
        <f aca="false">IF(A335="","",H335/90)</f>
        <v/>
      </c>
      <c r="Q335" s="5" t="str">
        <f aca="false">IF(A335="","",IFERROR(INDEX(Parâmetros!$C$6:$C$10,MATCH(F335,Parâmetros!$B$6:$B$10,0)),""))</f>
        <v/>
      </c>
      <c r="R335" s="5" t="str">
        <f aca="false">IF(OR(A335="",P335="",Q335=""),"",P335*Q335)</f>
        <v/>
      </c>
      <c r="S335" s="5" t="str">
        <f aca="false">IF(R335="","",MAX(0,R335-G335))</f>
        <v/>
      </c>
      <c r="T335" s="21" t="str">
        <f aca="false">IF(S335="","",S335*K335)</f>
        <v/>
      </c>
      <c r="U335" s="5" t="str">
        <f aca="false">IF(A335="","",IF(J335&gt;Parâmetros!$C$14,"SIM","NAO"))</f>
        <v/>
      </c>
      <c r="V335" s="5" t="str">
        <f aca="false">IF(B335="","",TRIM(LEFT(B335,IFERROR(FIND(" ",B335)-1,LEN(B335)))))</f>
        <v/>
      </c>
      <c r="W335" s="22"/>
      <c r="X335" s="5" t="str">
        <f aca="false">IF(A335="","",IF(W335&lt;&gt;"",W335,V335))</f>
        <v/>
      </c>
      <c r="Y335" s="5" t="str">
        <f aca="false">IF(A335="","",IF(COUNTIFS($X$2:$X$2001,X335,$D$2:$D$2001,"&lt;&gt;"&amp;D335,$C$2:$C$2001,C335)&gt;0,"SIM","NAO"))</f>
        <v/>
      </c>
      <c r="Z335" s="5" t="str">
        <f aca="false">IF(A335="","",IF(J335="","",IFERROR(360/J335,"")))</f>
        <v/>
      </c>
      <c r="AA335" s="5" t="str">
        <f aca="false">IF(A335="","",IF(H335=0,"Parado (sem venda 90d)",IF(Z335&gt;12,"Alto (&gt;12x/ano)",IF(Z335&gt;=4,"Medio (4-12x/ano)","Baixo (&lt;4x/ano)"))))</f>
        <v/>
      </c>
    </row>
    <row r="336" customFormat="false" ht="15" hidden="false" customHeight="true" outlineLevel="0" collapsed="false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18"/>
      <c r="L336" s="19" t="str">
        <f aca="false">IF(A336="","",G336*K336)</f>
        <v/>
      </c>
      <c r="M336" s="20"/>
      <c r="N336" s="6"/>
      <c r="O336" s="6"/>
      <c r="P336" s="5" t="str">
        <f aca="false">IF(A336="","",H336/90)</f>
        <v/>
      </c>
      <c r="Q336" s="5" t="str">
        <f aca="false">IF(A336="","",IFERROR(INDEX(Parâmetros!$C$6:$C$10,MATCH(F336,Parâmetros!$B$6:$B$10,0)),""))</f>
        <v/>
      </c>
      <c r="R336" s="5" t="str">
        <f aca="false">IF(OR(A336="",P336="",Q336=""),"",P336*Q336)</f>
        <v/>
      </c>
      <c r="S336" s="5" t="str">
        <f aca="false">IF(R336="","",MAX(0,R336-G336))</f>
        <v/>
      </c>
      <c r="T336" s="21" t="str">
        <f aca="false">IF(S336="","",S336*K336)</f>
        <v/>
      </c>
      <c r="U336" s="5" t="str">
        <f aca="false">IF(A336="","",IF(J336&gt;Parâmetros!$C$14,"SIM","NAO"))</f>
        <v/>
      </c>
      <c r="V336" s="5" t="str">
        <f aca="false">IF(B336="","",TRIM(LEFT(B336,IFERROR(FIND(" ",B336)-1,LEN(B336)))))</f>
        <v/>
      </c>
      <c r="W336" s="22"/>
      <c r="X336" s="5" t="str">
        <f aca="false">IF(A336="","",IF(W336&lt;&gt;"",W336,V336))</f>
        <v/>
      </c>
      <c r="Y336" s="5" t="str">
        <f aca="false">IF(A336="","",IF(COUNTIFS($X$2:$X$2001,X336,$D$2:$D$2001,"&lt;&gt;"&amp;D336,$C$2:$C$2001,C336)&gt;0,"SIM","NAO"))</f>
        <v/>
      </c>
      <c r="Z336" s="5" t="str">
        <f aca="false">IF(A336="","",IF(J336="","",IFERROR(360/J336,"")))</f>
        <v/>
      </c>
      <c r="AA336" s="5" t="str">
        <f aca="false">IF(A336="","",IF(H336=0,"Parado (sem venda 90d)",IF(Z336&gt;12,"Alto (&gt;12x/ano)",IF(Z336&gt;=4,"Medio (4-12x/ano)","Baixo (&lt;4x/ano)"))))</f>
        <v/>
      </c>
    </row>
    <row r="337" customFormat="false" ht="15" hidden="false" customHeight="true" outlineLevel="0" collapsed="false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18"/>
      <c r="L337" s="19" t="str">
        <f aca="false">IF(A337="","",G337*K337)</f>
        <v/>
      </c>
      <c r="M337" s="20"/>
      <c r="N337" s="6"/>
      <c r="O337" s="6"/>
      <c r="P337" s="5" t="str">
        <f aca="false">IF(A337="","",H337/90)</f>
        <v/>
      </c>
      <c r="Q337" s="5" t="str">
        <f aca="false">IF(A337="","",IFERROR(INDEX(Parâmetros!$C$6:$C$10,MATCH(F337,Parâmetros!$B$6:$B$10,0)),""))</f>
        <v/>
      </c>
      <c r="R337" s="5" t="str">
        <f aca="false">IF(OR(A337="",P337="",Q337=""),"",P337*Q337)</f>
        <v/>
      </c>
      <c r="S337" s="5" t="str">
        <f aca="false">IF(R337="","",MAX(0,R337-G337))</f>
        <v/>
      </c>
      <c r="T337" s="21" t="str">
        <f aca="false">IF(S337="","",S337*K337)</f>
        <v/>
      </c>
      <c r="U337" s="5" t="str">
        <f aca="false">IF(A337="","",IF(J337&gt;Parâmetros!$C$14,"SIM","NAO"))</f>
        <v/>
      </c>
      <c r="V337" s="5" t="str">
        <f aca="false">IF(B337="","",TRIM(LEFT(B337,IFERROR(FIND(" ",B337)-1,LEN(B337)))))</f>
        <v/>
      </c>
      <c r="W337" s="22"/>
      <c r="X337" s="5" t="str">
        <f aca="false">IF(A337="","",IF(W337&lt;&gt;"",W337,V337))</f>
        <v/>
      </c>
      <c r="Y337" s="5" t="str">
        <f aca="false">IF(A337="","",IF(COUNTIFS($X$2:$X$2001,X337,$D$2:$D$2001,"&lt;&gt;"&amp;D337,$C$2:$C$2001,C337)&gt;0,"SIM","NAO"))</f>
        <v/>
      </c>
      <c r="Z337" s="5" t="str">
        <f aca="false">IF(A337="","",IF(J337="","",IFERROR(360/J337,"")))</f>
        <v/>
      </c>
      <c r="AA337" s="5" t="str">
        <f aca="false">IF(A337="","",IF(H337=0,"Parado (sem venda 90d)",IF(Z337&gt;12,"Alto (&gt;12x/ano)",IF(Z337&gt;=4,"Medio (4-12x/ano)","Baixo (&lt;4x/ano)"))))</f>
        <v/>
      </c>
    </row>
    <row r="338" customFormat="false" ht="15" hidden="false" customHeight="true" outlineLevel="0" collapsed="false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18"/>
      <c r="L338" s="19" t="str">
        <f aca="false">IF(A338="","",G338*K338)</f>
        <v/>
      </c>
      <c r="M338" s="20"/>
      <c r="N338" s="6"/>
      <c r="O338" s="6"/>
      <c r="P338" s="5" t="str">
        <f aca="false">IF(A338="","",H338/90)</f>
        <v/>
      </c>
      <c r="Q338" s="5" t="str">
        <f aca="false">IF(A338="","",IFERROR(INDEX(Parâmetros!$C$6:$C$10,MATCH(F338,Parâmetros!$B$6:$B$10,0)),""))</f>
        <v/>
      </c>
      <c r="R338" s="5" t="str">
        <f aca="false">IF(OR(A338="",P338="",Q338=""),"",P338*Q338)</f>
        <v/>
      </c>
      <c r="S338" s="5" t="str">
        <f aca="false">IF(R338="","",MAX(0,R338-G338))</f>
        <v/>
      </c>
      <c r="T338" s="21" t="str">
        <f aca="false">IF(S338="","",S338*K338)</f>
        <v/>
      </c>
      <c r="U338" s="5" t="str">
        <f aca="false">IF(A338="","",IF(J338&gt;Parâmetros!$C$14,"SIM","NAO"))</f>
        <v/>
      </c>
      <c r="V338" s="5" t="str">
        <f aca="false">IF(B338="","",TRIM(LEFT(B338,IFERROR(FIND(" ",B338)-1,LEN(B338)))))</f>
        <v/>
      </c>
      <c r="W338" s="22"/>
      <c r="X338" s="5" t="str">
        <f aca="false">IF(A338="","",IF(W338&lt;&gt;"",W338,V338))</f>
        <v/>
      </c>
      <c r="Y338" s="5" t="str">
        <f aca="false">IF(A338="","",IF(COUNTIFS($X$2:$X$2001,X338,$D$2:$D$2001,"&lt;&gt;"&amp;D338,$C$2:$C$2001,C338)&gt;0,"SIM","NAO"))</f>
        <v/>
      </c>
      <c r="Z338" s="5" t="str">
        <f aca="false">IF(A338="","",IF(J338="","",IFERROR(360/J338,"")))</f>
        <v/>
      </c>
      <c r="AA338" s="5" t="str">
        <f aca="false">IF(A338="","",IF(H338=0,"Parado (sem venda 90d)",IF(Z338&gt;12,"Alto (&gt;12x/ano)",IF(Z338&gt;=4,"Medio (4-12x/ano)","Baixo (&lt;4x/ano)"))))</f>
        <v/>
      </c>
    </row>
    <row r="339" customFormat="false" ht="15" hidden="false" customHeight="true" outlineLevel="0" collapsed="false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18"/>
      <c r="L339" s="19" t="str">
        <f aca="false">IF(A339="","",G339*K339)</f>
        <v/>
      </c>
      <c r="M339" s="20"/>
      <c r="N339" s="6"/>
      <c r="O339" s="6"/>
      <c r="P339" s="5" t="str">
        <f aca="false">IF(A339="","",H339/90)</f>
        <v/>
      </c>
      <c r="Q339" s="5" t="str">
        <f aca="false">IF(A339="","",IFERROR(INDEX(Parâmetros!$C$6:$C$10,MATCH(F339,Parâmetros!$B$6:$B$10,0)),""))</f>
        <v/>
      </c>
      <c r="R339" s="5" t="str">
        <f aca="false">IF(OR(A339="",P339="",Q339=""),"",P339*Q339)</f>
        <v/>
      </c>
      <c r="S339" s="5" t="str">
        <f aca="false">IF(R339="","",MAX(0,R339-G339))</f>
        <v/>
      </c>
      <c r="T339" s="21" t="str">
        <f aca="false">IF(S339="","",S339*K339)</f>
        <v/>
      </c>
      <c r="U339" s="5" t="str">
        <f aca="false">IF(A339="","",IF(J339&gt;Parâmetros!$C$14,"SIM","NAO"))</f>
        <v/>
      </c>
      <c r="V339" s="5" t="str">
        <f aca="false">IF(B339="","",TRIM(LEFT(B339,IFERROR(FIND(" ",B339)-1,LEN(B339)))))</f>
        <v/>
      </c>
      <c r="W339" s="22"/>
      <c r="X339" s="5" t="str">
        <f aca="false">IF(A339="","",IF(W339&lt;&gt;"",W339,V339))</f>
        <v/>
      </c>
      <c r="Y339" s="5" t="str">
        <f aca="false">IF(A339="","",IF(COUNTIFS($X$2:$X$2001,X339,$D$2:$D$2001,"&lt;&gt;"&amp;D339,$C$2:$C$2001,C339)&gt;0,"SIM","NAO"))</f>
        <v/>
      </c>
      <c r="Z339" s="5" t="str">
        <f aca="false">IF(A339="","",IF(J339="","",IFERROR(360/J339,"")))</f>
        <v/>
      </c>
      <c r="AA339" s="5" t="str">
        <f aca="false">IF(A339="","",IF(H339=0,"Parado (sem venda 90d)",IF(Z339&gt;12,"Alto (&gt;12x/ano)",IF(Z339&gt;=4,"Medio (4-12x/ano)","Baixo (&lt;4x/ano)"))))</f>
        <v/>
      </c>
    </row>
    <row r="340" customFormat="false" ht="15" hidden="false" customHeight="true" outlineLevel="0" collapsed="false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18"/>
      <c r="L340" s="19" t="str">
        <f aca="false">IF(A340="","",G340*K340)</f>
        <v/>
      </c>
      <c r="M340" s="20"/>
      <c r="N340" s="6"/>
      <c r="O340" s="6"/>
      <c r="P340" s="5" t="str">
        <f aca="false">IF(A340="","",H340/90)</f>
        <v/>
      </c>
      <c r="Q340" s="5" t="str">
        <f aca="false">IF(A340="","",IFERROR(INDEX(Parâmetros!$C$6:$C$10,MATCH(F340,Parâmetros!$B$6:$B$10,0)),""))</f>
        <v/>
      </c>
      <c r="R340" s="5" t="str">
        <f aca="false">IF(OR(A340="",P340="",Q340=""),"",P340*Q340)</f>
        <v/>
      </c>
      <c r="S340" s="5" t="str">
        <f aca="false">IF(R340="","",MAX(0,R340-G340))</f>
        <v/>
      </c>
      <c r="T340" s="21" t="str">
        <f aca="false">IF(S340="","",S340*K340)</f>
        <v/>
      </c>
      <c r="U340" s="5" t="str">
        <f aca="false">IF(A340="","",IF(J340&gt;Parâmetros!$C$14,"SIM","NAO"))</f>
        <v/>
      </c>
      <c r="V340" s="5" t="str">
        <f aca="false">IF(B340="","",TRIM(LEFT(B340,IFERROR(FIND(" ",B340)-1,LEN(B340)))))</f>
        <v/>
      </c>
      <c r="W340" s="22"/>
      <c r="X340" s="5" t="str">
        <f aca="false">IF(A340="","",IF(W340&lt;&gt;"",W340,V340))</f>
        <v/>
      </c>
      <c r="Y340" s="5" t="str">
        <f aca="false">IF(A340="","",IF(COUNTIFS($X$2:$X$2001,X340,$D$2:$D$2001,"&lt;&gt;"&amp;D340,$C$2:$C$2001,C340)&gt;0,"SIM","NAO"))</f>
        <v/>
      </c>
      <c r="Z340" s="5" t="str">
        <f aca="false">IF(A340="","",IF(J340="","",IFERROR(360/J340,"")))</f>
        <v/>
      </c>
      <c r="AA340" s="5" t="str">
        <f aca="false">IF(A340="","",IF(H340=0,"Parado (sem venda 90d)",IF(Z340&gt;12,"Alto (&gt;12x/ano)",IF(Z340&gt;=4,"Medio (4-12x/ano)","Baixo (&lt;4x/ano)"))))</f>
        <v/>
      </c>
    </row>
    <row r="341" customFormat="false" ht="15" hidden="false" customHeight="true" outlineLevel="0" collapsed="false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18"/>
      <c r="L341" s="19" t="str">
        <f aca="false">IF(A341="","",G341*K341)</f>
        <v/>
      </c>
      <c r="M341" s="20"/>
      <c r="N341" s="6"/>
      <c r="O341" s="6"/>
      <c r="P341" s="5" t="str">
        <f aca="false">IF(A341="","",H341/90)</f>
        <v/>
      </c>
      <c r="Q341" s="5" t="str">
        <f aca="false">IF(A341="","",IFERROR(INDEX(Parâmetros!$C$6:$C$10,MATCH(F341,Parâmetros!$B$6:$B$10,0)),""))</f>
        <v/>
      </c>
      <c r="R341" s="5" t="str">
        <f aca="false">IF(OR(A341="",P341="",Q341=""),"",P341*Q341)</f>
        <v/>
      </c>
      <c r="S341" s="5" t="str">
        <f aca="false">IF(R341="","",MAX(0,R341-G341))</f>
        <v/>
      </c>
      <c r="T341" s="21" t="str">
        <f aca="false">IF(S341="","",S341*K341)</f>
        <v/>
      </c>
      <c r="U341" s="5" t="str">
        <f aca="false">IF(A341="","",IF(J341&gt;Parâmetros!$C$14,"SIM","NAO"))</f>
        <v/>
      </c>
      <c r="V341" s="5" t="str">
        <f aca="false">IF(B341="","",TRIM(LEFT(B341,IFERROR(FIND(" ",B341)-1,LEN(B341)))))</f>
        <v/>
      </c>
      <c r="W341" s="22"/>
      <c r="X341" s="5" t="str">
        <f aca="false">IF(A341="","",IF(W341&lt;&gt;"",W341,V341))</f>
        <v/>
      </c>
      <c r="Y341" s="5" t="str">
        <f aca="false">IF(A341="","",IF(COUNTIFS($X$2:$X$2001,X341,$D$2:$D$2001,"&lt;&gt;"&amp;D341,$C$2:$C$2001,C341)&gt;0,"SIM","NAO"))</f>
        <v/>
      </c>
      <c r="Z341" s="5" t="str">
        <f aca="false">IF(A341="","",IF(J341="","",IFERROR(360/J341,"")))</f>
        <v/>
      </c>
      <c r="AA341" s="5" t="str">
        <f aca="false">IF(A341="","",IF(H341=0,"Parado (sem venda 90d)",IF(Z341&gt;12,"Alto (&gt;12x/ano)",IF(Z341&gt;=4,"Medio (4-12x/ano)","Baixo (&lt;4x/ano)"))))</f>
        <v/>
      </c>
    </row>
    <row r="342" customFormat="false" ht="15" hidden="false" customHeight="true" outlineLevel="0" collapsed="false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18"/>
      <c r="L342" s="19" t="str">
        <f aca="false">IF(A342="","",G342*K342)</f>
        <v/>
      </c>
      <c r="M342" s="20"/>
      <c r="N342" s="6"/>
      <c r="O342" s="6"/>
      <c r="P342" s="5" t="str">
        <f aca="false">IF(A342="","",H342/90)</f>
        <v/>
      </c>
      <c r="Q342" s="5" t="str">
        <f aca="false">IF(A342="","",IFERROR(INDEX(Parâmetros!$C$6:$C$10,MATCH(F342,Parâmetros!$B$6:$B$10,0)),""))</f>
        <v/>
      </c>
      <c r="R342" s="5" t="str">
        <f aca="false">IF(OR(A342="",P342="",Q342=""),"",P342*Q342)</f>
        <v/>
      </c>
      <c r="S342" s="5" t="str">
        <f aca="false">IF(R342="","",MAX(0,R342-G342))</f>
        <v/>
      </c>
      <c r="T342" s="21" t="str">
        <f aca="false">IF(S342="","",S342*K342)</f>
        <v/>
      </c>
      <c r="U342" s="5" t="str">
        <f aca="false">IF(A342="","",IF(J342&gt;Parâmetros!$C$14,"SIM","NAO"))</f>
        <v/>
      </c>
      <c r="V342" s="5" t="str">
        <f aca="false">IF(B342="","",TRIM(LEFT(B342,IFERROR(FIND(" ",B342)-1,LEN(B342)))))</f>
        <v/>
      </c>
      <c r="W342" s="22"/>
      <c r="X342" s="5" t="str">
        <f aca="false">IF(A342="","",IF(W342&lt;&gt;"",W342,V342))</f>
        <v/>
      </c>
      <c r="Y342" s="5" t="str">
        <f aca="false">IF(A342="","",IF(COUNTIFS($X$2:$X$2001,X342,$D$2:$D$2001,"&lt;&gt;"&amp;D342,$C$2:$C$2001,C342)&gt;0,"SIM","NAO"))</f>
        <v/>
      </c>
      <c r="Z342" s="5" t="str">
        <f aca="false">IF(A342="","",IF(J342="","",IFERROR(360/J342,"")))</f>
        <v/>
      </c>
      <c r="AA342" s="5" t="str">
        <f aca="false">IF(A342="","",IF(H342=0,"Parado (sem venda 90d)",IF(Z342&gt;12,"Alto (&gt;12x/ano)",IF(Z342&gt;=4,"Medio (4-12x/ano)","Baixo (&lt;4x/ano)"))))</f>
        <v/>
      </c>
    </row>
    <row r="343" customFormat="false" ht="15" hidden="false" customHeight="true" outlineLevel="0" collapsed="false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18"/>
      <c r="L343" s="19" t="str">
        <f aca="false">IF(A343="","",G343*K343)</f>
        <v/>
      </c>
      <c r="M343" s="20"/>
      <c r="N343" s="6"/>
      <c r="O343" s="6"/>
      <c r="P343" s="5" t="str">
        <f aca="false">IF(A343="","",H343/90)</f>
        <v/>
      </c>
      <c r="Q343" s="5" t="str">
        <f aca="false">IF(A343="","",IFERROR(INDEX(Parâmetros!$C$6:$C$10,MATCH(F343,Parâmetros!$B$6:$B$10,0)),""))</f>
        <v/>
      </c>
      <c r="R343" s="5" t="str">
        <f aca="false">IF(OR(A343="",P343="",Q343=""),"",P343*Q343)</f>
        <v/>
      </c>
      <c r="S343" s="5" t="str">
        <f aca="false">IF(R343="","",MAX(0,R343-G343))</f>
        <v/>
      </c>
      <c r="T343" s="21" t="str">
        <f aca="false">IF(S343="","",S343*K343)</f>
        <v/>
      </c>
      <c r="U343" s="5" t="str">
        <f aca="false">IF(A343="","",IF(J343&gt;Parâmetros!$C$14,"SIM","NAO"))</f>
        <v/>
      </c>
      <c r="V343" s="5" t="str">
        <f aca="false">IF(B343="","",TRIM(LEFT(B343,IFERROR(FIND(" ",B343)-1,LEN(B343)))))</f>
        <v/>
      </c>
      <c r="W343" s="22"/>
      <c r="X343" s="5" t="str">
        <f aca="false">IF(A343="","",IF(W343&lt;&gt;"",W343,V343))</f>
        <v/>
      </c>
      <c r="Y343" s="5" t="str">
        <f aca="false">IF(A343="","",IF(COUNTIFS($X$2:$X$2001,X343,$D$2:$D$2001,"&lt;&gt;"&amp;D343,$C$2:$C$2001,C343)&gt;0,"SIM","NAO"))</f>
        <v/>
      </c>
      <c r="Z343" s="5" t="str">
        <f aca="false">IF(A343="","",IF(J343="","",IFERROR(360/J343,"")))</f>
        <v/>
      </c>
      <c r="AA343" s="5" t="str">
        <f aca="false">IF(A343="","",IF(H343=0,"Parado (sem venda 90d)",IF(Z343&gt;12,"Alto (&gt;12x/ano)",IF(Z343&gt;=4,"Medio (4-12x/ano)","Baixo (&lt;4x/ano)"))))</f>
        <v/>
      </c>
    </row>
    <row r="344" customFormat="false" ht="15" hidden="false" customHeight="true" outlineLevel="0" collapsed="false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18"/>
      <c r="L344" s="19" t="str">
        <f aca="false">IF(A344="","",G344*K344)</f>
        <v/>
      </c>
      <c r="M344" s="20"/>
      <c r="N344" s="6"/>
      <c r="O344" s="6"/>
      <c r="P344" s="5" t="str">
        <f aca="false">IF(A344="","",H344/90)</f>
        <v/>
      </c>
      <c r="Q344" s="5" t="str">
        <f aca="false">IF(A344="","",IFERROR(INDEX(Parâmetros!$C$6:$C$10,MATCH(F344,Parâmetros!$B$6:$B$10,0)),""))</f>
        <v/>
      </c>
      <c r="R344" s="5" t="str">
        <f aca="false">IF(OR(A344="",P344="",Q344=""),"",P344*Q344)</f>
        <v/>
      </c>
      <c r="S344" s="5" t="str">
        <f aca="false">IF(R344="","",MAX(0,R344-G344))</f>
        <v/>
      </c>
      <c r="T344" s="21" t="str">
        <f aca="false">IF(S344="","",S344*K344)</f>
        <v/>
      </c>
      <c r="U344" s="5" t="str">
        <f aca="false">IF(A344="","",IF(J344&gt;Parâmetros!$C$14,"SIM","NAO"))</f>
        <v/>
      </c>
      <c r="V344" s="5" t="str">
        <f aca="false">IF(B344="","",TRIM(LEFT(B344,IFERROR(FIND(" ",B344)-1,LEN(B344)))))</f>
        <v/>
      </c>
      <c r="W344" s="22"/>
      <c r="X344" s="5" t="str">
        <f aca="false">IF(A344="","",IF(W344&lt;&gt;"",W344,V344))</f>
        <v/>
      </c>
      <c r="Y344" s="5" t="str">
        <f aca="false">IF(A344="","",IF(COUNTIFS($X$2:$X$2001,X344,$D$2:$D$2001,"&lt;&gt;"&amp;D344,$C$2:$C$2001,C344)&gt;0,"SIM","NAO"))</f>
        <v/>
      </c>
      <c r="Z344" s="5" t="str">
        <f aca="false">IF(A344="","",IF(J344="","",IFERROR(360/J344,"")))</f>
        <v/>
      </c>
      <c r="AA344" s="5" t="str">
        <f aca="false">IF(A344="","",IF(H344=0,"Parado (sem venda 90d)",IF(Z344&gt;12,"Alto (&gt;12x/ano)",IF(Z344&gt;=4,"Medio (4-12x/ano)","Baixo (&lt;4x/ano)"))))</f>
        <v/>
      </c>
    </row>
    <row r="345" customFormat="false" ht="15" hidden="false" customHeight="true" outlineLevel="0" collapsed="false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18"/>
      <c r="L345" s="19" t="str">
        <f aca="false">IF(A345="","",G345*K345)</f>
        <v/>
      </c>
      <c r="M345" s="20"/>
      <c r="N345" s="6"/>
      <c r="O345" s="6"/>
      <c r="P345" s="5" t="str">
        <f aca="false">IF(A345="","",H345/90)</f>
        <v/>
      </c>
      <c r="Q345" s="5" t="str">
        <f aca="false">IF(A345="","",IFERROR(INDEX(Parâmetros!$C$6:$C$10,MATCH(F345,Parâmetros!$B$6:$B$10,0)),""))</f>
        <v/>
      </c>
      <c r="R345" s="5" t="str">
        <f aca="false">IF(OR(A345="",P345="",Q345=""),"",P345*Q345)</f>
        <v/>
      </c>
      <c r="S345" s="5" t="str">
        <f aca="false">IF(R345="","",MAX(0,R345-G345))</f>
        <v/>
      </c>
      <c r="T345" s="21" t="str">
        <f aca="false">IF(S345="","",S345*K345)</f>
        <v/>
      </c>
      <c r="U345" s="5" t="str">
        <f aca="false">IF(A345="","",IF(J345&gt;Parâmetros!$C$14,"SIM","NAO"))</f>
        <v/>
      </c>
      <c r="V345" s="5" t="str">
        <f aca="false">IF(B345="","",TRIM(LEFT(B345,IFERROR(FIND(" ",B345)-1,LEN(B345)))))</f>
        <v/>
      </c>
      <c r="W345" s="22"/>
      <c r="X345" s="5" t="str">
        <f aca="false">IF(A345="","",IF(W345&lt;&gt;"",W345,V345))</f>
        <v/>
      </c>
      <c r="Y345" s="5" t="str">
        <f aca="false">IF(A345="","",IF(COUNTIFS($X$2:$X$2001,X345,$D$2:$D$2001,"&lt;&gt;"&amp;D345,$C$2:$C$2001,C345)&gt;0,"SIM","NAO"))</f>
        <v/>
      </c>
      <c r="Z345" s="5" t="str">
        <f aca="false">IF(A345="","",IF(J345="","",IFERROR(360/J345,"")))</f>
        <v/>
      </c>
      <c r="AA345" s="5" t="str">
        <f aca="false">IF(A345="","",IF(H345=0,"Parado (sem venda 90d)",IF(Z345&gt;12,"Alto (&gt;12x/ano)",IF(Z345&gt;=4,"Medio (4-12x/ano)","Baixo (&lt;4x/ano)"))))</f>
        <v/>
      </c>
    </row>
    <row r="346" customFormat="false" ht="15" hidden="false" customHeight="true" outlineLevel="0" collapsed="false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18"/>
      <c r="L346" s="19" t="str">
        <f aca="false">IF(A346="","",G346*K346)</f>
        <v/>
      </c>
      <c r="M346" s="20"/>
      <c r="N346" s="6"/>
      <c r="O346" s="6"/>
      <c r="P346" s="5" t="str">
        <f aca="false">IF(A346="","",H346/90)</f>
        <v/>
      </c>
      <c r="Q346" s="5" t="str">
        <f aca="false">IF(A346="","",IFERROR(INDEX(Parâmetros!$C$6:$C$10,MATCH(F346,Parâmetros!$B$6:$B$10,0)),""))</f>
        <v/>
      </c>
      <c r="R346" s="5" t="str">
        <f aca="false">IF(OR(A346="",P346="",Q346=""),"",P346*Q346)</f>
        <v/>
      </c>
      <c r="S346" s="5" t="str">
        <f aca="false">IF(R346="","",MAX(0,R346-G346))</f>
        <v/>
      </c>
      <c r="T346" s="21" t="str">
        <f aca="false">IF(S346="","",S346*K346)</f>
        <v/>
      </c>
      <c r="U346" s="5" t="str">
        <f aca="false">IF(A346="","",IF(J346&gt;Parâmetros!$C$14,"SIM","NAO"))</f>
        <v/>
      </c>
      <c r="V346" s="5" t="str">
        <f aca="false">IF(B346="","",TRIM(LEFT(B346,IFERROR(FIND(" ",B346)-1,LEN(B346)))))</f>
        <v/>
      </c>
      <c r="W346" s="22"/>
      <c r="X346" s="5" t="str">
        <f aca="false">IF(A346="","",IF(W346&lt;&gt;"",W346,V346))</f>
        <v/>
      </c>
      <c r="Y346" s="5" t="str">
        <f aca="false">IF(A346="","",IF(COUNTIFS($X$2:$X$2001,X346,$D$2:$D$2001,"&lt;&gt;"&amp;D346,$C$2:$C$2001,C346)&gt;0,"SIM","NAO"))</f>
        <v/>
      </c>
      <c r="Z346" s="5" t="str">
        <f aca="false">IF(A346="","",IF(J346="","",IFERROR(360/J346,"")))</f>
        <v/>
      </c>
      <c r="AA346" s="5" t="str">
        <f aca="false">IF(A346="","",IF(H346=0,"Parado (sem venda 90d)",IF(Z346&gt;12,"Alto (&gt;12x/ano)",IF(Z346&gt;=4,"Medio (4-12x/ano)","Baixo (&lt;4x/ano)"))))</f>
        <v/>
      </c>
    </row>
    <row r="347" customFormat="false" ht="15" hidden="false" customHeight="true" outlineLevel="0" collapsed="false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18"/>
      <c r="L347" s="19" t="str">
        <f aca="false">IF(A347="","",G347*K347)</f>
        <v/>
      </c>
      <c r="M347" s="20"/>
      <c r="N347" s="6"/>
      <c r="O347" s="6"/>
      <c r="P347" s="5" t="str">
        <f aca="false">IF(A347="","",H347/90)</f>
        <v/>
      </c>
      <c r="Q347" s="5" t="str">
        <f aca="false">IF(A347="","",IFERROR(INDEX(Parâmetros!$C$6:$C$10,MATCH(F347,Parâmetros!$B$6:$B$10,0)),""))</f>
        <v/>
      </c>
      <c r="R347" s="5" t="str">
        <f aca="false">IF(OR(A347="",P347="",Q347=""),"",P347*Q347)</f>
        <v/>
      </c>
      <c r="S347" s="5" t="str">
        <f aca="false">IF(R347="","",MAX(0,R347-G347))</f>
        <v/>
      </c>
      <c r="T347" s="21" t="str">
        <f aca="false">IF(S347="","",S347*K347)</f>
        <v/>
      </c>
      <c r="U347" s="5" t="str">
        <f aca="false">IF(A347="","",IF(J347&gt;Parâmetros!$C$14,"SIM","NAO"))</f>
        <v/>
      </c>
      <c r="V347" s="5" t="str">
        <f aca="false">IF(B347="","",TRIM(LEFT(B347,IFERROR(FIND(" ",B347)-1,LEN(B347)))))</f>
        <v/>
      </c>
      <c r="W347" s="22"/>
      <c r="X347" s="5" t="str">
        <f aca="false">IF(A347="","",IF(W347&lt;&gt;"",W347,V347))</f>
        <v/>
      </c>
      <c r="Y347" s="5" t="str">
        <f aca="false">IF(A347="","",IF(COUNTIFS($X$2:$X$2001,X347,$D$2:$D$2001,"&lt;&gt;"&amp;D347,$C$2:$C$2001,C347)&gt;0,"SIM","NAO"))</f>
        <v/>
      </c>
      <c r="Z347" s="5" t="str">
        <f aca="false">IF(A347="","",IF(J347="","",IFERROR(360/J347,"")))</f>
        <v/>
      </c>
      <c r="AA347" s="5" t="str">
        <f aca="false">IF(A347="","",IF(H347=0,"Parado (sem venda 90d)",IF(Z347&gt;12,"Alto (&gt;12x/ano)",IF(Z347&gt;=4,"Medio (4-12x/ano)","Baixo (&lt;4x/ano)"))))</f>
        <v/>
      </c>
    </row>
    <row r="348" customFormat="false" ht="15" hidden="false" customHeight="true" outlineLevel="0" collapsed="false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18"/>
      <c r="L348" s="19" t="str">
        <f aca="false">IF(A348="","",G348*K348)</f>
        <v/>
      </c>
      <c r="M348" s="20"/>
      <c r="N348" s="6"/>
      <c r="O348" s="6"/>
      <c r="P348" s="5" t="str">
        <f aca="false">IF(A348="","",H348/90)</f>
        <v/>
      </c>
      <c r="Q348" s="5" t="str">
        <f aca="false">IF(A348="","",IFERROR(INDEX(Parâmetros!$C$6:$C$10,MATCH(F348,Parâmetros!$B$6:$B$10,0)),""))</f>
        <v/>
      </c>
      <c r="R348" s="5" t="str">
        <f aca="false">IF(OR(A348="",P348="",Q348=""),"",P348*Q348)</f>
        <v/>
      </c>
      <c r="S348" s="5" t="str">
        <f aca="false">IF(R348="","",MAX(0,R348-G348))</f>
        <v/>
      </c>
      <c r="T348" s="21" t="str">
        <f aca="false">IF(S348="","",S348*K348)</f>
        <v/>
      </c>
      <c r="U348" s="5" t="str">
        <f aca="false">IF(A348="","",IF(J348&gt;Parâmetros!$C$14,"SIM","NAO"))</f>
        <v/>
      </c>
      <c r="V348" s="5" t="str">
        <f aca="false">IF(B348="","",TRIM(LEFT(B348,IFERROR(FIND(" ",B348)-1,LEN(B348)))))</f>
        <v/>
      </c>
      <c r="W348" s="22"/>
      <c r="X348" s="5" t="str">
        <f aca="false">IF(A348="","",IF(W348&lt;&gt;"",W348,V348))</f>
        <v/>
      </c>
      <c r="Y348" s="5" t="str">
        <f aca="false">IF(A348="","",IF(COUNTIFS($X$2:$X$2001,X348,$D$2:$D$2001,"&lt;&gt;"&amp;D348,$C$2:$C$2001,C348)&gt;0,"SIM","NAO"))</f>
        <v/>
      </c>
      <c r="Z348" s="5" t="str">
        <f aca="false">IF(A348="","",IF(J348="","",IFERROR(360/J348,"")))</f>
        <v/>
      </c>
      <c r="AA348" s="5" t="str">
        <f aca="false">IF(A348="","",IF(H348=0,"Parado (sem venda 90d)",IF(Z348&gt;12,"Alto (&gt;12x/ano)",IF(Z348&gt;=4,"Medio (4-12x/ano)","Baixo (&lt;4x/ano)"))))</f>
        <v/>
      </c>
    </row>
    <row r="349" customFormat="false" ht="15" hidden="false" customHeight="true" outlineLevel="0" collapsed="false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18"/>
      <c r="L349" s="19" t="str">
        <f aca="false">IF(A349="","",G349*K349)</f>
        <v/>
      </c>
      <c r="M349" s="20"/>
      <c r="N349" s="6"/>
      <c r="O349" s="6"/>
      <c r="P349" s="5" t="str">
        <f aca="false">IF(A349="","",H349/90)</f>
        <v/>
      </c>
      <c r="Q349" s="5" t="str">
        <f aca="false">IF(A349="","",IFERROR(INDEX(Parâmetros!$C$6:$C$10,MATCH(F349,Parâmetros!$B$6:$B$10,0)),""))</f>
        <v/>
      </c>
      <c r="R349" s="5" t="str">
        <f aca="false">IF(OR(A349="",P349="",Q349=""),"",P349*Q349)</f>
        <v/>
      </c>
      <c r="S349" s="5" t="str">
        <f aca="false">IF(R349="","",MAX(0,R349-G349))</f>
        <v/>
      </c>
      <c r="T349" s="21" t="str">
        <f aca="false">IF(S349="","",S349*K349)</f>
        <v/>
      </c>
      <c r="U349" s="5" t="str">
        <f aca="false">IF(A349="","",IF(J349&gt;Parâmetros!$C$14,"SIM","NAO"))</f>
        <v/>
      </c>
      <c r="V349" s="5" t="str">
        <f aca="false">IF(B349="","",TRIM(LEFT(B349,IFERROR(FIND(" ",B349)-1,LEN(B349)))))</f>
        <v/>
      </c>
      <c r="W349" s="22"/>
      <c r="X349" s="5" t="str">
        <f aca="false">IF(A349="","",IF(W349&lt;&gt;"",W349,V349))</f>
        <v/>
      </c>
      <c r="Y349" s="5" t="str">
        <f aca="false">IF(A349="","",IF(COUNTIFS($X$2:$X$2001,X349,$D$2:$D$2001,"&lt;&gt;"&amp;D349,$C$2:$C$2001,C349)&gt;0,"SIM","NAO"))</f>
        <v/>
      </c>
      <c r="Z349" s="5" t="str">
        <f aca="false">IF(A349="","",IF(J349="","",IFERROR(360/J349,"")))</f>
        <v/>
      </c>
      <c r="AA349" s="5" t="str">
        <f aca="false">IF(A349="","",IF(H349=0,"Parado (sem venda 90d)",IF(Z349&gt;12,"Alto (&gt;12x/ano)",IF(Z349&gt;=4,"Medio (4-12x/ano)","Baixo (&lt;4x/ano)"))))</f>
        <v/>
      </c>
    </row>
    <row r="350" customFormat="false" ht="15" hidden="false" customHeight="true" outlineLevel="0" collapsed="false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18"/>
      <c r="L350" s="19" t="str">
        <f aca="false">IF(A350="","",G350*K350)</f>
        <v/>
      </c>
      <c r="M350" s="20"/>
      <c r="N350" s="6"/>
      <c r="O350" s="6"/>
      <c r="P350" s="5" t="str">
        <f aca="false">IF(A350="","",H350/90)</f>
        <v/>
      </c>
      <c r="Q350" s="5" t="str">
        <f aca="false">IF(A350="","",IFERROR(INDEX(Parâmetros!$C$6:$C$10,MATCH(F350,Parâmetros!$B$6:$B$10,0)),""))</f>
        <v/>
      </c>
      <c r="R350" s="5" t="str">
        <f aca="false">IF(OR(A350="",P350="",Q350=""),"",P350*Q350)</f>
        <v/>
      </c>
      <c r="S350" s="5" t="str">
        <f aca="false">IF(R350="","",MAX(0,R350-G350))</f>
        <v/>
      </c>
      <c r="T350" s="21" t="str">
        <f aca="false">IF(S350="","",S350*K350)</f>
        <v/>
      </c>
      <c r="U350" s="5" t="str">
        <f aca="false">IF(A350="","",IF(J350&gt;Parâmetros!$C$14,"SIM","NAO"))</f>
        <v/>
      </c>
      <c r="V350" s="5" t="str">
        <f aca="false">IF(B350="","",TRIM(LEFT(B350,IFERROR(FIND(" ",B350)-1,LEN(B350)))))</f>
        <v/>
      </c>
      <c r="W350" s="22"/>
      <c r="X350" s="5" t="str">
        <f aca="false">IF(A350="","",IF(W350&lt;&gt;"",W350,V350))</f>
        <v/>
      </c>
      <c r="Y350" s="5" t="str">
        <f aca="false">IF(A350="","",IF(COUNTIFS($X$2:$X$2001,X350,$D$2:$D$2001,"&lt;&gt;"&amp;D350,$C$2:$C$2001,C350)&gt;0,"SIM","NAO"))</f>
        <v/>
      </c>
      <c r="Z350" s="5" t="str">
        <f aca="false">IF(A350="","",IF(J350="","",IFERROR(360/J350,"")))</f>
        <v/>
      </c>
      <c r="AA350" s="5" t="str">
        <f aca="false">IF(A350="","",IF(H350=0,"Parado (sem venda 90d)",IF(Z350&gt;12,"Alto (&gt;12x/ano)",IF(Z350&gt;=4,"Medio (4-12x/ano)","Baixo (&lt;4x/ano)"))))</f>
        <v/>
      </c>
    </row>
    <row r="351" customFormat="false" ht="15" hidden="false" customHeight="true" outlineLevel="0" collapsed="false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18"/>
      <c r="L351" s="19" t="str">
        <f aca="false">IF(A351="","",G351*K351)</f>
        <v/>
      </c>
      <c r="M351" s="20"/>
      <c r="N351" s="6"/>
      <c r="O351" s="6"/>
      <c r="P351" s="5" t="str">
        <f aca="false">IF(A351="","",H351/90)</f>
        <v/>
      </c>
      <c r="Q351" s="5" t="str">
        <f aca="false">IF(A351="","",IFERROR(INDEX(Parâmetros!$C$6:$C$10,MATCH(F351,Parâmetros!$B$6:$B$10,0)),""))</f>
        <v/>
      </c>
      <c r="R351" s="5" t="str">
        <f aca="false">IF(OR(A351="",P351="",Q351=""),"",P351*Q351)</f>
        <v/>
      </c>
      <c r="S351" s="5" t="str">
        <f aca="false">IF(R351="","",MAX(0,R351-G351))</f>
        <v/>
      </c>
      <c r="T351" s="21" t="str">
        <f aca="false">IF(S351="","",S351*K351)</f>
        <v/>
      </c>
      <c r="U351" s="5" t="str">
        <f aca="false">IF(A351="","",IF(J351&gt;Parâmetros!$C$14,"SIM","NAO"))</f>
        <v/>
      </c>
      <c r="V351" s="5" t="str">
        <f aca="false">IF(B351="","",TRIM(LEFT(B351,IFERROR(FIND(" ",B351)-1,LEN(B351)))))</f>
        <v/>
      </c>
      <c r="W351" s="22"/>
      <c r="X351" s="5" t="str">
        <f aca="false">IF(A351="","",IF(W351&lt;&gt;"",W351,V351))</f>
        <v/>
      </c>
      <c r="Y351" s="5" t="str">
        <f aca="false">IF(A351="","",IF(COUNTIFS($X$2:$X$2001,X351,$D$2:$D$2001,"&lt;&gt;"&amp;D351,$C$2:$C$2001,C351)&gt;0,"SIM","NAO"))</f>
        <v/>
      </c>
      <c r="Z351" s="5" t="str">
        <f aca="false">IF(A351="","",IF(J351="","",IFERROR(360/J351,"")))</f>
        <v/>
      </c>
      <c r="AA351" s="5" t="str">
        <f aca="false">IF(A351="","",IF(H351=0,"Parado (sem venda 90d)",IF(Z351&gt;12,"Alto (&gt;12x/ano)",IF(Z351&gt;=4,"Medio (4-12x/ano)","Baixo (&lt;4x/ano)"))))</f>
        <v/>
      </c>
    </row>
    <row r="352" customFormat="false" ht="15" hidden="false" customHeight="true" outlineLevel="0" collapsed="false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18"/>
      <c r="L352" s="19" t="str">
        <f aca="false">IF(A352="","",G352*K352)</f>
        <v/>
      </c>
      <c r="M352" s="20"/>
      <c r="N352" s="6"/>
      <c r="O352" s="6"/>
      <c r="P352" s="5" t="str">
        <f aca="false">IF(A352="","",H352/90)</f>
        <v/>
      </c>
      <c r="Q352" s="5" t="str">
        <f aca="false">IF(A352="","",IFERROR(INDEX(Parâmetros!$C$6:$C$10,MATCH(F352,Parâmetros!$B$6:$B$10,0)),""))</f>
        <v/>
      </c>
      <c r="R352" s="5" t="str">
        <f aca="false">IF(OR(A352="",P352="",Q352=""),"",P352*Q352)</f>
        <v/>
      </c>
      <c r="S352" s="5" t="str">
        <f aca="false">IF(R352="","",MAX(0,R352-G352))</f>
        <v/>
      </c>
      <c r="T352" s="21" t="str">
        <f aca="false">IF(S352="","",S352*K352)</f>
        <v/>
      </c>
      <c r="U352" s="5" t="str">
        <f aca="false">IF(A352="","",IF(J352&gt;Parâmetros!$C$14,"SIM","NAO"))</f>
        <v/>
      </c>
      <c r="V352" s="5" t="str">
        <f aca="false">IF(B352="","",TRIM(LEFT(B352,IFERROR(FIND(" ",B352)-1,LEN(B352)))))</f>
        <v/>
      </c>
      <c r="W352" s="22"/>
      <c r="X352" s="5" t="str">
        <f aca="false">IF(A352="","",IF(W352&lt;&gt;"",W352,V352))</f>
        <v/>
      </c>
      <c r="Y352" s="5" t="str">
        <f aca="false">IF(A352="","",IF(COUNTIFS($X$2:$X$2001,X352,$D$2:$D$2001,"&lt;&gt;"&amp;D352,$C$2:$C$2001,C352)&gt;0,"SIM","NAO"))</f>
        <v/>
      </c>
      <c r="Z352" s="5" t="str">
        <f aca="false">IF(A352="","",IF(J352="","",IFERROR(360/J352,"")))</f>
        <v/>
      </c>
      <c r="AA352" s="5" t="str">
        <f aca="false">IF(A352="","",IF(H352=0,"Parado (sem venda 90d)",IF(Z352&gt;12,"Alto (&gt;12x/ano)",IF(Z352&gt;=4,"Medio (4-12x/ano)","Baixo (&lt;4x/ano)"))))</f>
        <v/>
      </c>
    </row>
    <row r="353" customFormat="false" ht="15" hidden="false" customHeight="true" outlineLevel="0" collapsed="false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18"/>
      <c r="L353" s="19" t="str">
        <f aca="false">IF(A353="","",G353*K353)</f>
        <v/>
      </c>
      <c r="M353" s="20"/>
      <c r="N353" s="6"/>
      <c r="O353" s="6"/>
      <c r="P353" s="5" t="str">
        <f aca="false">IF(A353="","",H353/90)</f>
        <v/>
      </c>
      <c r="Q353" s="5" t="str">
        <f aca="false">IF(A353="","",IFERROR(INDEX(Parâmetros!$C$6:$C$10,MATCH(F353,Parâmetros!$B$6:$B$10,0)),""))</f>
        <v/>
      </c>
      <c r="R353" s="5" t="str">
        <f aca="false">IF(OR(A353="",P353="",Q353=""),"",P353*Q353)</f>
        <v/>
      </c>
      <c r="S353" s="5" t="str">
        <f aca="false">IF(R353="","",MAX(0,R353-G353))</f>
        <v/>
      </c>
      <c r="T353" s="21" t="str">
        <f aca="false">IF(S353="","",S353*K353)</f>
        <v/>
      </c>
      <c r="U353" s="5" t="str">
        <f aca="false">IF(A353="","",IF(J353&gt;Parâmetros!$C$14,"SIM","NAO"))</f>
        <v/>
      </c>
      <c r="V353" s="5" t="str">
        <f aca="false">IF(B353="","",TRIM(LEFT(B353,IFERROR(FIND(" ",B353)-1,LEN(B353)))))</f>
        <v/>
      </c>
      <c r="W353" s="22"/>
      <c r="X353" s="5" t="str">
        <f aca="false">IF(A353="","",IF(W353&lt;&gt;"",W353,V353))</f>
        <v/>
      </c>
      <c r="Y353" s="5" t="str">
        <f aca="false">IF(A353="","",IF(COUNTIFS($X$2:$X$2001,X353,$D$2:$D$2001,"&lt;&gt;"&amp;D353,$C$2:$C$2001,C353)&gt;0,"SIM","NAO"))</f>
        <v/>
      </c>
      <c r="Z353" s="5" t="str">
        <f aca="false">IF(A353="","",IF(J353="","",IFERROR(360/J353,"")))</f>
        <v/>
      </c>
      <c r="AA353" s="5" t="str">
        <f aca="false">IF(A353="","",IF(H353=0,"Parado (sem venda 90d)",IF(Z353&gt;12,"Alto (&gt;12x/ano)",IF(Z353&gt;=4,"Medio (4-12x/ano)","Baixo (&lt;4x/ano)"))))</f>
        <v/>
      </c>
    </row>
    <row r="354" customFormat="false" ht="15" hidden="false" customHeight="true" outlineLevel="0" collapsed="false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18"/>
      <c r="L354" s="19" t="str">
        <f aca="false">IF(A354="","",G354*K354)</f>
        <v/>
      </c>
      <c r="M354" s="20"/>
      <c r="N354" s="6"/>
      <c r="O354" s="6"/>
      <c r="P354" s="5" t="str">
        <f aca="false">IF(A354="","",H354/90)</f>
        <v/>
      </c>
      <c r="Q354" s="5" t="str">
        <f aca="false">IF(A354="","",IFERROR(INDEX(Parâmetros!$C$6:$C$10,MATCH(F354,Parâmetros!$B$6:$B$10,0)),""))</f>
        <v/>
      </c>
      <c r="R354" s="5" t="str">
        <f aca="false">IF(OR(A354="",P354="",Q354=""),"",P354*Q354)</f>
        <v/>
      </c>
      <c r="S354" s="5" t="str">
        <f aca="false">IF(R354="","",MAX(0,R354-G354))</f>
        <v/>
      </c>
      <c r="T354" s="21" t="str">
        <f aca="false">IF(S354="","",S354*K354)</f>
        <v/>
      </c>
      <c r="U354" s="5" t="str">
        <f aca="false">IF(A354="","",IF(J354&gt;Parâmetros!$C$14,"SIM","NAO"))</f>
        <v/>
      </c>
      <c r="V354" s="5" t="str">
        <f aca="false">IF(B354="","",TRIM(LEFT(B354,IFERROR(FIND(" ",B354)-1,LEN(B354)))))</f>
        <v/>
      </c>
      <c r="W354" s="22"/>
      <c r="X354" s="5" t="str">
        <f aca="false">IF(A354="","",IF(W354&lt;&gt;"",W354,V354))</f>
        <v/>
      </c>
      <c r="Y354" s="5" t="str">
        <f aca="false">IF(A354="","",IF(COUNTIFS($X$2:$X$2001,X354,$D$2:$D$2001,"&lt;&gt;"&amp;D354,$C$2:$C$2001,C354)&gt;0,"SIM","NAO"))</f>
        <v/>
      </c>
      <c r="Z354" s="5" t="str">
        <f aca="false">IF(A354="","",IF(J354="","",IFERROR(360/J354,"")))</f>
        <v/>
      </c>
      <c r="AA354" s="5" t="str">
        <f aca="false">IF(A354="","",IF(H354=0,"Parado (sem venda 90d)",IF(Z354&gt;12,"Alto (&gt;12x/ano)",IF(Z354&gt;=4,"Medio (4-12x/ano)","Baixo (&lt;4x/ano)"))))</f>
        <v/>
      </c>
    </row>
    <row r="355" customFormat="false" ht="15" hidden="false" customHeight="true" outlineLevel="0" collapsed="false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18"/>
      <c r="L355" s="19" t="str">
        <f aca="false">IF(A355="","",G355*K355)</f>
        <v/>
      </c>
      <c r="M355" s="20"/>
      <c r="N355" s="6"/>
      <c r="O355" s="6"/>
      <c r="P355" s="5" t="str">
        <f aca="false">IF(A355="","",H355/90)</f>
        <v/>
      </c>
      <c r="Q355" s="5" t="str">
        <f aca="false">IF(A355="","",IFERROR(INDEX(Parâmetros!$C$6:$C$10,MATCH(F355,Parâmetros!$B$6:$B$10,0)),""))</f>
        <v/>
      </c>
      <c r="R355" s="5" t="str">
        <f aca="false">IF(OR(A355="",P355="",Q355=""),"",P355*Q355)</f>
        <v/>
      </c>
      <c r="S355" s="5" t="str">
        <f aca="false">IF(R355="","",MAX(0,R355-G355))</f>
        <v/>
      </c>
      <c r="T355" s="21" t="str">
        <f aca="false">IF(S355="","",S355*K355)</f>
        <v/>
      </c>
      <c r="U355" s="5" t="str">
        <f aca="false">IF(A355="","",IF(J355&gt;Parâmetros!$C$14,"SIM","NAO"))</f>
        <v/>
      </c>
      <c r="V355" s="5" t="str">
        <f aca="false">IF(B355="","",TRIM(LEFT(B355,IFERROR(FIND(" ",B355)-1,LEN(B355)))))</f>
        <v/>
      </c>
      <c r="W355" s="22"/>
      <c r="X355" s="5" t="str">
        <f aca="false">IF(A355="","",IF(W355&lt;&gt;"",W355,V355))</f>
        <v/>
      </c>
      <c r="Y355" s="5" t="str">
        <f aca="false">IF(A355="","",IF(COUNTIFS($X$2:$X$2001,X355,$D$2:$D$2001,"&lt;&gt;"&amp;D355,$C$2:$C$2001,C355)&gt;0,"SIM","NAO"))</f>
        <v/>
      </c>
      <c r="Z355" s="5" t="str">
        <f aca="false">IF(A355="","",IF(J355="","",IFERROR(360/J355,"")))</f>
        <v/>
      </c>
      <c r="AA355" s="5" t="str">
        <f aca="false">IF(A355="","",IF(H355=0,"Parado (sem venda 90d)",IF(Z355&gt;12,"Alto (&gt;12x/ano)",IF(Z355&gt;=4,"Medio (4-12x/ano)","Baixo (&lt;4x/ano)"))))</f>
        <v/>
      </c>
    </row>
    <row r="356" customFormat="false" ht="15" hidden="false" customHeight="true" outlineLevel="0" collapsed="false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18"/>
      <c r="L356" s="19" t="str">
        <f aca="false">IF(A356="","",G356*K356)</f>
        <v/>
      </c>
      <c r="M356" s="20"/>
      <c r="N356" s="6"/>
      <c r="O356" s="6"/>
      <c r="P356" s="5" t="str">
        <f aca="false">IF(A356="","",H356/90)</f>
        <v/>
      </c>
      <c r="Q356" s="5" t="str">
        <f aca="false">IF(A356="","",IFERROR(INDEX(Parâmetros!$C$6:$C$10,MATCH(F356,Parâmetros!$B$6:$B$10,0)),""))</f>
        <v/>
      </c>
      <c r="R356" s="5" t="str">
        <f aca="false">IF(OR(A356="",P356="",Q356=""),"",P356*Q356)</f>
        <v/>
      </c>
      <c r="S356" s="5" t="str">
        <f aca="false">IF(R356="","",MAX(0,R356-G356))</f>
        <v/>
      </c>
      <c r="T356" s="21" t="str">
        <f aca="false">IF(S356="","",S356*K356)</f>
        <v/>
      </c>
      <c r="U356" s="5" t="str">
        <f aca="false">IF(A356="","",IF(J356&gt;Parâmetros!$C$14,"SIM","NAO"))</f>
        <v/>
      </c>
      <c r="V356" s="5" t="str">
        <f aca="false">IF(B356="","",TRIM(LEFT(B356,IFERROR(FIND(" ",B356)-1,LEN(B356)))))</f>
        <v/>
      </c>
      <c r="W356" s="22"/>
      <c r="X356" s="5" t="str">
        <f aca="false">IF(A356="","",IF(W356&lt;&gt;"",W356,V356))</f>
        <v/>
      </c>
      <c r="Y356" s="5" t="str">
        <f aca="false">IF(A356="","",IF(COUNTIFS($X$2:$X$2001,X356,$D$2:$D$2001,"&lt;&gt;"&amp;D356,$C$2:$C$2001,C356)&gt;0,"SIM","NAO"))</f>
        <v/>
      </c>
      <c r="Z356" s="5" t="str">
        <f aca="false">IF(A356="","",IF(J356="","",IFERROR(360/J356,"")))</f>
        <v/>
      </c>
      <c r="AA356" s="5" t="str">
        <f aca="false">IF(A356="","",IF(H356=0,"Parado (sem venda 90d)",IF(Z356&gt;12,"Alto (&gt;12x/ano)",IF(Z356&gt;=4,"Medio (4-12x/ano)","Baixo (&lt;4x/ano)"))))</f>
        <v/>
      </c>
    </row>
    <row r="357" customFormat="false" ht="15" hidden="false" customHeight="true" outlineLevel="0" collapsed="false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18"/>
      <c r="L357" s="19" t="str">
        <f aca="false">IF(A357="","",G357*K357)</f>
        <v/>
      </c>
      <c r="M357" s="20"/>
      <c r="N357" s="6"/>
      <c r="O357" s="6"/>
      <c r="P357" s="5" t="str">
        <f aca="false">IF(A357="","",H357/90)</f>
        <v/>
      </c>
      <c r="Q357" s="5" t="str">
        <f aca="false">IF(A357="","",IFERROR(INDEX(Parâmetros!$C$6:$C$10,MATCH(F357,Parâmetros!$B$6:$B$10,0)),""))</f>
        <v/>
      </c>
      <c r="R357" s="5" t="str">
        <f aca="false">IF(OR(A357="",P357="",Q357=""),"",P357*Q357)</f>
        <v/>
      </c>
      <c r="S357" s="5" t="str">
        <f aca="false">IF(R357="","",MAX(0,R357-G357))</f>
        <v/>
      </c>
      <c r="T357" s="21" t="str">
        <f aca="false">IF(S357="","",S357*K357)</f>
        <v/>
      </c>
      <c r="U357" s="5" t="str">
        <f aca="false">IF(A357="","",IF(J357&gt;Parâmetros!$C$14,"SIM","NAO"))</f>
        <v/>
      </c>
      <c r="V357" s="5" t="str">
        <f aca="false">IF(B357="","",TRIM(LEFT(B357,IFERROR(FIND(" ",B357)-1,LEN(B357)))))</f>
        <v/>
      </c>
      <c r="W357" s="22"/>
      <c r="X357" s="5" t="str">
        <f aca="false">IF(A357="","",IF(W357&lt;&gt;"",W357,V357))</f>
        <v/>
      </c>
      <c r="Y357" s="5" t="str">
        <f aca="false">IF(A357="","",IF(COUNTIFS($X$2:$X$2001,X357,$D$2:$D$2001,"&lt;&gt;"&amp;D357,$C$2:$C$2001,C357)&gt;0,"SIM","NAO"))</f>
        <v/>
      </c>
      <c r="Z357" s="5" t="str">
        <f aca="false">IF(A357="","",IF(J357="","",IFERROR(360/J357,"")))</f>
        <v/>
      </c>
      <c r="AA357" s="5" t="str">
        <f aca="false">IF(A357="","",IF(H357=0,"Parado (sem venda 90d)",IF(Z357&gt;12,"Alto (&gt;12x/ano)",IF(Z357&gt;=4,"Medio (4-12x/ano)","Baixo (&lt;4x/ano)"))))</f>
        <v/>
      </c>
    </row>
    <row r="358" customFormat="false" ht="15" hidden="false" customHeight="true" outlineLevel="0" collapsed="false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18"/>
      <c r="L358" s="19" t="str">
        <f aca="false">IF(A358="","",G358*K358)</f>
        <v/>
      </c>
      <c r="M358" s="20"/>
      <c r="N358" s="6"/>
      <c r="O358" s="6"/>
      <c r="P358" s="5" t="str">
        <f aca="false">IF(A358="","",H358/90)</f>
        <v/>
      </c>
      <c r="Q358" s="5" t="str">
        <f aca="false">IF(A358="","",IFERROR(INDEX(Parâmetros!$C$6:$C$10,MATCH(F358,Parâmetros!$B$6:$B$10,0)),""))</f>
        <v/>
      </c>
      <c r="R358" s="5" t="str">
        <f aca="false">IF(OR(A358="",P358="",Q358=""),"",P358*Q358)</f>
        <v/>
      </c>
      <c r="S358" s="5" t="str">
        <f aca="false">IF(R358="","",MAX(0,R358-G358))</f>
        <v/>
      </c>
      <c r="T358" s="21" t="str">
        <f aca="false">IF(S358="","",S358*K358)</f>
        <v/>
      </c>
      <c r="U358" s="5" t="str">
        <f aca="false">IF(A358="","",IF(J358&gt;Parâmetros!$C$14,"SIM","NAO"))</f>
        <v/>
      </c>
      <c r="V358" s="5" t="str">
        <f aca="false">IF(B358="","",TRIM(LEFT(B358,IFERROR(FIND(" ",B358)-1,LEN(B358)))))</f>
        <v/>
      </c>
      <c r="W358" s="22"/>
      <c r="X358" s="5" t="str">
        <f aca="false">IF(A358="","",IF(W358&lt;&gt;"",W358,V358))</f>
        <v/>
      </c>
      <c r="Y358" s="5" t="str">
        <f aca="false">IF(A358="","",IF(COUNTIFS($X$2:$X$2001,X358,$D$2:$D$2001,"&lt;&gt;"&amp;D358,$C$2:$C$2001,C358)&gt;0,"SIM","NAO"))</f>
        <v/>
      </c>
      <c r="Z358" s="5" t="str">
        <f aca="false">IF(A358="","",IF(J358="","",IFERROR(360/J358,"")))</f>
        <v/>
      </c>
      <c r="AA358" s="5" t="str">
        <f aca="false">IF(A358="","",IF(H358=0,"Parado (sem venda 90d)",IF(Z358&gt;12,"Alto (&gt;12x/ano)",IF(Z358&gt;=4,"Medio (4-12x/ano)","Baixo (&lt;4x/ano)"))))</f>
        <v/>
      </c>
    </row>
    <row r="359" customFormat="false" ht="15" hidden="false" customHeight="true" outlineLevel="0" collapsed="false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18"/>
      <c r="L359" s="19" t="str">
        <f aca="false">IF(A359="","",G359*K359)</f>
        <v/>
      </c>
      <c r="M359" s="20"/>
      <c r="N359" s="6"/>
      <c r="O359" s="6"/>
      <c r="P359" s="5" t="str">
        <f aca="false">IF(A359="","",H359/90)</f>
        <v/>
      </c>
      <c r="Q359" s="5" t="str">
        <f aca="false">IF(A359="","",IFERROR(INDEX(Parâmetros!$C$6:$C$10,MATCH(F359,Parâmetros!$B$6:$B$10,0)),""))</f>
        <v/>
      </c>
      <c r="R359" s="5" t="str">
        <f aca="false">IF(OR(A359="",P359="",Q359=""),"",P359*Q359)</f>
        <v/>
      </c>
      <c r="S359" s="5" t="str">
        <f aca="false">IF(R359="","",MAX(0,R359-G359))</f>
        <v/>
      </c>
      <c r="T359" s="21" t="str">
        <f aca="false">IF(S359="","",S359*K359)</f>
        <v/>
      </c>
      <c r="U359" s="5" t="str">
        <f aca="false">IF(A359="","",IF(J359&gt;Parâmetros!$C$14,"SIM","NAO"))</f>
        <v/>
      </c>
      <c r="V359" s="5" t="str">
        <f aca="false">IF(B359="","",TRIM(LEFT(B359,IFERROR(FIND(" ",B359)-1,LEN(B359)))))</f>
        <v/>
      </c>
      <c r="W359" s="22"/>
      <c r="X359" s="5" t="str">
        <f aca="false">IF(A359="","",IF(W359&lt;&gt;"",W359,V359))</f>
        <v/>
      </c>
      <c r="Y359" s="5" t="str">
        <f aca="false">IF(A359="","",IF(COUNTIFS($X$2:$X$2001,X359,$D$2:$D$2001,"&lt;&gt;"&amp;D359,$C$2:$C$2001,C359)&gt;0,"SIM","NAO"))</f>
        <v/>
      </c>
      <c r="Z359" s="5" t="str">
        <f aca="false">IF(A359="","",IF(J359="","",IFERROR(360/J359,"")))</f>
        <v/>
      </c>
      <c r="AA359" s="5" t="str">
        <f aca="false">IF(A359="","",IF(H359=0,"Parado (sem venda 90d)",IF(Z359&gt;12,"Alto (&gt;12x/ano)",IF(Z359&gt;=4,"Medio (4-12x/ano)","Baixo (&lt;4x/ano)"))))</f>
        <v/>
      </c>
    </row>
    <row r="360" customFormat="false" ht="15" hidden="false" customHeight="true" outlineLevel="0" collapsed="false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18"/>
      <c r="L360" s="19" t="str">
        <f aca="false">IF(A360="","",G360*K360)</f>
        <v/>
      </c>
      <c r="M360" s="20"/>
      <c r="N360" s="6"/>
      <c r="O360" s="6"/>
      <c r="P360" s="5" t="str">
        <f aca="false">IF(A360="","",H360/90)</f>
        <v/>
      </c>
      <c r="Q360" s="5" t="str">
        <f aca="false">IF(A360="","",IFERROR(INDEX(Parâmetros!$C$6:$C$10,MATCH(F360,Parâmetros!$B$6:$B$10,0)),""))</f>
        <v/>
      </c>
      <c r="R360" s="5" t="str">
        <f aca="false">IF(OR(A360="",P360="",Q360=""),"",P360*Q360)</f>
        <v/>
      </c>
      <c r="S360" s="5" t="str">
        <f aca="false">IF(R360="","",MAX(0,R360-G360))</f>
        <v/>
      </c>
      <c r="T360" s="21" t="str">
        <f aca="false">IF(S360="","",S360*K360)</f>
        <v/>
      </c>
      <c r="U360" s="5" t="str">
        <f aca="false">IF(A360="","",IF(J360&gt;Parâmetros!$C$14,"SIM","NAO"))</f>
        <v/>
      </c>
      <c r="V360" s="5" t="str">
        <f aca="false">IF(B360="","",TRIM(LEFT(B360,IFERROR(FIND(" ",B360)-1,LEN(B360)))))</f>
        <v/>
      </c>
      <c r="W360" s="22"/>
      <c r="X360" s="5" t="str">
        <f aca="false">IF(A360="","",IF(W360&lt;&gt;"",W360,V360))</f>
        <v/>
      </c>
      <c r="Y360" s="5" t="str">
        <f aca="false">IF(A360="","",IF(COUNTIFS($X$2:$X$2001,X360,$D$2:$D$2001,"&lt;&gt;"&amp;D360,$C$2:$C$2001,C360)&gt;0,"SIM","NAO"))</f>
        <v/>
      </c>
      <c r="Z360" s="5" t="str">
        <f aca="false">IF(A360="","",IF(J360="","",IFERROR(360/J360,"")))</f>
        <v/>
      </c>
      <c r="AA360" s="5" t="str">
        <f aca="false">IF(A360="","",IF(H360=0,"Parado (sem venda 90d)",IF(Z360&gt;12,"Alto (&gt;12x/ano)",IF(Z360&gt;=4,"Medio (4-12x/ano)","Baixo (&lt;4x/ano)"))))</f>
        <v/>
      </c>
    </row>
    <row r="361" customFormat="false" ht="15" hidden="false" customHeight="true" outlineLevel="0" collapsed="false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18"/>
      <c r="L361" s="19" t="str">
        <f aca="false">IF(A361="","",G361*K361)</f>
        <v/>
      </c>
      <c r="M361" s="20"/>
      <c r="N361" s="6"/>
      <c r="O361" s="6"/>
      <c r="P361" s="5" t="str">
        <f aca="false">IF(A361="","",H361/90)</f>
        <v/>
      </c>
      <c r="Q361" s="5" t="str">
        <f aca="false">IF(A361="","",IFERROR(INDEX(Parâmetros!$C$6:$C$10,MATCH(F361,Parâmetros!$B$6:$B$10,0)),""))</f>
        <v/>
      </c>
      <c r="R361" s="5" t="str">
        <f aca="false">IF(OR(A361="",P361="",Q361=""),"",P361*Q361)</f>
        <v/>
      </c>
      <c r="S361" s="5" t="str">
        <f aca="false">IF(R361="","",MAX(0,R361-G361))</f>
        <v/>
      </c>
      <c r="T361" s="21" t="str">
        <f aca="false">IF(S361="","",S361*K361)</f>
        <v/>
      </c>
      <c r="U361" s="5" t="str">
        <f aca="false">IF(A361="","",IF(J361&gt;Parâmetros!$C$14,"SIM","NAO"))</f>
        <v/>
      </c>
      <c r="V361" s="5" t="str">
        <f aca="false">IF(B361="","",TRIM(LEFT(B361,IFERROR(FIND(" ",B361)-1,LEN(B361)))))</f>
        <v/>
      </c>
      <c r="W361" s="22"/>
      <c r="X361" s="5" t="str">
        <f aca="false">IF(A361="","",IF(W361&lt;&gt;"",W361,V361))</f>
        <v/>
      </c>
      <c r="Y361" s="5" t="str">
        <f aca="false">IF(A361="","",IF(COUNTIFS($X$2:$X$2001,X361,$D$2:$D$2001,"&lt;&gt;"&amp;D361,$C$2:$C$2001,C361)&gt;0,"SIM","NAO"))</f>
        <v/>
      </c>
      <c r="Z361" s="5" t="str">
        <f aca="false">IF(A361="","",IF(J361="","",IFERROR(360/J361,"")))</f>
        <v/>
      </c>
      <c r="AA361" s="5" t="str">
        <f aca="false">IF(A361="","",IF(H361=0,"Parado (sem venda 90d)",IF(Z361&gt;12,"Alto (&gt;12x/ano)",IF(Z361&gt;=4,"Medio (4-12x/ano)","Baixo (&lt;4x/ano)"))))</f>
        <v/>
      </c>
    </row>
    <row r="362" customFormat="false" ht="15" hidden="false" customHeight="true" outlineLevel="0" collapsed="false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18"/>
      <c r="L362" s="19" t="str">
        <f aca="false">IF(A362="","",G362*K362)</f>
        <v/>
      </c>
      <c r="M362" s="20"/>
      <c r="N362" s="6"/>
      <c r="O362" s="6"/>
      <c r="P362" s="5" t="str">
        <f aca="false">IF(A362="","",H362/90)</f>
        <v/>
      </c>
      <c r="Q362" s="5" t="str">
        <f aca="false">IF(A362="","",IFERROR(INDEX(Parâmetros!$C$6:$C$10,MATCH(F362,Parâmetros!$B$6:$B$10,0)),""))</f>
        <v/>
      </c>
      <c r="R362" s="5" t="str">
        <f aca="false">IF(OR(A362="",P362="",Q362=""),"",P362*Q362)</f>
        <v/>
      </c>
      <c r="S362" s="5" t="str">
        <f aca="false">IF(R362="","",MAX(0,R362-G362))</f>
        <v/>
      </c>
      <c r="T362" s="21" t="str">
        <f aca="false">IF(S362="","",S362*K362)</f>
        <v/>
      </c>
      <c r="U362" s="5" t="str">
        <f aca="false">IF(A362="","",IF(J362&gt;Parâmetros!$C$14,"SIM","NAO"))</f>
        <v/>
      </c>
      <c r="V362" s="5" t="str">
        <f aca="false">IF(B362="","",TRIM(LEFT(B362,IFERROR(FIND(" ",B362)-1,LEN(B362)))))</f>
        <v/>
      </c>
      <c r="W362" s="22"/>
      <c r="X362" s="5" t="str">
        <f aca="false">IF(A362="","",IF(W362&lt;&gt;"",W362,V362))</f>
        <v/>
      </c>
      <c r="Y362" s="5" t="str">
        <f aca="false">IF(A362="","",IF(COUNTIFS($X$2:$X$2001,X362,$D$2:$D$2001,"&lt;&gt;"&amp;D362,$C$2:$C$2001,C362)&gt;0,"SIM","NAO"))</f>
        <v/>
      </c>
      <c r="Z362" s="5" t="str">
        <f aca="false">IF(A362="","",IF(J362="","",IFERROR(360/J362,"")))</f>
        <v/>
      </c>
      <c r="AA362" s="5" t="str">
        <f aca="false">IF(A362="","",IF(H362=0,"Parado (sem venda 90d)",IF(Z362&gt;12,"Alto (&gt;12x/ano)",IF(Z362&gt;=4,"Medio (4-12x/ano)","Baixo (&lt;4x/ano)"))))</f>
        <v/>
      </c>
    </row>
    <row r="363" customFormat="false" ht="15" hidden="false" customHeight="true" outlineLevel="0" collapsed="false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18"/>
      <c r="L363" s="19" t="str">
        <f aca="false">IF(A363="","",G363*K363)</f>
        <v/>
      </c>
      <c r="M363" s="20"/>
      <c r="N363" s="6"/>
      <c r="O363" s="6"/>
      <c r="P363" s="5" t="str">
        <f aca="false">IF(A363="","",H363/90)</f>
        <v/>
      </c>
      <c r="Q363" s="5" t="str">
        <f aca="false">IF(A363="","",IFERROR(INDEX(Parâmetros!$C$6:$C$10,MATCH(F363,Parâmetros!$B$6:$B$10,0)),""))</f>
        <v/>
      </c>
      <c r="R363" s="5" t="str">
        <f aca="false">IF(OR(A363="",P363="",Q363=""),"",P363*Q363)</f>
        <v/>
      </c>
      <c r="S363" s="5" t="str">
        <f aca="false">IF(R363="","",MAX(0,R363-G363))</f>
        <v/>
      </c>
      <c r="T363" s="21" t="str">
        <f aca="false">IF(S363="","",S363*K363)</f>
        <v/>
      </c>
      <c r="U363" s="5" t="str">
        <f aca="false">IF(A363="","",IF(J363&gt;Parâmetros!$C$14,"SIM","NAO"))</f>
        <v/>
      </c>
      <c r="V363" s="5" t="str">
        <f aca="false">IF(B363="","",TRIM(LEFT(B363,IFERROR(FIND(" ",B363)-1,LEN(B363)))))</f>
        <v/>
      </c>
      <c r="W363" s="22"/>
      <c r="X363" s="5" t="str">
        <f aca="false">IF(A363="","",IF(W363&lt;&gt;"",W363,V363))</f>
        <v/>
      </c>
      <c r="Y363" s="5" t="str">
        <f aca="false">IF(A363="","",IF(COUNTIFS($X$2:$X$2001,X363,$D$2:$D$2001,"&lt;&gt;"&amp;D363,$C$2:$C$2001,C363)&gt;0,"SIM","NAO"))</f>
        <v/>
      </c>
      <c r="Z363" s="5" t="str">
        <f aca="false">IF(A363="","",IF(J363="","",IFERROR(360/J363,"")))</f>
        <v/>
      </c>
      <c r="AA363" s="5" t="str">
        <f aca="false">IF(A363="","",IF(H363=0,"Parado (sem venda 90d)",IF(Z363&gt;12,"Alto (&gt;12x/ano)",IF(Z363&gt;=4,"Medio (4-12x/ano)","Baixo (&lt;4x/ano)"))))</f>
        <v/>
      </c>
    </row>
    <row r="364" customFormat="false" ht="15" hidden="false" customHeight="true" outlineLevel="0" collapsed="false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18"/>
      <c r="L364" s="19" t="str">
        <f aca="false">IF(A364="","",G364*K364)</f>
        <v/>
      </c>
      <c r="M364" s="20"/>
      <c r="N364" s="6"/>
      <c r="O364" s="6"/>
      <c r="P364" s="5" t="str">
        <f aca="false">IF(A364="","",H364/90)</f>
        <v/>
      </c>
      <c r="Q364" s="5" t="str">
        <f aca="false">IF(A364="","",IFERROR(INDEX(Parâmetros!$C$6:$C$10,MATCH(F364,Parâmetros!$B$6:$B$10,0)),""))</f>
        <v/>
      </c>
      <c r="R364" s="5" t="str">
        <f aca="false">IF(OR(A364="",P364="",Q364=""),"",P364*Q364)</f>
        <v/>
      </c>
      <c r="S364" s="5" t="str">
        <f aca="false">IF(R364="","",MAX(0,R364-G364))</f>
        <v/>
      </c>
      <c r="T364" s="21" t="str">
        <f aca="false">IF(S364="","",S364*K364)</f>
        <v/>
      </c>
      <c r="U364" s="5" t="str">
        <f aca="false">IF(A364="","",IF(J364&gt;Parâmetros!$C$14,"SIM","NAO"))</f>
        <v/>
      </c>
      <c r="V364" s="5" t="str">
        <f aca="false">IF(B364="","",TRIM(LEFT(B364,IFERROR(FIND(" ",B364)-1,LEN(B364)))))</f>
        <v/>
      </c>
      <c r="W364" s="22"/>
      <c r="X364" s="5" t="str">
        <f aca="false">IF(A364="","",IF(W364&lt;&gt;"",W364,V364))</f>
        <v/>
      </c>
      <c r="Y364" s="5" t="str">
        <f aca="false">IF(A364="","",IF(COUNTIFS($X$2:$X$2001,X364,$D$2:$D$2001,"&lt;&gt;"&amp;D364,$C$2:$C$2001,C364)&gt;0,"SIM","NAO"))</f>
        <v/>
      </c>
      <c r="Z364" s="5" t="str">
        <f aca="false">IF(A364="","",IF(J364="","",IFERROR(360/J364,"")))</f>
        <v/>
      </c>
      <c r="AA364" s="5" t="str">
        <f aca="false">IF(A364="","",IF(H364=0,"Parado (sem venda 90d)",IF(Z364&gt;12,"Alto (&gt;12x/ano)",IF(Z364&gt;=4,"Medio (4-12x/ano)","Baixo (&lt;4x/ano)"))))</f>
        <v/>
      </c>
    </row>
    <row r="365" customFormat="false" ht="15" hidden="false" customHeight="true" outlineLevel="0" collapsed="false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18"/>
      <c r="L365" s="19" t="str">
        <f aca="false">IF(A365="","",G365*K365)</f>
        <v/>
      </c>
      <c r="M365" s="20"/>
      <c r="N365" s="6"/>
      <c r="O365" s="6"/>
      <c r="P365" s="5" t="str">
        <f aca="false">IF(A365="","",H365/90)</f>
        <v/>
      </c>
      <c r="Q365" s="5" t="str">
        <f aca="false">IF(A365="","",IFERROR(INDEX(Parâmetros!$C$6:$C$10,MATCH(F365,Parâmetros!$B$6:$B$10,0)),""))</f>
        <v/>
      </c>
      <c r="R365" s="5" t="str">
        <f aca="false">IF(OR(A365="",P365="",Q365=""),"",P365*Q365)</f>
        <v/>
      </c>
      <c r="S365" s="5" t="str">
        <f aca="false">IF(R365="","",MAX(0,R365-G365))</f>
        <v/>
      </c>
      <c r="T365" s="21" t="str">
        <f aca="false">IF(S365="","",S365*K365)</f>
        <v/>
      </c>
      <c r="U365" s="5" t="str">
        <f aca="false">IF(A365="","",IF(J365&gt;Parâmetros!$C$14,"SIM","NAO"))</f>
        <v/>
      </c>
      <c r="V365" s="5" t="str">
        <f aca="false">IF(B365="","",TRIM(LEFT(B365,IFERROR(FIND(" ",B365)-1,LEN(B365)))))</f>
        <v/>
      </c>
      <c r="W365" s="22"/>
      <c r="X365" s="5" t="str">
        <f aca="false">IF(A365="","",IF(W365&lt;&gt;"",W365,V365))</f>
        <v/>
      </c>
      <c r="Y365" s="5" t="str">
        <f aca="false">IF(A365="","",IF(COUNTIFS($X$2:$X$2001,X365,$D$2:$D$2001,"&lt;&gt;"&amp;D365,$C$2:$C$2001,C365)&gt;0,"SIM","NAO"))</f>
        <v/>
      </c>
      <c r="Z365" s="5" t="str">
        <f aca="false">IF(A365="","",IF(J365="","",IFERROR(360/J365,"")))</f>
        <v/>
      </c>
      <c r="AA365" s="5" t="str">
        <f aca="false">IF(A365="","",IF(H365=0,"Parado (sem venda 90d)",IF(Z365&gt;12,"Alto (&gt;12x/ano)",IF(Z365&gt;=4,"Medio (4-12x/ano)","Baixo (&lt;4x/ano)"))))</f>
        <v/>
      </c>
    </row>
    <row r="366" customFormat="false" ht="15" hidden="false" customHeight="true" outlineLevel="0" collapsed="false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18"/>
      <c r="L366" s="19" t="str">
        <f aca="false">IF(A366="","",G366*K366)</f>
        <v/>
      </c>
      <c r="M366" s="20"/>
      <c r="N366" s="6"/>
      <c r="O366" s="6"/>
      <c r="P366" s="5" t="str">
        <f aca="false">IF(A366="","",H366/90)</f>
        <v/>
      </c>
      <c r="Q366" s="5" t="str">
        <f aca="false">IF(A366="","",IFERROR(INDEX(Parâmetros!$C$6:$C$10,MATCH(F366,Parâmetros!$B$6:$B$10,0)),""))</f>
        <v/>
      </c>
      <c r="R366" s="5" t="str">
        <f aca="false">IF(OR(A366="",P366="",Q366=""),"",P366*Q366)</f>
        <v/>
      </c>
      <c r="S366" s="5" t="str">
        <f aca="false">IF(R366="","",MAX(0,R366-G366))</f>
        <v/>
      </c>
      <c r="T366" s="21" t="str">
        <f aca="false">IF(S366="","",S366*K366)</f>
        <v/>
      </c>
      <c r="U366" s="5" t="str">
        <f aca="false">IF(A366="","",IF(J366&gt;Parâmetros!$C$14,"SIM","NAO"))</f>
        <v/>
      </c>
      <c r="V366" s="5" t="str">
        <f aca="false">IF(B366="","",TRIM(LEFT(B366,IFERROR(FIND(" ",B366)-1,LEN(B366)))))</f>
        <v/>
      </c>
      <c r="W366" s="22"/>
      <c r="X366" s="5" t="str">
        <f aca="false">IF(A366="","",IF(W366&lt;&gt;"",W366,V366))</f>
        <v/>
      </c>
      <c r="Y366" s="5" t="str">
        <f aca="false">IF(A366="","",IF(COUNTIFS($X$2:$X$2001,X366,$D$2:$D$2001,"&lt;&gt;"&amp;D366,$C$2:$C$2001,C366)&gt;0,"SIM","NAO"))</f>
        <v/>
      </c>
      <c r="Z366" s="5" t="str">
        <f aca="false">IF(A366="","",IF(J366="","",IFERROR(360/J366,"")))</f>
        <v/>
      </c>
      <c r="AA366" s="5" t="str">
        <f aca="false">IF(A366="","",IF(H366=0,"Parado (sem venda 90d)",IF(Z366&gt;12,"Alto (&gt;12x/ano)",IF(Z366&gt;=4,"Medio (4-12x/ano)","Baixo (&lt;4x/ano)"))))</f>
        <v/>
      </c>
    </row>
    <row r="367" customFormat="false" ht="15" hidden="false" customHeight="true" outlineLevel="0" collapsed="false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18"/>
      <c r="L367" s="19" t="str">
        <f aca="false">IF(A367="","",G367*K367)</f>
        <v/>
      </c>
      <c r="M367" s="20"/>
      <c r="N367" s="6"/>
      <c r="O367" s="6"/>
      <c r="P367" s="5" t="str">
        <f aca="false">IF(A367="","",H367/90)</f>
        <v/>
      </c>
      <c r="Q367" s="5" t="str">
        <f aca="false">IF(A367="","",IFERROR(INDEX(Parâmetros!$C$6:$C$10,MATCH(F367,Parâmetros!$B$6:$B$10,0)),""))</f>
        <v/>
      </c>
      <c r="R367" s="5" t="str">
        <f aca="false">IF(OR(A367="",P367="",Q367=""),"",P367*Q367)</f>
        <v/>
      </c>
      <c r="S367" s="5" t="str">
        <f aca="false">IF(R367="","",MAX(0,R367-G367))</f>
        <v/>
      </c>
      <c r="T367" s="21" t="str">
        <f aca="false">IF(S367="","",S367*K367)</f>
        <v/>
      </c>
      <c r="U367" s="5" t="str">
        <f aca="false">IF(A367="","",IF(J367&gt;Parâmetros!$C$14,"SIM","NAO"))</f>
        <v/>
      </c>
      <c r="V367" s="5" t="str">
        <f aca="false">IF(B367="","",TRIM(LEFT(B367,IFERROR(FIND(" ",B367)-1,LEN(B367)))))</f>
        <v/>
      </c>
      <c r="W367" s="22"/>
      <c r="X367" s="5" t="str">
        <f aca="false">IF(A367="","",IF(W367&lt;&gt;"",W367,V367))</f>
        <v/>
      </c>
      <c r="Y367" s="5" t="str">
        <f aca="false">IF(A367="","",IF(COUNTIFS($X$2:$X$2001,X367,$D$2:$D$2001,"&lt;&gt;"&amp;D367,$C$2:$C$2001,C367)&gt;0,"SIM","NAO"))</f>
        <v/>
      </c>
      <c r="Z367" s="5" t="str">
        <f aca="false">IF(A367="","",IF(J367="","",IFERROR(360/J367,"")))</f>
        <v/>
      </c>
      <c r="AA367" s="5" t="str">
        <f aca="false">IF(A367="","",IF(H367=0,"Parado (sem venda 90d)",IF(Z367&gt;12,"Alto (&gt;12x/ano)",IF(Z367&gt;=4,"Medio (4-12x/ano)","Baixo (&lt;4x/ano)"))))</f>
        <v/>
      </c>
    </row>
    <row r="368" customFormat="false" ht="15" hidden="false" customHeight="true" outlineLevel="0" collapsed="false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18"/>
      <c r="L368" s="19" t="str">
        <f aca="false">IF(A368="","",G368*K368)</f>
        <v/>
      </c>
      <c r="M368" s="20"/>
      <c r="N368" s="6"/>
      <c r="O368" s="6"/>
      <c r="P368" s="5" t="str">
        <f aca="false">IF(A368="","",H368/90)</f>
        <v/>
      </c>
      <c r="Q368" s="5" t="str">
        <f aca="false">IF(A368="","",IFERROR(INDEX(Parâmetros!$C$6:$C$10,MATCH(F368,Parâmetros!$B$6:$B$10,0)),""))</f>
        <v/>
      </c>
      <c r="R368" s="5" t="str">
        <f aca="false">IF(OR(A368="",P368="",Q368=""),"",P368*Q368)</f>
        <v/>
      </c>
      <c r="S368" s="5" t="str">
        <f aca="false">IF(R368="","",MAX(0,R368-G368))</f>
        <v/>
      </c>
      <c r="T368" s="21" t="str">
        <f aca="false">IF(S368="","",S368*K368)</f>
        <v/>
      </c>
      <c r="U368" s="5" t="str">
        <f aca="false">IF(A368="","",IF(J368&gt;Parâmetros!$C$14,"SIM","NAO"))</f>
        <v/>
      </c>
      <c r="V368" s="5" t="str">
        <f aca="false">IF(B368="","",TRIM(LEFT(B368,IFERROR(FIND(" ",B368)-1,LEN(B368)))))</f>
        <v/>
      </c>
      <c r="W368" s="22"/>
      <c r="X368" s="5" t="str">
        <f aca="false">IF(A368="","",IF(W368&lt;&gt;"",W368,V368))</f>
        <v/>
      </c>
      <c r="Y368" s="5" t="str">
        <f aca="false">IF(A368="","",IF(COUNTIFS($X$2:$X$2001,X368,$D$2:$D$2001,"&lt;&gt;"&amp;D368,$C$2:$C$2001,C368)&gt;0,"SIM","NAO"))</f>
        <v/>
      </c>
      <c r="Z368" s="5" t="str">
        <f aca="false">IF(A368="","",IF(J368="","",IFERROR(360/J368,"")))</f>
        <v/>
      </c>
      <c r="AA368" s="5" t="str">
        <f aca="false">IF(A368="","",IF(H368=0,"Parado (sem venda 90d)",IF(Z368&gt;12,"Alto (&gt;12x/ano)",IF(Z368&gt;=4,"Medio (4-12x/ano)","Baixo (&lt;4x/ano)"))))</f>
        <v/>
      </c>
    </row>
    <row r="369" customFormat="false" ht="15" hidden="false" customHeight="true" outlineLevel="0" collapsed="false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18"/>
      <c r="L369" s="19" t="str">
        <f aca="false">IF(A369="","",G369*K369)</f>
        <v/>
      </c>
      <c r="M369" s="20"/>
      <c r="N369" s="6"/>
      <c r="O369" s="6"/>
      <c r="P369" s="5" t="str">
        <f aca="false">IF(A369="","",H369/90)</f>
        <v/>
      </c>
      <c r="Q369" s="5" t="str">
        <f aca="false">IF(A369="","",IFERROR(INDEX(Parâmetros!$C$6:$C$10,MATCH(F369,Parâmetros!$B$6:$B$10,0)),""))</f>
        <v/>
      </c>
      <c r="R369" s="5" t="str">
        <f aca="false">IF(OR(A369="",P369="",Q369=""),"",P369*Q369)</f>
        <v/>
      </c>
      <c r="S369" s="5" t="str">
        <f aca="false">IF(R369="","",MAX(0,R369-G369))</f>
        <v/>
      </c>
      <c r="T369" s="21" t="str">
        <f aca="false">IF(S369="","",S369*K369)</f>
        <v/>
      </c>
      <c r="U369" s="5" t="str">
        <f aca="false">IF(A369="","",IF(J369&gt;Parâmetros!$C$14,"SIM","NAO"))</f>
        <v/>
      </c>
      <c r="V369" s="5" t="str">
        <f aca="false">IF(B369="","",TRIM(LEFT(B369,IFERROR(FIND(" ",B369)-1,LEN(B369)))))</f>
        <v/>
      </c>
      <c r="W369" s="22"/>
      <c r="X369" s="5" t="str">
        <f aca="false">IF(A369="","",IF(W369&lt;&gt;"",W369,V369))</f>
        <v/>
      </c>
      <c r="Y369" s="5" t="str">
        <f aca="false">IF(A369="","",IF(COUNTIFS($X$2:$X$2001,X369,$D$2:$D$2001,"&lt;&gt;"&amp;D369,$C$2:$C$2001,C369)&gt;0,"SIM","NAO"))</f>
        <v/>
      </c>
      <c r="Z369" s="5" t="str">
        <f aca="false">IF(A369="","",IF(J369="","",IFERROR(360/J369,"")))</f>
        <v/>
      </c>
      <c r="AA369" s="5" t="str">
        <f aca="false">IF(A369="","",IF(H369=0,"Parado (sem venda 90d)",IF(Z369&gt;12,"Alto (&gt;12x/ano)",IF(Z369&gt;=4,"Medio (4-12x/ano)","Baixo (&lt;4x/ano)"))))</f>
        <v/>
      </c>
    </row>
    <row r="370" customFormat="false" ht="15" hidden="false" customHeight="true" outlineLevel="0" collapsed="false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18"/>
      <c r="L370" s="19" t="str">
        <f aca="false">IF(A370="","",G370*K370)</f>
        <v/>
      </c>
      <c r="M370" s="20"/>
      <c r="N370" s="6"/>
      <c r="O370" s="6"/>
      <c r="P370" s="5" t="str">
        <f aca="false">IF(A370="","",H370/90)</f>
        <v/>
      </c>
      <c r="Q370" s="5" t="str">
        <f aca="false">IF(A370="","",IFERROR(INDEX(Parâmetros!$C$6:$C$10,MATCH(F370,Parâmetros!$B$6:$B$10,0)),""))</f>
        <v/>
      </c>
      <c r="R370" s="5" t="str">
        <f aca="false">IF(OR(A370="",P370="",Q370=""),"",P370*Q370)</f>
        <v/>
      </c>
      <c r="S370" s="5" t="str">
        <f aca="false">IF(R370="","",MAX(0,R370-G370))</f>
        <v/>
      </c>
      <c r="T370" s="21" t="str">
        <f aca="false">IF(S370="","",S370*K370)</f>
        <v/>
      </c>
      <c r="U370" s="5" t="str">
        <f aca="false">IF(A370="","",IF(J370&gt;Parâmetros!$C$14,"SIM","NAO"))</f>
        <v/>
      </c>
      <c r="V370" s="5" t="str">
        <f aca="false">IF(B370="","",TRIM(LEFT(B370,IFERROR(FIND(" ",B370)-1,LEN(B370)))))</f>
        <v/>
      </c>
      <c r="W370" s="22"/>
      <c r="X370" s="5" t="str">
        <f aca="false">IF(A370="","",IF(W370&lt;&gt;"",W370,V370))</f>
        <v/>
      </c>
      <c r="Y370" s="5" t="str">
        <f aca="false">IF(A370="","",IF(COUNTIFS($X$2:$X$2001,X370,$D$2:$D$2001,"&lt;&gt;"&amp;D370,$C$2:$C$2001,C370)&gt;0,"SIM","NAO"))</f>
        <v/>
      </c>
      <c r="Z370" s="5" t="str">
        <f aca="false">IF(A370="","",IF(J370="","",IFERROR(360/J370,"")))</f>
        <v/>
      </c>
      <c r="AA370" s="5" t="str">
        <f aca="false">IF(A370="","",IF(H370=0,"Parado (sem venda 90d)",IF(Z370&gt;12,"Alto (&gt;12x/ano)",IF(Z370&gt;=4,"Medio (4-12x/ano)","Baixo (&lt;4x/ano)"))))</f>
        <v/>
      </c>
    </row>
    <row r="371" customFormat="false" ht="15" hidden="false" customHeight="true" outlineLevel="0" collapsed="false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18"/>
      <c r="L371" s="19" t="str">
        <f aca="false">IF(A371="","",G371*K371)</f>
        <v/>
      </c>
      <c r="M371" s="20"/>
      <c r="N371" s="6"/>
      <c r="O371" s="6"/>
      <c r="P371" s="5" t="str">
        <f aca="false">IF(A371="","",H371/90)</f>
        <v/>
      </c>
      <c r="Q371" s="5" t="str">
        <f aca="false">IF(A371="","",IFERROR(INDEX(Parâmetros!$C$6:$C$10,MATCH(F371,Parâmetros!$B$6:$B$10,0)),""))</f>
        <v/>
      </c>
      <c r="R371" s="5" t="str">
        <f aca="false">IF(OR(A371="",P371="",Q371=""),"",P371*Q371)</f>
        <v/>
      </c>
      <c r="S371" s="5" t="str">
        <f aca="false">IF(R371="","",MAX(0,R371-G371))</f>
        <v/>
      </c>
      <c r="T371" s="21" t="str">
        <f aca="false">IF(S371="","",S371*K371)</f>
        <v/>
      </c>
      <c r="U371" s="5" t="str">
        <f aca="false">IF(A371="","",IF(J371&gt;Parâmetros!$C$14,"SIM","NAO"))</f>
        <v/>
      </c>
      <c r="V371" s="5" t="str">
        <f aca="false">IF(B371="","",TRIM(LEFT(B371,IFERROR(FIND(" ",B371)-1,LEN(B371)))))</f>
        <v/>
      </c>
      <c r="W371" s="22"/>
      <c r="X371" s="5" t="str">
        <f aca="false">IF(A371="","",IF(W371&lt;&gt;"",W371,V371))</f>
        <v/>
      </c>
      <c r="Y371" s="5" t="str">
        <f aca="false">IF(A371="","",IF(COUNTIFS($X$2:$X$2001,X371,$D$2:$D$2001,"&lt;&gt;"&amp;D371,$C$2:$C$2001,C371)&gt;0,"SIM","NAO"))</f>
        <v/>
      </c>
      <c r="Z371" s="5" t="str">
        <f aca="false">IF(A371="","",IF(J371="","",IFERROR(360/J371,"")))</f>
        <v/>
      </c>
      <c r="AA371" s="5" t="str">
        <f aca="false">IF(A371="","",IF(H371=0,"Parado (sem venda 90d)",IF(Z371&gt;12,"Alto (&gt;12x/ano)",IF(Z371&gt;=4,"Medio (4-12x/ano)","Baixo (&lt;4x/ano)"))))</f>
        <v/>
      </c>
    </row>
    <row r="372" customFormat="false" ht="15" hidden="false" customHeight="true" outlineLevel="0" collapsed="false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18"/>
      <c r="L372" s="19" t="str">
        <f aca="false">IF(A372="","",G372*K372)</f>
        <v/>
      </c>
      <c r="M372" s="20"/>
      <c r="N372" s="6"/>
      <c r="O372" s="6"/>
      <c r="P372" s="5" t="str">
        <f aca="false">IF(A372="","",H372/90)</f>
        <v/>
      </c>
      <c r="Q372" s="5" t="str">
        <f aca="false">IF(A372="","",IFERROR(INDEX(Parâmetros!$C$6:$C$10,MATCH(F372,Parâmetros!$B$6:$B$10,0)),""))</f>
        <v/>
      </c>
      <c r="R372" s="5" t="str">
        <f aca="false">IF(OR(A372="",P372="",Q372=""),"",P372*Q372)</f>
        <v/>
      </c>
      <c r="S372" s="5" t="str">
        <f aca="false">IF(R372="","",MAX(0,R372-G372))</f>
        <v/>
      </c>
      <c r="T372" s="21" t="str">
        <f aca="false">IF(S372="","",S372*K372)</f>
        <v/>
      </c>
      <c r="U372" s="5" t="str">
        <f aca="false">IF(A372="","",IF(J372&gt;Parâmetros!$C$14,"SIM","NAO"))</f>
        <v/>
      </c>
      <c r="V372" s="5" t="str">
        <f aca="false">IF(B372="","",TRIM(LEFT(B372,IFERROR(FIND(" ",B372)-1,LEN(B372)))))</f>
        <v/>
      </c>
      <c r="W372" s="22"/>
      <c r="X372" s="5" t="str">
        <f aca="false">IF(A372="","",IF(W372&lt;&gt;"",W372,V372))</f>
        <v/>
      </c>
      <c r="Y372" s="5" t="str">
        <f aca="false">IF(A372="","",IF(COUNTIFS($X$2:$X$2001,X372,$D$2:$D$2001,"&lt;&gt;"&amp;D372,$C$2:$C$2001,C372)&gt;0,"SIM","NAO"))</f>
        <v/>
      </c>
      <c r="Z372" s="5" t="str">
        <f aca="false">IF(A372="","",IF(J372="","",IFERROR(360/J372,"")))</f>
        <v/>
      </c>
      <c r="AA372" s="5" t="str">
        <f aca="false">IF(A372="","",IF(H372=0,"Parado (sem venda 90d)",IF(Z372&gt;12,"Alto (&gt;12x/ano)",IF(Z372&gt;=4,"Medio (4-12x/ano)","Baixo (&lt;4x/ano)"))))</f>
        <v/>
      </c>
    </row>
    <row r="373" customFormat="false" ht="15" hidden="false" customHeight="true" outlineLevel="0" collapsed="false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18"/>
      <c r="L373" s="19" t="str">
        <f aca="false">IF(A373="","",G373*K373)</f>
        <v/>
      </c>
      <c r="M373" s="20"/>
      <c r="N373" s="6"/>
      <c r="O373" s="6"/>
      <c r="P373" s="5" t="str">
        <f aca="false">IF(A373="","",H373/90)</f>
        <v/>
      </c>
      <c r="Q373" s="5" t="str">
        <f aca="false">IF(A373="","",IFERROR(INDEX(Parâmetros!$C$6:$C$10,MATCH(F373,Parâmetros!$B$6:$B$10,0)),""))</f>
        <v/>
      </c>
      <c r="R373" s="5" t="str">
        <f aca="false">IF(OR(A373="",P373="",Q373=""),"",P373*Q373)</f>
        <v/>
      </c>
      <c r="S373" s="5" t="str">
        <f aca="false">IF(R373="","",MAX(0,R373-G373))</f>
        <v/>
      </c>
      <c r="T373" s="21" t="str">
        <f aca="false">IF(S373="","",S373*K373)</f>
        <v/>
      </c>
      <c r="U373" s="5" t="str">
        <f aca="false">IF(A373="","",IF(J373&gt;Parâmetros!$C$14,"SIM","NAO"))</f>
        <v/>
      </c>
      <c r="V373" s="5" t="str">
        <f aca="false">IF(B373="","",TRIM(LEFT(B373,IFERROR(FIND(" ",B373)-1,LEN(B373)))))</f>
        <v/>
      </c>
      <c r="W373" s="22"/>
      <c r="X373" s="5" t="str">
        <f aca="false">IF(A373="","",IF(W373&lt;&gt;"",W373,V373))</f>
        <v/>
      </c>
      <c r="Y373" s="5" t="str">
        <f aca="false">IF(A373="","",IF(COUNTIFS($X$2:$X$2001,X373,$D$2:$D$2001,"&lt;&gt;"&amp;D373,$C$2:$C$2001,C373)&gt;0,"SIM","NAO"))</f>
        <v/>
      </c>
      <c r="Z373" s="5" t="str">
        <f aca="false">IF(A373="","",IF(J373="","",IFERROR(360/J373,"")))</f>
        <v/>
      </c>
      <c r="AA373" s="5" t="str">
        <f aca="false">IF(A373="","",IF(H373=0,"Parado (sem venda 90d)",IF(Z373&gt;12,"Alto (&gt;12x/ano)",IF(Z373&gt;=4,"Medio (4-12x/ano)","Baixo (&lt;4x/ano)"))))</f>
        <v/>
      </c>
    </row>
    <row r="374" customFormat="false" ht="15" hidden="false" customHeight="true" outlineLevel="0" collapsed="false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18"/>
      <c r="L374" s="19" t="str">
        <f aca="false">IF(A374="","",G374*K374)</f>
        <v/>
      </c>
      <c r="M374" s="20"/>
      <c r="N374" s="6"/>
      <c r="O374" s="6"/>
      <c r="P374" s="5" t="str">
        <f aca="false">IF(A374="","",H374/90)</f>
        <v/>
      </c>
      <c r="Q374" s="5" t="str">
        <f aca="false">IF(A374="","",IFERROR(INDEX(Parâmetros!$C$6:$C$10,MATCH(F374,Parâmetros!$B$6:$B$10,0)),""))</f>
        <v/>
      </c>
      <c r="R374" s="5" t="str">
        <f aca="false">IF(OR(A374="",P374="",Q374=""),"",P374*Q374)</f>
        <v/>
      </c>
      <c r="S374" s="5" t="str">
        <f aca="false">IF(R374="","",MAX(0,R374-G374))</f>
        <v/>
      </c>
      <c r="T374" s="21" t="str">
        <f aca="false">IF(S374="","",S374*K374)</f>
        <v/>
      </c>
      <c r="U374" s="5" t="str">
        <f aca="false">IF(A374="","",IF(J374&gt;Parâmetros!$C$14,"SIM","NAO"))</f>
        <v/>
      </c>
      <c r="V374" s="5" t="str">
        <f aca="false">IF(B374="","",TRIM(LEFT(B374,IFERROR(FIND(" ",B374)-1,LEN(B374)))))</f>
        <v/>
      </c>
      <c r="W374" s="22"/>
      <c r="X374" s="5" t="str">
        <f aca="false">IF(A374="","",IF(W374&lt;&gt;"",W374,V374))</f>
        <v/>
      </c>
      <c r="Y374" s="5" t="str">
        <f aca="false">IF(A374="","",IF(COUNTIFS($X$2:$X$2001,X374,$D$2:$D$2001,"&lt;&gt;"&amp;D374,$C$2:$C$2001,C374)&gt;0,"SIM","NAO"))</f>
        <v/>
      </c>
      <c r="Z374" s="5" t="str">
        <f aca="false">IF(A374="","",IF(J374="","",IFERROR(360/J374,"")))</f>
        <v/>
      </c>
      <c r="AA374" s="5" t="str">
        <f aca="false">IF(A374="","",IF(H374=0,"Parado (sem venda 90d)",IF(Z374&gt;12,"Alto (&gt;12x/ano)",IF(Z374&gt;=4,"Medio (4-12x/ano)","Baixo (&lt;4x/ano)"))))</f>
        <v/>
      </c>
    </row>
    <row r="375" customFormat="false" ht="15" hidden="false" customHeight="true" outlineLevel="0" collapsed="false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18"/>
      <c r="L375" s="19" t="str">
        <f aca="false">IF(A375="","",G375*K375)</f>
        <v/>
      </c>
      <c r="M375" s="20"/>
      <c r="N375" s="6"/>
      <c r="O375" s="6"/>
      <c r="P375" s="5" t="str">
        <f aca="false">IF(A375="","",H375/90)</f>
        <v/>
      </c>
      <c r="Q375" s="5" t="str">
        <f aca="false">IF(A375="","",IFERROR(INDEX(Parâmetros!$C$6:$C$10,MATCH(F375,Parâmetros!$B$6:$B$10,0)),""))</f>
        <v/>
      </c>
      <c r="R375" s="5" t="str">
        <f aca="false">IF(OR(A375="",P375="",Q375=""),"",P375*Q375)</f>
        <v/>
      </c>
      <c r="S375" s="5" t="str">
        <f aca="false">IF(R375="","",MAX(0,R375-G375))</f>
        <v/>
      </c>
      <c r="T375" s="21" t="str">
        <f aca="false">IF(S375="","",S375*K375)</f>
        <v/>
      </c>
      <c r="U375" s="5" t="str">
        <f aca="false">IF(A375="","",IF(J375&gt;Parâmetros!$C$14,"SIM","NAO"))</f>
        <v/>
      </c>
      <c r="V375" s="5" t="str">
        <f aca="false">IF(B375="","",TRIM(LEFT(B375,IFERROR(FIND(" ",B375)-1,LEN(B375)))))</f>
        <v/>
      </c>
      <c r="W375" s="22"/>
      <c r="X375" s="5" t="str">
        <f aca="false">IF(A375="","",IF(W375&lt;&gt;"",W375,V375))</f>
        <v/>
      </c>
      <c r="Y375" s="5" t="str">
        <f aca="false">IF(A375="","",IF(COUNTIFS($X$2:$X$2001,X375,$D$2:$D$2001,"&lt;&gt;"&amp;D375,$C$2:$C$2001,C375)&gt;0,"SIM","NAO"))</f>
        <v/>
      </c>
      <c r="Z375" s="5" t="str">
        <f aca="false">IF(A375="","",IF(J375="","",IFERROR(360/J375,"")))</f>
        <v/>
      </c>
      <c r="AA375" s="5" t="str">
        <f aca="false">IF(A375="","",IF(H375=0,"Parado (sem venda 90d)",IF(Z375&gt;12,"Alto (&gt;12x/ano)",IF(Z375&gt;=4,"Medio (4-12x/ano)","Baixo (&lt;4x/ano)"))))</f>
        <v/>
      </c>
    </row>
    <row r="376" customFormat="false" ht="15" hidden="false" customHeight="true" outlineLevel="0" collapsed="false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18"/>
      <c r="L376" s="19" t="str">
        <f aca="false">IF(A376="","",G376*K376)</f>
        <v/>
      </c>
      <c r="M376" s="20"/>
      <c r="N376" s="6"/>
      <c r="O376" s="6"/>
      <c r="P376" s="5" t="str">
        <f aca="false">IF(A376="","",H376/90)</f>
        <v/>
      </c>
      <c r="Q376" s="5" t="str">
        <f aca="false">IF(A376="","",IFERROR(INDEX(Parâmetros!$C$6:$C$10,MATCH(F376,Parâmetros!$B$6:$B$10,0)),""))</f>
        <v/>
      </c>
      <c r="R376" s="5" t="str">
        <f aca="false">IF(OR(A376="",P376="",Q376=""),"",P376*Q376)</f>
        <v/>
      </c>
      <c r="S376" s="5" t="str">
        <f aca="false">IF(R376="","",MAX(0,R376-G376))</f>
        <v/>
      </c>
      <c r="T376" s="21" t="str">
        <f aca="false">IF(S376="","",S376*K376)</f>
        <v/>
      </c>
      <c r="U376" s="5" t="str">
        <f aca="false">IF(A376="","",IF(J376&gt;Parâmetros!$C$14,"SIM","NAO"))</f>
        <v/>
      </c>
      <c r="V376" s="5" t="str">
        <f aca="false">IF(B376="","",TRIM(LEFT(B376,IFERROR(FIND(" ",B376)-1,LEN(B376)))))</f>
        <v/>
      </c>
      <c r="W376" s="22"/>
      <c r="X376" s="5" t="str">
        <f aca="false">IF(A376="","",IF(W376&lt;&gt;"",W376,V376))</f>
        <v/>
      </c>
      <c r="Y376" s="5" t="str">
        <f aca="false">IF(A376="","",IF(COUNTIFS($X$2:$X$2001,X376,$D$2:$D$2001,"&lt;&gt;"&amp;D376,$C$2:$C$2001,C376)&gt;0,"SIM","NAO"))</f>
        <v/>
      </c>
      <c r="Z376" s="5" t="str">
        <f aca="false">IF(A376="","",IF(J376="","",IFERROR(360/J376,"")))</f>
        <v/>
      </c>
      <c r="AA376" s="5" t="str">
        <f aca="false">IF(A376="","",IF(H376=0,"Parado (sem venda 90d)",IF(Z376&gt;12,"Alto (&gt;12x/ano)",IF(Z376&gt;=4,"Medio (4-12x/ano)","Baixo (&lt;4x/ano)"))))</f>
        <v/>
      </c>
    </row>
    <row r="377" customFormat="false" ht="15" hidden="false" customHeight="true" outlineLevel="0" collapsed="false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18"/>
      <c r="L377" s="19" t="str">
        <f aca="false">IF(A377="","",G377*K377)</f>
        <v/>
      </c>
      <c r="M377" s="20"/>
      <c r="N377" s="6"/>
      <c r="O377" s="6"/>
      <c r="P377" s="5" t="str">
        <f aca="false">IF(A377="","",H377/90)</f>
        <v/>
      </c>
      <c r="Q377" s="5" t="str">
        <f aca="false">IF(A377="","",IFERROR(INDEX(Parâmetros!$C$6:$C$10,MATCH(F377,Parâmetros!$B$6:$B$10,0)),""))</f>
        <v/>
      </c>
      <c r="R377" s="5" t="str">
        <f aca="false">IF(OR(A377="",P377="",Q377=""),"",P377*Q377)</f>
        <v/>
      </c>
      <c r="S377" s="5" t="str">
        <f aca="false">IF(R377="","",MAX(0,R377-G377))</f>
        <v/>
      </c>
      <c r="T377" s="21" t="str">
        <f aca="false">IF(S377="","",S377*K377)</f>
        <v/>
      </c>
      <c r="U377" s="5" t="str">
        <f aca="false">IF(A377="","",IF(J377&gt;Parâmetros!$C$14,"SIM","NAO"))</f>
        <v/>
      </c>
      <c r="V377" s="5" t="str">
        <f aca="false">IF(B377="","",TRIM(LEFT(B377,IFERROR(FIND(" ",B377)-1,LEN(B377)))))</f>
        <v/>
      </c>
      <c r="W377" s="22"/>
      <c r="X377" s="5" t="str">
        <f aca="false">IF(A377="","",IF(W377&lt;&gt;"",W377,V377))</f>
        <v/>
      </c>
      <c r="Y377" s="5" t="str">
        <f aca="false">IF(A377="","",IF(COUNTIFS($X$2:$X$2001,X377,$D$2:$D$2001,"&lt;&gt;"&amp;D377,$C$2:$C$2001,C377)&gt;0,"SIM","NAO"))</f>
        <v/>
      </c>
      <c r="Z377" s="5" t="str">
        <f aca="false">IF(A377="","",IF(J377="","",IFERROR(360/J377,"")))</f>
        <v/>
      </c>
      <c r="AA377" s="5" t="str">
        <f aca="false">IF(A377="","",IF(H377=0,"Parado (sem venda 90d)",IF(Z377&gt;12,"Alto (&gt;12x/ano)",IF(Z377&gt;=4,"Medio (4-12x/ano)","Baixo (&lt;4x/ano)"))))</f>
        <v/>
      </c>
    </row>
    <row r="378" customFormat="false" ht="15" hidden="false" customHeight="true" outlineLevel="0" collapsed="false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18"/>
      <c r="L378" s="19" t="str">
        <f aca="false">IF(A378="","",G378*K378)</f>
        <v/>
      </c>
      <c r="M378" s="20"/>
      <c r="N378" s="6"/>
      <c r="O378" s="6"/>
      <c r="P378" s="5" t="str">
        <f aca="false">IF(A378="","",H378/90)</f>
        <v/>
      </c>
      <c r="Q378" s="5" t="str">
        <f aca="false">IF(A378="","",IFERROR(INDEX(Parâmetros!$C$6:$C$10,MATCH(F378,Parâmetros!$B$6:$B$10,0)),""))</f>
        <v/>
      </c>
      <c r="R378" s="5" t="str">
        <f aca="false">IF(OR(A378="",P378="",Q378=""),"",P378*Q378)</f>
        <v/>
      </c>
      <c r="S378" s="5" t="str">
        <f aca="false">IF(R378="","",MAX(0,R378-G378))</f>
        <v/>
      </c>
      <c r="T378" s="21" t="str">
        <f aca="false">IF(S378="","",S378*K378)</f>
        <v/>
      </c>
      <c r="U378" s="5" t="str">
        <f aca="false">IF(A378="","",IF(J378&gt;Parâmetros!$C$14,"SIM","NAO"))</f>
        <v/>
      </c>
      <c r="V378" s="5" t="str">
        <f aca="false">IF(B378="","",TRIM(LEFT(B378,IFERROR(FIND(" ",B378)-1,LEN(B378)))))</f>
        <v/>
      </c>
      <c r="W378" s="22"/>
      <c r="X378" s="5" t="str">
        <f aca="false">IF(A378="","",IF(W378&lt;&gt;"",W378,V378))</f>
        <v/>
      </c>
      <c r="Y378" s="5" t="str">
        <f aca="false">IF(A378="","",IF(COUNTIFS($X$2:$X$2001,X378,$D$2:$D$2001,"&lt;&gt;"&amp;D378,$C$2:$C$2001,C378)&gt;0,"SIM","NAO"))</f>
        <v/>
      </c>
      <c r="Z378" s="5" t="str">
        <f aca="false">IF(A378="","",IF(J378="","",IFERROR(360/J378,"")))</f>
        <v/>
      </c>
      <c r="AA378" s="5" t="str">
        <f aca="false">IF(A378="","",IF(H378=0,"Parado (sem venda 90d)",IF(Z378&gt;12,"Alto (&gt;12x/ano)",IF(Z378&gt;=4,"Medio (4-12x/ano)","Baixo (&lt;4x/ano)"))))</f>
        <v/>
      </c>
    </row>
    <row r="379" customFormat="false" ht="15" hidden="false" customHeight="true" outlineLevel="0" collapsed="false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18"/>
      <c r="L379" s="19" t="str">
        <f aca="false">IF(A379="","",G379*K379)</f>
        <v/>
      </c>
      <c r="M379" s="20"/>
      <c r="N379" s="6"/>
      <c r="O379" s="6"/>
      <c r="P379" s="5" t="str">
        <f aca="false">IF(A379="","",H379/90)</f>
        <v/>
      </c>
      <c r="Q379" s="5" t="str">
        <f aca="false">IF(A379="","",IFERROR(INDEX(Parâmetros!$C$6:$C$10,MATCH(F379,Parâmetros!$B$6:$B$10,0)),""))</f>
        <v/>
      </c>
      <c r="R379" s="5" t="str">
        <f aca="false">IF(OR(A379="",P379="",Q379=""),"",P379*Q379)</f>
        <v/>
      </c>
      <c r="S379" s="5" t="str">
        <f aca="false">IF(R379="","",MAX(0,R379-G379))</f>
        <v/>
      </c>
      <c r="T379" s="21" t="str">
        <f aca="false">IF(S379="","",S379*K379)</f>
        <v/>
      </c>
      <c r="U379" s="5" t="str">
        <f aca="false">IF(A379="","",IF(J379&gt;Parâmetros!$C$14,"SIM","NAO"))</f>
        <v/>
      </c>
      <c r="V379" s="5" t="str">
        <f aca="false">IF(B379="","",TRIM(LEFT(B379,IFERROR(FIND(" ",B379)-1,LEN(B379)))))</f>
        <v/>
      </c>
      <c r="W379" s="22"/>
      <c r="X379" s="5" t="str">
        <f aca="false">IF(A379="","",IF(W379&lt;&gt;"",W379,V379))</f>
        <v/>
      </c>
      <c r="Y379" s="5" t="str">
        <f aca="false">IF(A379="","",IF(COUNTIFS($X$2:$X$2001,X379,$D$2:$D$2001,"&lt;&gt;"&amp;D379,$C$2:$C$2001,C379)&gt;0,"SIM","NAO"))</f>
        <v/>
      </c>
      <c r="Z379" s="5" t="str">
        <f aca="false">IF(A379="","",IF(J379="","",IFERROR(360/J379,"")))</f>
        <v/>
      </c>
      <c r="AA379" s="5" t="str">
        <f aca="false">IF(A379="","",IF(H379=0,"Parado (sem venda 90d)",IF(Z379&gt;12,"Alto (&gt;12x/ano)",IF(Z379&gt;=4,"Medio (4-12x/ano)","Baixo (&lt;4x/ano)"))))</f>
        <v/>
      </c>
    </row>
    <row r="380" customFormat="false" ht="15" hidden="false" customHeight="true" outlineLevel="0" collapsed="false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18"/>
      <c r="L380" s="19" t="str">
        <f aca="false">IF(A380="","",G380*K380)</f>
        <v/>
      </c>
      <c r="M380" s="20"/>
      <c r="N380" s="6"/>
      <c r="O380" s="6"/>
      <c r="P380" s="5" t="str">
        <f aca="false">IF(A380="","",H380/90)</f>
        <v/>
      </c>
      <c r="Q380" s="5" t="str">
        <f aca="false">IF(A380="","",IFERROR(INDEX(Parâmetros!$C$6:$C$10,MATCH(F380,Parâmetros!$B$6:$B$10,0)),""))</f>
        <v/>
      </c>
      <c r="R380" s="5" t="str">
        <f aca="false">IF(OR(A380="",P380="",Q380=""),"",P380*Q380)</f>
        <v/>
      </c>
      <c r="S380" s="5" t="str">
        <f aca="false">IF(R380="","",MAX(0,R380-G380))</f>
        <v/>
      </c>
      <c r="T380" s="21" t="str">
        <f aca="false">IF(S380="","",S380*K380)</f>
        <v/>
      </c>
      <c r="U380" s="5" t="str">
        <f aca="false">IF(A380="","",IF(J380&gt;Parâmetros!$C$14,"SIM","NAO"))</f>
        <v/>
      </c>
      <c r="V380" s="5" t="str">
        <f aca="false">IF(B380="","",TRIM(LEFT(B380,IFERROR(FIND(" ",B380)-1,LEN(B380)))))</f>
        <v/>
      </c>
      <c r="W380" s="22"/>
      <c r="X380" s="5" t="str">
        <f aca="false">IF(A380="","",IF(W380&lt;&gt;"",W380,V380))</f>
        <v/>
      </c>
      <c r="Y380" s="5" t="str">
        <f aca="false">IF(A380="","",IF(COUNTIFS($X$2:$X$2001,X380,$D$2:$D$2001,"&lt;&gt;"&amp;D380,$C$2:$C$2001,C380)&gt;0,"SIM","NAO"))</f>
        <v/>
      </c>
      <c r="Z380" s="5" t="str">
        <f aca="false">IF(A380="","",IF(J380="","",IFERROR(360/J380,"")))</f>
        <v/>
      </c>
      <c r="AA380" s="5" t="str">
        <f aca="false">IF(A380="","",IF(H380=0,"Parado (sem venda 90d)",IF(Z380&gt;12,"Alto (&gt;12x/ano)",IF(Z380&gt;=4,"Medio (4-12x/ano)","Baixo (&lt;4x/ano)"))))</f>
        <v/>
      </c>
    </row>
    <row r="381" customFormat="false" ht="15" hidden="false" customHeight="true" outlineLevel="0" collapsed="false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18"/>
      <c r="L381" s="19" t="str">
        <f aca="false">IF(A381="","",G381*K381)</f>
        <v/>
      </c>
      <c r="M381" s="20"/>
      <c r="N381" s="6"/>
      <c r="O381" s="6"/>
      <c r="P381" s="5" t="str">
        <f aca="false">IF(A381="","",H381/90)</f>
        <v/>
      </c>
      <c r="Q381" s="5" t="str">
        <f aca="false">IF(A381="","",IFERROR(INDEX(Parâmetros!$C$6:$C$10,MATCH(F381,Parâmetros!$B$6:$B$10,0)),""))</f>
        <v/>
      </c>
      <c r="R381" s="5" t="str">
        <f aca="false">IF(OR(A381="",P381="",Q381=""),"",P381*Q381)</f>
        <v/>
      </c>
      <c r="S381" s="5" t="str">
        <f aca="false">IF(R381="","",MAX(0,R381-G381))</f>
        <v/>
      </c>
      <c r="T381" s="21" t="str">
        <f aca="false">IF(S381="","",S381*K381)</f>
        <v/>
      </c>
      <c r="U381" s="5" t="str">
        <f aca="false">IF(A381="","",IF(J381&gt;Parâmetros!$C$14,"SIM","NAO"))</f>
        <v/>
      </c>
      <c r="V381" s="5" t="str">
        <f aca="false">IF(B381="","",TRIM(LEFT(B381,IFERROR(FIND(" ",B381)-1,LEN(B381)))))</f>
        <v/>
      </c>
      <c r="W381" s="22"/>
      <c r="X381" s="5" t="str">
        <f aca="false">IF(A381="","",IF(W381&lt;&gt;"",W381,V381))</f>
        <v/>
      </c>
      <c r="Y381" s="5" t="str">
        <f aca="false">IF(A381="","",IF(COUNTIFS($X$2:$X$2001,X381,$D$2:$D$2001,"&lt;&gt;"&amp;D381,$C$2:$C$2001,C381)&gt;0,"SIM","NAO"))</f>
        <v/>
      </c>
      <c r="Z381" s="5" t="str">
        <f aca="false">IF(A381="","",IF(J381="","",IFERROR(360/J381,"")))</f>
        <v/>
      </c>
      <c r="AA381" s="5" t="str">
        <f aca="false">IF(A381="","",IF(H381=0,"Parado (sem venda 90d)",IF(Z381&gt;12,"Alto (&gt;12x/ano)",IF(Z381&gt;=4,"Medio (4-12x/ano)","Baixo (&lt;4x/ano)"))))</f>
        <v/>
      </c>
    </row>
    <row r="382" customFormat="false" ht="15" hidden="false" customHeight="true" outlineLevel="0" collapsed="false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18"/>
      <c r="L382" s="19" t="str">
        <f aca="false">IF(A382="","",G382*K382)</f>
        <v/>
      </c>
      <c r="M382" s="20"/>
      <c r="N382" s="6"/>
      <c r="O382" s="6"/>
      <c r="P382" s="5" t="str">
        <f aca="false">IF(A382="","",H382/90)</f>
        <v/>
      </c>
      <c r="Q382" s="5" t="str">
        <f aca="false">IF(A382="","",IFERROR(INDEX(Parâmetros!$C$6:$C$10,MATCH(F382,Parâmetros!$B$6:$B$10,0)),""))</f>
        <v/>
      </c>
      <c r="R382" s="5" t="str">
        <f aca="false">IF(OR(A382="",P382="",Q382=""),"",P382*Q382)</f>
        <v/>
      </c>
      <c r="S382" s="5" t="str">
        <f aca="false">IF(R382="","",MAX(0,R382-G382))</f>
        <v/>
      </c>
      <c r="T382" s="21" t="str">
        <f aca="false">IF(S382="","",S382*K382)</f>
        <v/>
      </c>
      <c r="U382" s="5" t="str">
        <f aca="false">IF(A382="","",IF(J382&gt;Parâmetros!$C$14,"SIM","NAO"))</f>
        <v/>
      </c>
      <c r="V382" s="5" t="str">
        <f aca="false">IF(B382="","",TRIM(LEFT(B382,IFERROR(FIND(" ",B382)-1,LEN(B382)))))</f>
        <v/>
      </c>
      <c r="W382" s="22"/>
      <c r="X382" s="5" t="str">
        <f aca="false">IF(A382="","",IF(W382&lt;&gt;"",W382,V382))</f>
        <v/>
      </c>
      <c r="Y382" s="5" t="str">
        <f aca="false">IF(A382="","",IF(COUNTIFS($X$2:$X$2001,X382,$D$2:$D$2001,"&lt;&gt;"&amp;D382,$C$2:$C$2001,C382)&gt;0,"SIM","NAO"))</f>
        <v/>
      </c>
      <c r="Z382" s="5" t="str">
        <f aca="false">IF(A382="","",IF(J382="","",IFERROR(360/J382,"")))</f>
        <v/>
      </c>
      <c r="AA382" s="5" t="str">
        <f aca="false">IF(A382="","",IF(H382=0,"Parado (sem venda 90d)",IF(Z382&gt;12,"Alto (&gt;12x/ano)",IF(Z382&gt;=4,"Medio (4-12x/ano)","Baixo (&lt;4x/ano)"))))</f>
        <v/>
      </c>
    </row>
    <row r="383" customFormat="false" ht="15" hidden="false" customHeight="true" outlineLevel="0" collapsed="false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18"/>
      <c r="L383" s="19" t="str">
        <f aca="false">IF(A383="","",G383*K383)</f>
        <v/>
      </c>
      <c r="M383" s="20"/>
      <c r="N383" s="6"/>
      <c r="O383" s="6"/>
      <c r="P383" s="5" t="str">
        <f aca="false">IF(A383="","",H383/90)</f>
        <v/>
      </c>
      <c r="Q383" s="5" t="str">
        <f aca="false">IF(A383="","",IFERROR(INDEX(Parâmetros!$C$6:$C$10,MATCH(F383,Parâmetros!$B$6:$B$10,0)),""))</f>
        <v/>
      </c>
      <c r="R383" s="5" t="str">
        <f aca="false">IF(OR(A383="",P383="",Q383=""),"",P383*Q383)</f>
        <v/>
      </c>
      <c r="S383" s="5" t="str">
        <f aca="false">IF(R383="","",MAX(0,R383-G383))</f>
        <v/>
      </c>
      <c r="T383" s="21" t="str">
        <f aca="false">IF(S383="","",S383*K383)</f>
        <v/>
      </c>
      <c r="U383" s="5" t="str">
        <f aca="false">IF(A383="","",IF(J383&gt;Parâmetros!$C$14,"SIM","NAO"))</f>
        <v/>
      </c>
      <c r="V383" s="5" t="str">
        <f aca="false">IF(B383="","",TRIM(LEFT(B383,IFERROR(FIND(" ",B383)-1,LEN(B383)))))</f>
        <v/>
      </c>
      <c r="W383" s="22"/>
      <c r="X383" s="5" t="str">
        <f aca="false">IF(A383="","",IF(W383&lt;&gt;"",W383,V383))</f>
        <v/>
      </c>
      <c r="Y383" s="5" t="str">
        <f aca="false">IF(A383="","",IF(COUNTIFS($X$2:$X$2001,X383,$D$2:$D$2001,"&lt;&gt;"&amp;D383,$C$2:$C$2001,C383)&gt;0,"SIM","NAO"))</f>
        <v/>
      </c>
      <c r="Z383" s="5" t="str">
        <f aca="false">IF(A383="","",IF(J383="","",IFERROR(360/J383,"")))</f>
        <v/>
      </c>
      <c r="AA383" s="5" t="str">
        <f aca="false">IF(A383="","",IF(H383=0,"Parado (sem venda 90d)",IF(Z383&gt;12,"Alto (&gt;12x/ano)",IF(Z383&gt;=4,"Medio (4-12x/ano)","Baixo (&lt;4x/ano)"))))</f>
        <v/>
      </c>
    </row>
    <row r="384" customFormat="false" ht="15" hidden="false" customHeight="true" outlineLevel="0" collapsed="false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18"/>
      <c r="L384" s="19" t="str">
        <f aca="false">IF(A384="","",G384*K384)</f>
        <v/>
      </c>
      <c r="M384" s="20"/>
      <c r="N384" s="6"/>
      <c r="O384" s="6"/>
      <c r="P384" s="5" t="str">
        <f aca="false">IF(A384="","",H384/90)</f>
        <v/>
      </c>
      <c r="Q384" s="5" t="str">
        <f aca="false">IF(A384="","",IFERROR(INDEX(Parâmetros!$C$6:$C$10,MATCH(F384,Parâmetros!$B$6:$B$10,0)),""))</f>
        <v/>
      </c>
      <c r="R384" s="5" t="str">
        <f aca="false">IF(OR(A384="",P384="",Q384=""),"",P384*Q384)</f>
        <v/>
      </c>
      <c r="S384" s="5" t="str">
        <f aca="false">IF(R384="","",MAX(0,R384-G384))</f>
        <v/>
      </c>
      <c r="T384" s="21" t="str">
        <f aca="false">IF(S384="","",S384*K384)</f>
        <v/>
      </c>
      <c r="U384" s="5" t="str">
        <f aca="false">IF(A384="","",IF(J384&gt;Parâmetros!$C$14,"SIM","NAO"))</f>
        <v/>
      </c>
      <c r="V384" s="5" t="str">
        <f aca="false">IF(B384="","",TRIM(LEFT(B384,IFERROR(FIND(" ",B384)-1,LEN(B384)))))</f>
        <v/>
      </c>
      <c r="W384" s="22"/>
      <c r="X384" s="5" t="str">
        <f aca="false">IF(A384="","",IF(W384&lt;&gt;"",W384,V384))</f>
        <v/>
      </c>
      <c r="Y384" s="5" t="str">
        <f aca="false">IF(A384="","",IF(COUNTIFS($X$2:$X$2001,X384,$D$2:$D$2001,"&lt;&gt;"&amp;D384,$C$2:$C$2001,C384)&gt;0,"SIM","NAO"))</f>
        <v/>
      </c>
      <c r="Z384" s="5" t="str">
        <f aca="false">IF(A384="","",IF(J384="","",IFERROR(360/J384,"")))</f>
        <v/>
      </c>
      <c r="AA384" s="5" t="str">
        <f aca="false">IF(A384="","",IF(H384=0,"Parado (sem venda 90d)",IF(Z384&gt;12,"Alto (&gt;12x/ano)",IF(Z384&gt;=4,"Medio (4-12x/ano)","Baixo (&lt;4x/ano)"))))</f>
        <v/>
      </c>
    </row>
    <row r="385" customFormat="false" ht="15" hidden="false" customHeight="true" outlineLevel="0" collapsed="false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18"/>
      <c r="L385" s="19" t="str">
        <f aca="false">IF(A385="","",G385*K385)</f>
        <v/>
      </c>
      <c r="M385" s="20"/>
      <c r="N385" s="6"/>
      <c r="O385" s="6"/>
      <c r="P385" s="5" t="str">
        <f aca="false">IF(A385="","",H385/90)</f>
        <v/>
      </c>
      <c r="Q385" s="5" t="str">
        <f aca="false">IF(A385="","",IFERROR(INDEX(Parâmetros!$C$6:$C$10,MATCH(F385,Parâmetros!$B$6:$B$10,0)),""))</f>
        <v/>
      </c>
      <c r="R385" s="5" t="str">
        <f aca="false">IF(OR(A385="",P385="",Q385=""),"",P385*Q385)</f>
        <v/>
      </c>
      <c r="S385" s="5" t="str">
        <f aca="false">IF(R385="","",MAX(0,R385-G385))</f>
        <v/>
      </c>
      <c r="T385" s="21" t="str">
        <f aca="false">IF(S385="","",S385*K385)</f>
        <v/>
      </c>
      <c r="U385" s="5" t="str">
        <f aca="false">IF(A385="","",IF(J385&gt;Parâmetros!$C$14,"SIM","NAO"))</f>
        <v/>
      </c>
      <c r="V385" s="5" t="str">
        <f aca="false">IF(B385="","",TRIM(LEFT(B385,IFERROR(FIND(" ",B385)-1,LEN(B385)))))</f>
        <v/>
      </c>
      <c r="W385" s="22"/>
      <c r="X385" s="5" t="str">
        <f aca="false">IF(A385="","",IF(W385&lt;&gt;"",W385,V385))</f>
        <v/>
      </c>
      <c r="Y385" s="5" t="str">
        <f aca="false">IF(A385="","",IF(COUNTIFS($X$2:$X$2001,X385,$D$2:$D$2001,"&lt;&gt;"&amp;D385,$C$2:$C$2001,C385)&gt;0,"SIM","NAO"))</f>
        <v/>
      </c>
      <c r="Z385" s="5" t="str">
        <f aca="false">IF(A385="","",IF(J385="","",IFERROR(360/J385,"")))</f>
        <v/>
      </c>
      <c r="AA385" s="5" t="str">
        <f aca="false">IF(A385="","",IF(H385=0,"Parado (sem venda 90d)",IF(Z385&gt;12,"Alto (&gt;12x/ano)",IF(Z385&gt;=4,"Medio (4-12x/ano)","Baixo (&lt;4x/ano)"))))</f>
        <v/>
      </c>
    </row>
    <row r="386" customFormat="false" ht="15" hidden="false" customHeight="true" outlineLevel="0" collapsed="false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18"/>
      <c r="L386" s="19" t="str">
        <f aca="false">IF(A386="","",G386*K386)</f>
        <v/>
      </c>
      <c r="M386" s="20"/>
      <c r="N386" s="6"/>
      <c r="O386" s="6"/>
      <c r="P386" s="5" t="str">
        <f aca="false">IF(A386="","",H386/90)</f>
        <v/>
      </c>
      <c r="Q386" s="5" t="str">
        <f aca="false">IF(A386="","",IFERROR(INDEX(Parâmetros!$C$6:$C$10,MATCH(F386,Parâmetros!$B$6:$B$10,0)),""))</f>
        <v/>
      </c>
      <c r="R386" s="5" t="str">
        <f aca="false">IF(OR(A386="",P386="",Q386=""),"",P386*Q386)</f>
        <v/>
      </c>
      <c r="S386" s="5" t="str">
        <f aca="false">IF(R386="","",MAX(0,R386-G386))</f>
        <v/>
      </c>
      <c r="T386" s="21" t="str">
        <f aca="false">IF(S386="","",S386*K386)</f>
        <v/>
      </c>
      <c r="U386" s="5" t="str">
        <f aca="false">IF(A386="","",IF(J386&gt;Parâmetros!$C$14,"SIM","NAO"))</f>
        <v/>
      </c>
      <c r="V386" s="5" t="str">
        <f aca="false">IF(B386="","",TRIM(LEFT(B386,IFERROR(FIND(" ",B386)-1,LEN(B386)))))</f>
        <v/>
      </c>
      <c r="W386" s="22"/>
      <c r="X386" s="5" t="str">
        <f aca="false">IF(A386="","",IF(W386&lt;&gt;"",W386,V386))</f>
        <v/>
      </c>
      <c r="Y386" s="5" t="str">
        <f aca="false">IF(A386="","",IF(COUNTIFS($X$2:$X$2001,X386,$D$2:$D$2001,"&lt;&gt;"&amp;D386,$C$2:$C$2001,C386)&gt;0,"SIM","NAO"))</f>
        <v/>
      </c>
      <c r="Z386" s="5" t="str">
        <f aca="false">IF(A386="","",IF(J386="","",IFERROR(360/J386,"")))</f>
        <v/>
      </c>
      <c r="AA386" s="5" t="str">
        <f aca="false">IF(A386="","",IF(H386=0,"Parado (sem venda 90d)",IF(Z386&gt;12,"Alto (&gt;12x/ano)",IF(Z386&gt;=4,"Medio (4-12x/ano)","Baixo (&lt;4x/ano)"))))</f>
        <v/>
      </c>
    </row>
    <row r="387" customFormat="false" ht="15" hidden="false" customHeight="true" outlineLevel="0" collapsed="false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18"/>
      <c r="L387" s="19" t="str">
        <f aca="false">IF(A387="","",G387*K387)</f>
        <v/>
      </c>
      <c r="M387" s="20"/>
      <c r="N387" s="6"/>
      <c r="O387" s="6"/>
      <c r="P387" s="5" t="str">
        <f aca="false">IF(A387="","",H387/90)</f>
        <v/>
      </c>
      <c r="Q387" s="5" t="str">
        <f aca="false">IF(A387="","",IFERROR(INDEX(Parâmetros!$C$6:$C$10,MATCH(F387,Parâmetros!$B$6:$B$10,0)),""))</f>
        <v/>
      </c>
      <c r="R387" s="5" t="str">
        <f aca="false">IF(OR(A387="",P387="",Q387=""),"",P387*Q387)</f>
        <v/>
      </c>
      <c r="S387" s="5" t="str">
        <f aca="false">IF(R387="","",MAX(0,R387-G387))</f>
        <v/>
      </c>
      <c r="T387" s="21" t="str">
        <f aca="false">IF(S387="","",S387*K387)</f>
        <v/>
      </c>
      <c r="U387" s="5" t="str">
        <f aca="false">IF(A387="","",IF(J387&gt;Parâmetros!$C$14,"SIM","NAO"))</f>
        <v/>
      </c>
      <c r="V387" s="5" t="str">
        <f aca="false">IF(B387="","",TRIM(LEFT(B387,IFERROR(FIND(" ",B387)-1,LEN(B387)))))</f>
        <v/>
      </c>
      <c r="W387" s="22"/>
      <c r="X387" s="5" t="str">
        <f aca="false">IF(A387="","",IF(W387&lt;&gt;"",W387,V387))</f>
        <v/>
      </c>
      <c r="Y387" s="5" t="str">
        <f aca="false">IF(A387="","",IF(COUNTIFS($X$2:$X$2001,X387,$D$2:$D$2001,"&lt;&gt;"&amp;D387,$C$2:$C$2001,C387)&gt;0,"SIM","NAO"))</f>
        <v/>
      </c>
      <c r="Z387" s="5" t="str">
        <f aca="false">IF(A387="","",IF(J387="","",IFERROR(360/J387,"")))</f>
        <v/>
      </c>
      <c r="AA387" s="5" t="str">
        <f aca="false">IF(A387="","",IF(H387=0,"Parado (sem venda 90d)",IF(Z387&gt;12,"Alto (&gt;12x/ano)",IF(Z387&gt;=4,"Medio (4-12x/ano)","Baixo (&lt;4x/ano)"))))</f>
        <v/>
      </c>
    </row>
    <row r="388" customFormat="false" ht="15" hidden="false" customHeight="true" outlineLevel="0" collapsed="false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18"/>
      <c r="L388" s="19" t="str">
        <f aca="false">IF(A388="","",G388*K388)</f>
        <v/>
      </c>
      <c r="M388" s="20"/>
      <c r="N388" s="6"/>
      <c r="O388" s="6"/>
      <c r="P388" s="5" t="str">
        <f aca="false">IF(A388="","",H388/90)</f>
        <v/>
      </c>
      <c r="Q388" s="5" t="str">
        <f aca="false">IF(A388="","",IFERROR(INDEX(Parâmetros!$C$6:$C$10,MATCH(F388,Parâmetros!$B$6:$B$10,0)),""))</f>
        <v/>
      </c>
      <c r="R388" s="5" t="str">
        <f aca="false">IF(OR(A388="",P388="",Q388=""),"",P388*Q388)</f>
        <v/>
      </c>
      <c r="S388" s="5" t="str">
        <f aca="false">IF(R388="","",MAX(0,R388-G388))</f>
        <v/>
      </c>
      <c r="T388" s="21" t="str">
        <f aca="false">IF(S388="","",S388*K388)</f>
        <v/>
      </c>
      <c r="U388" s="5" t="str">
        <f aca="false">IF(A388="","",IF(J388&gt;Parâmetros!$C$14,"SIM","NAO"))</f>
        <v/>
      </c>
      <c r="V388" s="5" t="str">
        <f aca="false">IF(B388="","",TRIM(LEFT(B388,IFERROR(FIND(" ",B388)-1,LEN(B388)))))</f>
        <v/>
      </c>
      <c r="W388" s="22"/>
      <c r="X388" s="5" t="str">
        <f aca="false">IF(A388="","",IF(W388&lt;&gt;"",W388,V388))</f>
        <v/>
      </c>
      <c r="Y388" s="5" t="str">
        <f aca="false">IF(A388="","",IF(COUNTIFS($X$2:$X$2001,X388,$D$2:$D$2001,"&lt;&gt;"&amp;D388,$C$2:$C$2001,C388)&gt;0,"SIM","NAO"))</f>
        <v/>
      </c>
      <c r="Z388" s="5" t="str">
        <f aca="false">IF(A388="","",IF(J388="","",IFERROR(360/J388,"")))</f>
        <v/>
      </c>
      <c r="AA388" s="5" t="str">
        <f aca="false">IF(A388="","",IF(H388=0,"Parado (sem venda 90d)",IF(Z388&gt;12,"Alto (&gt;12x/ano)",IF(Z388&gt;=4,"Medio (4-12x/ano)","Baixo (&lt;4x/ano)"))))</f>
        <v/>
      </c>
    </row>
    <row r="389" customFormat="false" ht="15" hidden="false" customHeight="true" outlineLevel="0" collapsed="false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18"/>
      <c r="L389" s="19" t="str">
        <f aca="false">IF(A389="","",G389*K389)</f>
        <v/>
      </c>
      <c r="M389" s="20"/>
      <c r="N389" s="6"/>
      <c r="O389" s="6"/>
      <c r="P389" s="5" t="str">
        <f aca="false">IF(A389="","",H389/90)</f>
        <v/>
      </c>
      <c r="Q389" s="5" t="str">
        <f aca="false">IF(A389="","",IFERROR(INDEX(Parâmetros!$C$6:$C$10,MATCH(F389,Parâmetros!$B$6:$B$10,0)),""))</f>
        <v/>
      </c>
      <c r="R389" s="5" t="str">
        <f aca="false">IF(OR(A389="",P389="",Q389=""),"",P389*Q389)</f>
        <v/>
      </c>
      <c r="S389" s="5" t="str">
        <f aca="false">IF(R389="","",MAX(0,R389-G389))</f>
        <v/>
      </c>
      <c r="T389" s="21" t="str">
        <f aca="false">IF(S389="","",S389*K389)</f>
        <v/>
      </c>
      <c r="U389" s="5" t="str">
        <f aca="false">IF(A389="","",IF(J389&gt;Parâmetros!$C$14,"SIM","NAO"))</f>
        <v/>
      </c>
      <c r="V389" s="5" t="str">
        <f aca="false">IF(B389="","",TRIM(LEFT(B389,IFERROR(FIND(" ",B389)-1,LEN(B389)))))</f>
        <v/>
      </c>
      <c r="W389" s="22"/>
      <c r="X389" s="5" t="str">
        <f aca="false">IF(A389="","",IF(W389&lt;&gt;"",W389,V389))</f>
        <v/>
      </c>
      <c r="Y389" s="5" t="str">
        <f aca="false">IF(A389="","",IF(COUNTIFS($X$2:$X$2001,X389,$D$2:$D$2001,"&lt;&gt;"&amp;D389,$C$2:$C$2001,C389)&gt;0,"SIM","NAO"))</f>
        <v/>
      </c>
      <c r="Z389" s="5" t="str">
        <f aca="false">IF(A389="","",IF(J389="","",IFERROR(360/J389,"")))</f>
        <v/>
      </c>
      <c r="AA389" s="5" t="str">
        <f aca="false">IF(A389="","",IF(H389=0,"Parado (sem venda 90d)",IF(Z389&gt;12,"Alto (&gt;12x/ano)",IF(Z389&gt;=4,"Medio (4-12x/ano)","Baixo (&lt;4x/ano)"))))</f>
        <v/>
      </c>
    </row>
    <row r="390" customFormat="false" ht="15" hidden="false" customHeight="true" outlineLevel="0" collapsed="false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18"/>
      <c r="L390" s="19" t="str">
        <f aca="false">IF(A390="","",G390*K390)</f>
        <v/>
      </c>
      <c r="M390" s="20"/>
      <c r="N390" s="6"/>
      <c r="O390" s="6"/>
      <c r="P390" s="5" t="str">
        <f aca="false">IF(A390="","",H390/90)</f>
        <v/>
      </c>
      <c r="Q390" s="5" t="str">
        <f aca="false">IF(A390="","",IFERROR(INDEX(Parâmetros!$C$6:$C$10,MATCH(F390,Parâmetros!$B$6:$B$10,0)),""))</f>
        <v/>
      </c>
      <c r="R390" s="5" t="str">
        <f aca="false">IF(OR(A390="",P390="",Q390=""),"",P390*Q390)</f>
        <v/>
      </c>
      <c r="S390" s="5" t="str">
        <f aca="false">IF(R390="","",MAX(0,R390-G390))</f>
        <v/>
      </c>
      <c r="T390" s="21" t="str">
        <f aca="false">IF(S390="","",S390*K390)</f>
        <v/>
      </c>
      <c r="U390" s="5" t="str">
        <f aca="false">IF(A390="","",IF(J390&gt;Parâmetros!$C$14,"SIM","NAO"))</f>
        <v/>
      </c>
      <c r="V390" s="5" t="str">
        <f aca="false">IF(B390="","",TRIM(LEFT(B390,IFERROR(FIND(" ",B390)-1,LEN(B390)))))</f>
        <v/>
      </c>
      <c r="W390" s="22"/>
      <c r="X390" s="5" t="str">
        <f aca="false">IF(A390="","",IF(W390&lt;&gt;"",W390,V390))</f>
        <v/>
      </c>
      <c r="Y390" s="5" t="str">
        <f aca="false">IF(A390="","",IF(COUNTIFS($X$2:$X$2001,X390,$D$2:$D$2001,"&lt;&gt;"&amp;D390,$C$2:$C$2001,C390)&gt;0,"SIM","NAO"))</f>
        <v/>
      </c>
      <c r="Z390" s="5" t="str">
        <f aca="false">IF(A390="","",IF(J390="","",IFERROR(360/J390,"")))</f>
        <v/>
      </c>
      <c r="AA390" s="5" t="str">
        <f aca="false">IF(A390="","",IF(H390=0,"Parado (sem venda 90d)",IF(Z390&gt;12,"Alto (&gt;12x/ano)",IF(Z390&gt;=4,"Medio (4-12x/ano)","Baixo (&lt;4x/ano)"))))</f>
        <v/>
      </c>
    </row>
    <row r="391" customFormat="false" ht="15" hidden="false" customHeight="true" outlineLevel="0" collapsed="false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18"/>
      <c r="L391" s="19" t="str">
        <f aca="false">IF(A391="","",G391*K391)</f>
        <v/>
      </c>
      <c r="M391" s="20"/>
      <c r="N391" s="6"/>
      <c r="O391" s="6"/>
      <c r="P391" s="5" t="str">
        <f aca="false">IF(A391="","",H391/90)</f>
        <v/>
      </c>
      <c r="Q391" s="5" t="str">
        <f aca="false">IF(A391="","",IFERROR(INDEX(Parâmetros!$C$6:$C$10,MATCH(F391,Parâmetros!$B$6:$B$10,0)),""))</f>
        <v/>
      </c>
      <c r="R391" s="5" t="str">
        <f aca="false">IF(OR(A391="",P391="",Q391=""),"",P391*Q391)</f>
        <v/>
      </c>
      <c r="S391" s="5" t="str">
        <f aca="false">IF(R391="","",MAX(0,R391-G391))</f>
        <v/>
      </c>
      <c r="T391" s="21" t="str">
        <f aca="false">IF(S391="","",S391*K391)</f>
        <v/>
      </c>
      <c r="U391" s="5" t="str">
        <f aca="false">IF(A391="","",IF(J391&gt;Parâmetros!$C$14,"SIM","NAO"))</f>
        <v/>
      </c>
      <c r="V391" s="5" t="str">
        <f aca="false">IF(B391="","",TRIM(LEFT(B391,IFERROR(FIND(" ",B391)-1,LEN(B391)))))</f>
        <v/>
      </c>
      <c r="W391" s="22"/>
      <c r="X391" s="5" t="str">
        <f aca="false">IF(A391="","",IF(W391&lt;&gt;"",W391,V391))</f>
        <v/>
      </c>
      <c r="Y391" s="5" t="str">
        <f aca="false">IF(A391="","",IF(COUNTIFS($X$2:$X$2001,X391,$D$2:$D$2001,"&lt;&gt;"&amp;D391,$C$2:$C$2001,C391)&gt;0,"SIM","NAO"))</f>
        <v/>
      </c>
      <c r="Z391" s="5" t="str">
        <f aca="false">IF(A391="","",IF(J391="","",IFERROR(360/J391,"")))</f>
        <v/>
      </c>
      <c r="AA391" s="5" t="str">
        <f aca="false">IF(A391="","",IF(H391=0,"Parado (sem venda 90d)",IF(Z391&gt;12,"Alto (&gt;12x/ano)",IF(Z391&gt;=4,"Medio (4-12x/ano)","Baixo (&lt;4x/ano)"))))</f>
        <v/>
      </c>
    </row>
    <row r="392" customFormat="false" ht="15" hidden="false" customHeight="true" outlineLevel="0" collapsed="false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18"/>
      <c r="L392" s="19" t="str">
        <f aca="false">IF(A392="","",G392*K392)</f>
        <v/>
      </c>
      <c r="M392" s="20"/>
      <c r="N392" s="6"/>
      <c r="O392" s="6"/>
      <c r="P392" s="5" t="str">
        <f aca="false">IF(A392="","",H392/90)</f>
        <v/>
      </c>
      <c r="Q392" s="5" t="str">
        <f aca="false">IF(A392="","",IFERROR(INDEX(Parâmetros!$C$6:$C$10,MATCH(F392,Parâmetros!$B$6:$B$10,0)),""))</f>
        <v/>
      </c>
      <c r="R392" s="5" t="str">
        <f aca="false">IF(OR(A392="",P392="",Q392=""),"",P392*Q392)</f>
        <v/>
      </c>
      <c r="S392" s="5" t="str">
        <f aca="false">IF(R392="","",MAX(0,R392-G392))</f>
        <v/>
      </c>
      <c r="T392" s="21" t="str">
        <f aca="false">IF(S392="","",S392*K392)</f>
        <v/>
      </c>
      <c r="U392" s="5" t="str">
        <f aca="false">IF(A392="","",IF(J392&gt;Parâmetros!$C$14,"SIM","NAO"))</f>
        <v/>
      </c>
      <c r="V392" s="5" t="str">
        <f aca="false">IF(B392="","",TRIM(LEFT(B392,IFERROR(FIND(" ",B392)-1,LEN(B392)))))</f>
        <v/>
      </c>
      <c r="W392" s="22"/>
      <c r="X392" s="5" t="str">
        <f aca="false">IF(A392="","",IF(W392&lt;&gt;"",W392,V392))</f>
        <v/>
      </c>
      <c r="Y392" s="5" t="str">
        <f aca="false">IF(A392="","",IF(COUNTIFS($X$2:$X$2001,X392,$D$2:$D$2001,"&lt;&gt;"&amp;D392,$C$2:$C$2001,C392)&gt;0,"SIM","NAO"))</f>
        <v/>
      </c>
      <c r="Z392" s="5" t="str">
        <f aca="false">IF(A392="","",IF(J392="","",IFERROR(360/J392,"")))</f>
        <v/>
      </c>
      <c r="AA392" s="5" t="str">
        <f aca="false">IF(A392="","",IF(H392=0,"Parado (sem venda 90d)",IF(Z392&gt;12,"Alto (&gt;12x/ano)",IF(Z392&gt;=4,"Medio (4-12x/ano)","Baixo (&lt;4x/ano)"))))</f>
        <v/>
      </c>
    </row>
    <row r="393" customFormat="false" ht="15" hidden="false" customHeight="true" outlineLevel="0" collapsed="false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18"/>
      <c r="L393" s="19" t="str">
        <f aca="false">IF(A393="","",G393*K393)</f>
        <v/>
      </c>
      <c r="M393" s="20"/>
      <c r="N393" s="6"/>
      <c r="O393" s="6"/>
      <c r="P393" s="5" t="str">
        <f aca="false">IF(A393="","",H393/90)</f>
        <v/>
      </c>
      <c r="Q393" s="5" t="str">
        <f aca="false">IF(A393="","",IFERROR(INDEX(Parâmetros!$C$6:$C$10,MATCH(F393,Parâmetros!$B$6:$B$10,0)),""))</f>
        <v/>
      </c>
      <c r="R393" s="5" t="str">
        <f aca="false">IF(OR(A393="",P393="",Q393=""),"",P393*Q393)</f>
        <v/>
      </c>
      <c r="S393" s="5" t="str">
        <f aca="false">IF(R393="","",MAX(0,R393-G393))</f>
        <v/>
      </c>
      <c r="T393" s="21" t="str">
        <f aca="false">IF(S393="","",S393*K393)</f>
        <v/>
      </c>
      <c r="U393" s="5" t="str">
        <f aca="false">IF(A393="","",IF(J393&gt;Parâmetros!$C$14,"SIM","NAO"))</f>
        <v/>
      </c>
      <c r="V393" s="5" t="str">
        <f aca="false">IF(B393="","",TRIM(LEFT(B393,IFERROR(FIND(" ",B393)-1,LEN(B393)))))</f>
        <v/>
      </c>
      <c r="W393" s="22"/>
      <c r="X393" s="5" t="str">
        <f aca="false">IF(A393="","",IF(W393&lt;&gt;"",W393,V393))</f>
        <v/>
      </c>
      <c r="Y393" s="5" t="str">
        <f aca="false">IF(A393="","",IF(COUNTIFS($X$2:$X$2001,X393,$D$2:$D$2001,"&lt;&gt;"&amp;D393,$C$2:$C$2001,C393)&gt;0,"SIM","NAO"))</f>
        <v/>
      </c>
      <c r="Z393" s="5" t="str">
        <f aca="false">IF(A393="","",IF(J393="","",IFERROR(360/J393,"")))</f>
        <v/>
      </c>
      <c r="AA393" s="5" t="str">
        <f aca="false">IF(A393="","",IF(H393=0,"Parado (sem venda 90d)",IF(Z393&gt;12,"Alto (&gt;12x/ano)",IF(Z393&gt;=4,"Medio (4-12x/ano)","Baixo (&lt;4x/ano)"))))</f>
        <v/>
      </c>
    </row>
    <row r="394" customFormat="false" ht="15" hidden="false" customHeight="true" outlineLevel="0" collapsed="false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18"/>
      <c r="L394" s="19" t="str">
        <f aca="false">IF(A394="","",G394*K394)</f>
        <v/>
      </c>
      <c r="M394" s="20"/>
      <c r="N394" s="6"/>
      <c r="O394" s="6"/>
      <c r="P394" s="5" t="str">
        <f aca="false">IF(A394="","",H394/90)</f>
        <v/>
      </c>
      <c r="Q394" s="5" t="str">
        <f aca="false">IF(A394="","",IFERROR(INDEX(Parâmetros!$C$6:$C$10,MATCH(F394,Parâmetros!$B$6:$B$10,0)),""))</f>
        <v/>
      </c>
      <c r="R394" s="5" t="str">
        <f aca="false">IF(OR(A394="",P394="",Q394=""),"",P394*Q394)</f>
        <v/>
      </c>
      <c r="S394" s="5" t="str">
        <f aca="false">IF(R394="","",MAX(0,R394-G394))</f>
        <v/>
      </c>
      <c r="T394" s="21" t="str">
        <f aca="false">IF(S394="","",S394*K394)</f>
        <v/>
      </c>
      <c r="U394" s="5" t="str">
        <f aca="false">IF(A394="","",IF(J394&gt;Parâmetros!$C$14,"SIM","NAO"))</f>
        <v/>
      </c>
      <c r="V394" s="5" t="str">
        <f aca="false">IF(B394="","",TRIM(LEFT(B394,IFERROR(FIND(" ",B394)-1,LEN(B394)))))</f>
        <v/>
      </c>
      <c r="W394" s="22"/>
      <c r="X394" s="5" t="str">
        <f aca="false">IF(A394="","",IF(W394&lt;&gt;"",W394,V394))</f>
        <v/>
      </c>
      <c r="Y394" s="5" t="str">
        <f aca="false">IF(A394="","",IF(COUNTIFS($X$2:$X$2001,X394,$D$2:$D$2001,"&lt;&gt;"&amp;D394,$C$2:$C$2001,C394)&gt;0,"SIM","NAO"))</f>
        <v/>
      </c>
      <c r="Z394" s="5" t="str">
        <f aca="false">IF(A394="","",IF(J394="","",IFERROR(360/J394,"")))</f>
        <v/>
      </c>
      <c r="AA394" s="5" t="str">
        <f aca="false">IF(A394="","",IF(H394=0,"Parado (sem venda 90d)",IF(Z394&gt;12,"Alto (&gt;12x/ano)",IF(Z394&gt;=4,"Medio (4-12x/ano)","Baixo (&lt;4x/ano)"))))</f>
        <v/>
      </c>
    </row>
    <row r="395" customFormat="false" ht="15" hidden="false" customHeight="true" outlineLevel="0" collapsed="false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18"/>
      <c r="L395" s="19" t="str">
        <f aca="false">IF(A395="","",G395*K395)</f>
        <v/>
      </c>
      <c r="M395" s="20"/>
      <c r="N395" s="6"/>
      <c r="O395" s="6"/>
      <c r="P395" s="5" t="str">
        <f aca="false">IF(A395="","",H395/90)</f>
        <v/>
      </c>
      <c r="Q395" s="5" t="str">
        <f aca="false">IF(A395="","",IFERROR(INDEX(Parâmetros!$C$6:$C$10,MATCH(F395,Parâmetros!$B$6:$B$10,0)),""))</f>
        <v/>
      </c>
      <c r="R395" s="5" t="str">
        <f aca="false">IF(OR(A395="",P395="",Q395=""),"",P395*Q395)</f>
        <v/>
      </c>
      <c r="S395" s="5" t="str">
        <f aca="false">IF(R395="","",MAX(0,R395-G395))</f>
        <v/>
      </c>
      <c r="T395" s="21" t="str">
        <f aca="false">IF(S395="","",S395*K395)</f>
        <v/>
      </c>
      <c r="U395" s="5" t="str">
        <f aca="false">IF(A395="","",IF(J395&gt;Parâmetros!$C$14,"SIM","NAO"))</f>
        <v/>
      </c>
      <c r="V395" s="5" t="str">
        <f aca="false">IF(B395="","",TRIM(LEFT(B395,IFERROR(FIND(" ",B395)-1,LEN(B395)))))</f>
        <v/>
      </c>
      <c r="W395" s="22"/>
      <c r="X395" s="5" t="str">
        <f aca="false">IF(A395="","",IF(W395&lt;&gt;"",W395,V395))</f>
        <v/>
      </c>
      <c r="Y395" s="5" t="str">
        <f aca="false">IF(A395="","",IF(COUNTIFS($X$2:$X$2001,X395,$D$2:$D$2001,"&lt;&gt;"&amp;D395,$C$2:$C$2001,C395)&gt;0,"SIM","NAO"))</f>
        <v/>
      </c>
      <c r="Z395" s="5" t="str">
        <f aca="false">IF(A395="","",IF(J395="","",IFERROR(360/J395,"")))</f>
        <v/>
      </c>
      <c r="AA395" s="5" t="str">
        <f aca="false">IF(A395="","",IF(H395=0,"Parado (sem venda 90d)",IF(Z395&gt;12,"Alto (&gt;12x/ano)",IF(Z395&gt;=4,"Medio (4-12x/ano)","Baixo (&lt;4x/ano)"))))</f>
        <v/>
      </c>
    </row>
    <row r="396" customFormat="false" ht="15" hidden="false" customHeight="true" outlineLevel="0" collapsed="false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18"/>
      <c r="L396" s="19" t="str">
        <f aca="false">IF(A396="","",G396*K396)</f>
        <v/>
      </c>
      <c r="M396" s="20"/>
      <c r="N396" s="6"/>
      <c r="O396" s="6"/>
      <c r="P396" s="5" t="str">
        <f aca="false">IF(A396="","",H396/90)</f>
        <v/>
      </c>
      <c r="Q396" s="5" t="str">
        <f aca="false">IF(A396="","",IFERROR(INDEX(Parâmetros!$C$6:$C$10,MATCH(F396,Parâmetros!$B$6:$B$10,0)),""))</f>
        <v/>
      </c>
      <c r="R396" s="5" t="str">
        <f aca="false">IF(OR(A396="",P396="",Q396=""),"",P396*Q396)</f>
        <v/>
      </c>
      <c r="S396" s="5" t="str">
        <f aca="false">IF(R396="","",MAX(0,R396-G396))</f>
        <v/>
      </c>
      <c r="T396" s="21" t="str">
        <f aca="false">IF(S396="","",S396*K396)</f>
        <v/>
      </c>
      <c r="U396" s="5" t="str">
        <f aca="false">IF(A396="","",IF(J396&gt;Parâmetros!$C$14,"SIM","NAO"))</f>
        <v/>
      </c>
      <c r="V396" s="5" t="str">
        <f aca="false">IF(B396="","",TRIM(LEFT(B396,IFERROR(FIND(" ",B396)-1,LEN(B396)))))</f>
        <v/>
      </c>
      <c r="W396" s="22"/>
      <c r="X396" s="5" t="str">
        <f aca="false">IF(A396="","",IF(W396&lt;&gt;"",W396,V396))</f>
        <v/>
      </c>
      <c r="Y396" s="5" t="str">
        <f aca="false">IF(A396="","",IF(COUNTIFS($X$2:$X$2001,X396,$D$2:$D$2001,"&lt;&gt;"&amp;D396,$C$2:$C$2001,C396)&gt;0,"SIM","NAO"))</f>
        <v/>
      </c>
      <c r="Z396" s="5" t="str">
        <f aca="false">IF(A396="","",IF(J396="","",IFERROR(360/J396,"")))</f>
        <v/>
      </c>
      <c r="AA396" s="5" t="str">
        <f aca="false">IF(A396="","",IF(H396=0,"Parado (sem venda 90d)",IF(Z396&gt;12,"Alto (&gt;12x/ano)",IF(Z396&gt;=4,"Medio (4-12x/ano)","Baixo (&lt;4x/ano)"))))</f>
        <v/>
      </c>
    </row>
    <row r="397" customFormat="false" ht="15" hidden="false" customHeight="true" outlineLevel="0" collapsed="false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18"/>
      <c r="L397" s="19" t="str">
        <f aca="false">IF(A397="","",G397*K397)</f>
        <v/>
      </c>
      <c r="M397" s="20"/>
      <c r="N397" s="6"/>
      <c r="O397" s="6"/>
      <c r="P397" s="5" t="str">
        <f aca="false">IF(A397="","",H397/90)</f>
        <v/>
      </c>
      <c r="Q397" s="5" t="str">
        <f aca="false">IF(A397="","",IFERROR(INDEX(Parâmetros!$C$6:$C$10,MATCH(F397,Parâmetros!$B$6:$B$10,0)),""))</f>
        <v/>
      </c>
      <c r="R397" s="5" t="str">
        <f aca="false">IF(OR(A397="",P397="",Q397=""),"",P397*Q397)</f>
        <v/>
      </c>
      <c r="S397" s="5" t="str">
        <f aca="false">IF(R397="","",MAX(0,R397-G397))</f>
        <v/>
      </c>
      <c r="T397" s="21" t="str">
        <f aca="false">IF(S397="","",S397*K397)</f>
        <v/>
      </c>
      <c r="U397" s="5" t="str">
        <f aca="false">IF(A397="","",IF(J397&gt;Parâmetros!$C$14,"SIM","NAO"))</f>
        <v/>
      </c>
      <c r="V397" s="5" t="str">
        <f aca="false">IF(B397="","",TRIM(LEFT(B397,IFERROR(FIND(" ",B397)-1,LEN(B397)))))</f>
        <v/>
      </c>
      <c r="W397" s="22"/>
      <c r="X397" s="5" t="str">
        <f aca="false">IF(A397="","",IF(W397&lt;&gt;"",W397,V397))</f>
        <v/>
      </c>
      <c r="Y397" s="5" t="str">
        <f aca="false">IF(A397="","",IF(COUNTIFS($X$2:$X$2001,X397,$D$2:$D$2001,"&lt;&gt;"&amp;D397,$C$2:$C$2001,C397)&gt;0,"SIM","NAO"))</f>
        <v/>
      </c>
      <c r="Z397" s="5" t="str">
        <f aca="false">IF(A397="","",IF(J397="","",IFERROR(360/J397,"")))</f>
        <v/>
      </c>
      <c r="AA397" s="5" t="str">
        <f aca="false">IF(A397="","",IF(H397=0,"Parado (sem venda 90d)",IF(Z397&gt;12,"Alto (&gt;12x/ano)",IF(Z397&gt;=4,"Medio (4-12x/ano)","Baixo (&lt;4x/ano)"))))</f>
        <v/>
      </c>
    </row>
    <row r="398" customFormat="false" ht="15" hidden="false" customHeight="true" outlineLevel="0" collapsed="false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18"/>
      <c r="L398" s="19" t="str">
        <f aca="false">IF(A398="","",G398*K398)</f>
        <v/>
      </c>
      <c r="M398" s="20"/>
      <c r="N398" s="6"/>
      <c r="O398" s="6"/>
      <c r="P398" s="5" t="str">
        <f aca="false">IF(A398="","",H398/90)</f>
        <v/>
      </c>
      <c r="Q398" s="5" t="str">
        <f aca="false">IF(A398="","",IFERROR(INDEX(Parâmetros!$C$6:$C$10,MATCH(F398,Parâmetros!$B$6:$B$10,0)),""))</f>
        <v/>
      </c>
      <c r="R398" s="5" t="str">
        <f aca="false">IF(OR(A398="",P398="",Q398=""),"",P398*Q398)</f>
        <v/>
      </c>
      <c r="S398" s="5" t="str">
        <f aca="false">IF(R398="","",MAX(0,R398-G398))</f>
        <v/>
      </c>
      <c r="T398" s="21" t="str">
        <f aca="false">IF(S398="","",S398*K398)</f>
        <v/>
      </c>
      <c r="U398" s="5" t="str">
        <f aca="false">IF(A398="","",IF(J398&gt;Parâmetros!$C$14,"SIM","NAO"))</f>
        <v/>
      </c>
      <c r="V398" s="5" t="str">
        <f aca="false">IF(B398="","",TRIM(LEFT(B398,IFERROR(FIND(" ",B398)-1,LEN(B398)))))</f>
        <v/>
      </c>
      <c r="W398" s="22"/>
      <c r="X398" s="5" t="str">
        <f aca="false">IF(A398="","",IF(W398&lt;&gt;"",W398,V398))</f>
        <v/>
      </c>
      <c r="Y398" s="5" t="str">
        <f aca="false">IF(A398="","",IF(COUNTIFS($X$2:$X$2001,X398,$D$2:$D$2001,"&lt;&gt;"&amp;D398,$C$2:$C$2001,C398)&gt;0,"SIM","NAO"))</f>
        <v/>
      </c>
      <c r="Z398" s="5" t="str">
        <f aca="false">IF(A398="","",IF(J398="","",IFERROR(360/J398,"")))</f>
        <v/>
      </c>
      <c r="AA398" s="5" t="str">
        <f aca="false">IF(A398="","",IF(H398=0,"Parado (sem venda 90d)",IF(Z398&gt;12,"Alto (&gt;12x/ano)",IF(Z398&gt;=4,"Medio (4-12x/ano)","Baixo (&lt;4x/ano)"))))</f>
        <v/>
      </c>
    </row>
    <row r="399" customFormat="false" ht="15" hidden="false" customHeight="true" outlineLevel="0" collapsed="false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18"/>
      <c r="L399" s="19" t="str">
        <f aca="false">IF(A399="","",G399*K399)</f>
        <v/>
      </c>
      <c r="M399" s="20"/>
      <c r="N399" s="6"/>
      <c r="O399" s="6"/>
      <c r="P399" s="5" t="str">
        <f aca="false">IF(A399="","",H399/90)</f>
        <v/>
      </c>
      <c r="Q399" s="5" t="str">
        <f aca="false">IF(A399="","",IFERROR(INDEX(Parâmetros!$C$6:$C$10,MATCH(F399,Parâmetros!$B$6:$B$10,0)),""))</f>
        <v/>
      </c>
      <c r="R399" s="5" t="str">
        <f aca="false">IF(OR(A399="",P399="",Q399=""),"",P399*Q399)</f>
        <v/>
      </c>
      <c r="S399" s="5" t="str">
        <f aca="false">IF(R399="","",MAX(0,R399-G399))</f>
        <v/>
      </c>
      <c r="T399" s="21" t="str">
        <f aca="false">IF(S399="","",S399*K399)</f>
        <v/>
      </c>
      <c r="U399" s="5" t="str">
        <f aca="false">IF(A399="","",IF(J399&gt;Parâmetros!$C$14,"SIM","NAO"))</f>
        <v/>
      </c>
      <c r="V399" s="5" t="str">
        <f aca="false">IF(B399="","",TRIM(LEFT(B399,IFERROR(FIND(" ",B399)-1,LEN(B399)))))</f>
        <v/>
      </c>
      <c r="W399" s="22"/>
      <c r="X399" s="5" t="str">
        <f aca="false">IF(A399="","",IF(W399&lt;&gt;"",W399,V399))</f>
        <v/>
      </c>
      <c r="Y399" s="5" t="str">
        <f aca="false">IF(A399="","",IF(COUNTIFS($X$2:$X$2001,X399,$D$2:$D$2001,"&lt;&gt;"&amp;D399,$C$2:$C$2001,C399)&gt;0,"SIM","NAO"))</f>
        <v/>
      </c>
      <c r="Z399" s="5" t="str">
        <f aca="false">IF(A399="","",IF(J399="","",IFERROR(360/J399,"")))</f>
        <v/>
      </c>
      <c r="AA399" s="5" t="str">
        <f aca="false">IF(A399="","",IF(H399=0,"Parado (sem venda 90d)",IF(Z399&gt;12,"Alto (&gt;12x/ano)",IF(Z399&gt;=4,"Medio (4-12x/ano)","Baixo (&lt;4x/ano)"))))</f>
        <v/>
      </c>
    </row>
    <row r="400" customFormat="false" ht="15" hidden="false" customHeight="true" outlineLevel="0" collapsed="false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18"/>
      <c r="L400" s="19" t="str">
        <f aca="false">IF(A400="","",G400*K400)</f>
        <v/>
      </c>
      <c r="M400" s="20"/>
      <c r="N400" s="6"/>
      <c r="O400" s="6"/>
      <c r="P400" s="5" t="str">
        <f aca="false">IF(A400="","",H400/90)</f>
        <v/>
      </c>
      <c r="Q400" s="5" t="str">
        <f aca="false">IF(A400="","",IFERROR(INDEX(Parâmetros!$C$6:$C$10,MATCH(F400,Parâmetros!$B$6:$B$10,0)),""))</f>
        <v/>
      </c>
      <c r="R400" s="5" t="str">
        <f aca="false">IF(OR(A400="",P400="",Q400=""),"",P400*Q400)</f>
        <v/>
      </c>
      <c r="S400" s="5" t="str">
        <f aca="false">IF(R400="","",MAX(0,R400-G400))</f>
        <v/>
      </c>
      <c r="T400" s="21" t="str">
        <f aca="false">IF(S400="","",S400*K400)</f>
        <v/>
      </c>
      <c r="U400" s="5" t="str">
        <f aca="false">IF(A400="","",IF(J400&gt;Parâmetros!$C$14,"SIM","NAO"))</f>
        <v/>
      </c>
      <c r="V400" s="5" t="str">
        <f aca="false">IF(B400="","",TRIM(LEFT(B400,IFERROR(FIND(" ",B400)-1,LEN(B400)))))</f>
        <v/>
      </c>
      <c r="W400" s="22"/>
      <c r="X400" s="5" t="str">
        <f aca="false">IF(A400="","",IF(W400&lt;&gt;"",W400,V400))</f>
        <v/>
      </c>
      <c r="Y400" s="5" t="str">
        <f aca="false">IF(A400="","",IF(COUNTIFS($X$2:$X$2001,X400,$D$2:$D$2001,"&lt;&gt;"&amp;D400,$C$2:$C$2001,C400)&gt;0,"SIM","NAO"))</f>
        <v/>
      </c>
      <c r="Z400" s="5" t="str">
        <f aca="false">IF(A400="","",IF(J400="","",IFERROR(360/J400,"")))</f>
        <v/>
      </c>
      <c r="AA400" s="5" t="str">
        <f aca="false">IF(A400="","",IF(H400=0,"Parado (sem venda 90d)",IF(Z400&gt;12,"Alto (&gt;12x/ano)",IF(Z400&gt;=4,"Medio (4-12x/ano)","Baixo (&lt;4x/ano)"))))</f>
        <v/>
      </c>
    </row>
    <row r="401" customFormat="false" ht="15" hidden="false" customHeight="true" outlineLevel="0" collapsed="false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18"/>
      <c r="L401" s="19" t="str">
        <f aca="false">IF(A401="","",G401*K401)</f>
        <v/>
      </c>
      <c r="M401" s="20"/>
      <c r="N401" s="6"/>
      <c r="O401" s="6"/>
      <c r="P401" s="5" t="str">
        <f aca="false">IF(A401="","",H401/90)</f>
        <v/>
      </c>
      <c r="Q401" s="5" t="str">
        <f aca="false">IF(A401="","",IFERROR(INDEX(Parâmetros!$C$6:$C$10,MATCH(F401,Parâmetros!$B$6:$B$10,0)),""))</f>
        <v/>
      </c>
      <c r="R401" s="5" t="str">
        <f aca="false">IF(OR(A401="",P401="",Q401=""),"",P401*Q401)</f>
        <v/>
      </c>
      <c r="S401" s="5" t="str">
        <f aca="false">IF(R401="","",MAX(0,R401-G401))</f>
        <v/>
      </c>
      <c r="T401" s="21" t="str">
        <f aca="false">IF(S401="","",S401*K401)</f>
        <v/>
      </c>
      <c r="U401" s="5" t="str">
        <f aca="false">IF(A401="","",IF(J401&gt;Parâmetros!$C$14,"SIM","NAO"))</f>
        <v/>
      </c>
      <c r="V401" s="5" t="str">
        <f aca="false">IF(B401="","",TRIM(LEFT(B401,IFERROR(FIND(" ",B401)-1,LEN(B401)))))</f>
        <v/>
      </c>
      <c r="W401" s="22"/>
      <c r="X401" s="5" t="str">
        <f aca="false">IF(A401="","",IF(W401&lt;&gt;"",W401,V401))</f>
        <v/>
      </c>
      <c r="Y401" s="5" t="str">
        <f aca="false">IF(A401="","",IF(COUNTIFS($X$2:$X$2001,X401,$D$2:$D$2001,"&lt;&gt;"&amp;D401,$C$2:$C$2001,C401)&gt;0,"SIM","NAO"))</f>
        <v/>
      </c>
      <c r="Z401" s="5" t="str">
        <f aca="false">IF(A401="","",IF(J401="","",IFERROR(360/J401,"")))</f>
        <v/>
      </c>
      <c r="AA401" s="5" t="str">
        <f aca="false">IF(A401="","",IF(H401=0,"Parado (sem venda 90d)",IF(Z401&gt;12,"Alto (&gt;12x/ano)",IF(Z401&gt;=4,"Medio (4-12x/ano)","Baixo (&lt;4x/ano)"))))</f>
        <v/>
      </c>
    </row>
    <row r="402" customFormat="false" ht="15" hidden="false" customHeight="true" outlineLevel="0" collapsed="false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18"/>
      <c r="L402" s="19" t="str">
        <f aca="false">IF(A402="","",G402*K402)</f>
        <v/>
      </c>
      <c r="M402" s="20"/>
      <c r="N402" s="6"/>
      <c r="O402" s="6"/>
      <c r="P402" s="5" t="str">
        <f aca="false">IF(A402="","",H402/90)</f>
        <v/>
      </c>
      <c r="Q402" s="5" t="str">
        <f aca="false">IF(A402="","",IFERROR(INDEX(Parâmetros!$C$6:$C$10,MATCH(F402,Parâmetros!$B$6:$B$10,0)),""))</f>
        <v/>
      </c>
      <c r="R402" s="5" t="str">
        <f aca="false">IF(OR(A402="",P402="",Q402=""),"",P402*Q402)</f>
        <v/>
      </c>
      <c r="S402" s="5" t="str">
        <f aca="false">IF(R402="","",MAX(0,R402-G402))</f>
        <v/>
      </c>
      <c r="T402" s="21" t="str">
        <f aca="false">IF(S402="","",S402*K402)</f>
        <v/>
      </c>
      <c r="U402" s="5" t="str">
        <f aca="false">IF(A402="","",IF(J402&gt;Parâmetros!$C$14,"SIM","NAO"))</f>
        <v/>
      </c>
      <c r="V402" s="5" t="str">
        <f aca="false">IF(B402="","",TRIM(LEFT(B402,IFERROR(FIND(" ",B402)-1,LEN(B402)))))</f>
        <v/>
      </c>
      <c r="W402" s="22"/>
      <c r="X402" s="5" t="str">
        <f aca="false">IF(A402="","",IF(W402&lt;&gt;"",W402,V402))</f>
        <v/>
      </c>
      <c r="Y402" s="5" t="str">
        <f aca="false">IF(A402="","",IF(COUNTIFS($X$2:$X$2001,X402,$D$2:$D$2001,"&lt;&gt;"&amp;D402,$C$2:$C$2001,C402)&gt;0,"SIM","NAO"))</f>
        <v/>
      </c>
      <c r="Z402" s="5" t="str">
        <f aca="false">IF(A402="","",IF(J402="","",IFERROR(360/J402,"")))</f>
        <v/>
      </c>
      <c r="AA402" s="5" t="str">
        <f aca="false">IF(A402="","",IF(H402=0,"Parado (sem venda 90d)",IF(Z402&gt;12,"Alto (&gt;12x/ano)",IF(Z402&gt;=4,"Medio (4-12x/ano)","Baixo (&lt;4x/ano)"))))</f>
        <v/>
      </c>
    </row>
    <row r="403" customFormat="false" ht="15" hidden="false" customHeight="true" outlineLevel="0" collapsed="false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18"/>
      <c r="L403" s="19" t="str">
        <f aca="false">IF(A403="","",G403*K403)</f>
        <v/>
      </c>
      <c r="M403" s="20"/>
      <c r="N403" s="6"/>
      <c r="O403" s="6"/>
      <c r="P403" s="5" t="str">
        <f aca="false">IF(A403="","",H403/90)</f>
        <v/>
      </c>
      <c r="Q403" s="5" t="str">
        <f aca="false">IF(A403="","",IFERROR(INDEX(Parâmetros!$C$6:$C$10,MATCH(F403,Parâmetros!$B$6:$B$10,0)),""))</f>
        <v/>
      </c>
      <c r="R403" s="5" t="str">
        <f aca="false">IF(OR(A403="",P403="",Q403=""),"",P403*Q403)</f>
        <v/>
      </c>
      <c r="S403" s="5" t="str">
        <f aca="false">IF(R403="","",MAX(0,R403-G403))</f>
        <v/>
      </c>
      <c r="T403" s="21" t="str">
        <f aca="false">IF(S403="","",S403*K403)</f>
        <v/>
      </c>
      <c r="U403" s="5" t="str">
        <f aca="false">IF(A403="","",IF(J403&gt;Parâmetros!$C$14,"SIM","NAO"))</f>
        <v/>
      </c>
      <c r="V403" s="5" t="str">
        <f aca="false">IF(B403="","",TRIM(LEFT(B403,IFERROR(FIND(" ",B403)-1,LEN(B403)))))</f>
        <v/>
      </c>
      <c r="W403" s="22"/>
      <c r="X403" s="5" t="str">
        <f aca="false">IF(A403="","",IF(W403&lt;&gt;"",W403,V403))</f>
        <v/>
      </c>
      <c r="Y403" s="5" t="str">
        <f aca="false">IF(A403="","",IF(COUNTIFS($X$2:$X$2001,X403,$D$2:$D$2001,"&lt;&gt;"&amp;D403,$C$2:$C$2001,C403)&gt;0,"SIM","NAO"))</f>
        <v/>
      </c>
      <c r="Z403" s="5" t="str">
        <f aca="false">IF(A403="","",IF(J403="","",IFERROR(360/J403,"")))</f>
        <v/>
      </c>
      <c r="AA403" s="5" t="str">
        <f aca="false">IF(A403="","",IF(H403=0,"Parado (sem venda 90d)",IF(Z403&gt;12,"Alto (&gt;12x/ano)",IF(Z403&gt;=4,"Medio (4-12x/ano)","Baixo (&lt;4x/ano)"))))</f>
        <v/>
      </c>
    </row>
    <row r="404" customFormat="false" ht="15" hidden="false" customHeight="true" outlineLevel="0" collapsed="false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18"/>
      <c r="L404" s="19" t="str">
        <f aca="false">IF(A404="","",G404*K404)</f>
        <v/>
      </c>
      <c r="M404" s="20"/>
      <c r="N404" s="6"/>
      <c r="O404" s="6"/>
      <c r="P404" s="5" t="str">
        <f aca="false">IF(A404="","",H404/90)</f>
        <v/>
      </c>
      <c r="Q404" s="5" t="str">
        <f aca="false">IF(A404="","",IFERROR(INDEX(Parâmetros!$C$6:$C$10,MATCH(F404,Parâmetros!$B$6:$B$10,0)),""))</f>
        <v/>
      </c>
      <c r="R404" s="5" t="str">
        <f aca="false">IF(OR(A404="",P404="",Q404=""),"",P404*Q404)</f>
        <v/>
      </c>
      <c r="S404" s="5" t="str">
        <f aca="false">IF(R404="","",MAX(0,R404-G404))</f>
        <v/>
      </c>
      <c r="T404" s="21" t="str">
        <f aca="false">IF(S404="","",S404*K404)</f>
        <v/>
      </c>
      <c r="U404" s="5" t="str">
        <f aca="false">IF(A404="","",IF(J404&gt;Parâmetros!$C$14,"SIM","NAO"))</f>
        <v/>
      </c>
      <c r="V404" s="5" t="str">
        <f aca="false">IF(B404="","",TRIM(LEFT(B404,IFERROR(FIND(" ",B404)-1,LEN(B404)))))</f>
        <v/>
      </c>
      <c r="W404" s="22"/>
      <c r="X404" s="5" t="str">
        <f aca="false">IF(A404="","",IF(W404&lt;&gt;"",W404,V404))</f>
        <v/>
      </c>
      <c r="Y404" s="5" t="str">
        <f aca="false">IF(A404="","",IF(COUNTIFS($X$2:$X$2001,X404,$D$2:$D$2001,"&lt;&gt;"&amp;D404,$C$2:$C$2001,C404)&gt;0,"SIM","NAO"))</f>
        <v/>
      </c>
      <c r="Z404" s="5" t="str">
        <f aca="false">IF(A404="","",IF(J404="","",IFERROR(360/J404,"")))</f>
        <v/>
      </c>
      <c r="AA404" s="5" t="str">
        <f aca="false">IF(A404="","",IF(H404=0,"Parado (sem venda 90d)",IF(Z404&gt;12,"Alto (&gt;12x/ano)",IF(Z404&gt;=4,"Medio (4-12x/ano)","Baixo (&lt;4x/ano)"))))</f>
        <v/>
      </c>
    </row>
    <row r="405" customFormat="false" ht="15" hidden="false" customHeight="true" outlineLevel="0" collapsed="false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18"/>
      <c r="L405" s="19" t="str">
        <f aca="false">IF(A405="","",G405*K405)</f>
        <v/>
      </c>
      <c r="M405" s="20"/>
      <c r="N405" s="6"/>
      <c r="O405" s="6"/>
      <c r="P405" s="5" t="str">
        <f aca="false">IF(A405="","",H405/90)</f>
        <v/>
      </c>
      <c r="Q405" s="5" t="str">
        <f aca="false">IF(A405="","",IFERROR(INDEX(Parâmetros!$C$6:$C$10,MATCH(F405,Parâmetros!$B$6:$B$10,0)),""))</f>
        <v/>
      </c>
      <c r="R405" s="5" t="str">
        <f aca="false">IF(OR(A405="",P405="",Q405=""),"",P405*Q405)</f>
        <v/>
      </c>
      <c r="S405" s="5" t="str">
        <f aca="false">IF(R405="","",MAX(0,R405-G405))</f>
        <v/>
      </c>
      <c r="T405" s="21" t="str">
        <f aca="false">IF(S405="","",S405*K405)</f>
        <v/>
      </c>
      <c r="U405" s="5" t="str">
        <f aca="false">IF(A405="","",IF(J405&gt;Parâmetros!$C$14,"SIM","NAO"))</f>
        <v/>
      </c>
      <c r="V405" s="5" t="str">
        <f aca="false">IF(B405="","",TRIM(LEFT(B405,IFERROR(FIND(" ",B405)-1,LEN(B405)))))</f>
        <v/>
      </c>
      <c r="W405" s="22"/>
      <c r="X405" s="5" t="str">
        <f aca="false">IF(A405="","",IF(W405&lt;&gt;"",W405,V405))</f>
        <v/>
      </c>
      <c r="Y405" s="5" t="str">
        <f aca="false">IF(A405="","",IF(COUNTIFS($X$2:$X$2001,X405,$D$2:$D$2001,"&lt;&gt;"&amp;D405,$C$2:$C$2001,C405)&gt;0,"SIM","NAO"))</f>
        <v/>
      </c>
      <c r="Z405" s="5" t="str">
        <f aca="false">IF(A405="","",IF(J405="","",IFERROR(360/J405,"")))</f>
        <v/>
      </c>
      <c r="AA405" s="5" t="str">
        <f aca="false">IF(A405="","",IF(H405=0,"Parado (sem venda 90d)",IF(Z405&gt;12,"Alto (&gt;12x/ano)",IF(Z405&gt;=4,"Medio (4-12x/ano)","Baixo (&lt;4x/ano)"))))</f>
        <v/>
      </c>
    </row>
    <row r="406" customFormat="false" ht="15" hidden="false" customHeight="true" outlineLevel="0" collapsed="false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18"/>
      <c r="L406" s="19" t="str">
        <f aca="false">IF(A406="","",G406*K406)</f>
        <v/>
      </c>
      <c r="M406" s="20"/>
      <c r="N406" s="6"/>
      <c r="O406" s="6"/>
      <c r="P406" s="5" t="str">
        <f aca="false">IF(A406="","",H406/90)</f>
        <v/>
      </c>
      <c r="Q406" s="5" t="str">
        <f aca="false">IF(A406="","",IFERROR(INDEX(Parâmetros!$C$6:$C$10,MATCH(F406,Parâmetros!$B$6:$B$10,0)),""))</f>
        <v/>
      </c>
      <c r="R406" s="5" t="str">
        <f aca="false">IF(OR(A406="",P406="",Q406=""),"",P406*Q406)</f>
        <v/>
      </c>
      <c r="S406" s="5" t="str">
        <f aca="false">IF(R406="","",MAX(0,R406-G406))</f>
        <v/>
      </c>
      <c r="T406" s="21" t="str">
        <f aca="false">IF(S406="","",S406*K406)</f>
        <v/>
      </c>
      <c r="U406" s="5" t="str">
        <f aca="false">IF(A406="","",IF(J406&gt;Parâmetros!$C$14,"SIM","NAO"))</f>
        <v/>
      </c>
      <c r="V406" s="5" t="str">
        <f aca="false">IF(B406="","",TRIM(LEFT(B406,IFERROR(FIND(" ",B406)-1,LEN(B406)))))</f>
        <v/>
      </c>
      <c r="W406" s="22"/>
      <c r="X406" s="5" t="str">
        <f aca="false">IF(A406="","",IF(W406&lt;&gt;"",W406,V406))</f>
        <v/>
      </c>
      <c r="Y406" s="5" t="str">
        <f aca="false">IF(A406="","",IF(COUNTIFS($X$2:$X$2001,X406,$D$2:$D$2001,"&lt;&gt;"&amp;D406,$C$2:$C$2001,C406)&gt;0,"SIM","NAO"))</f>
        <v/>
      </c>
      <c r="Z406" s="5" t="str">
        <f aca="false">IF(A406="","",IF(J406="","",IFERROR(360/J406,"")))</f>
        <v/>
      </c>
      <c r="AA406" s="5" t="str">
        <f aca="false">IF(A406="","",IF(H406=0,"Parado (sem venda 90d)",IF(Z406&gt;12,"Alto (&gt;12x/ano)",IF(Z406&gt;=4,"Medio (4-12x/ano)","Baixo (&lt;4x/ano)"))))</f>
        <v/>
      </c>
    </row>
    <row r="407" customFormat="false" ht="15" hidden="false" customHeight="true" outlineLevel="0" collapsed="false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18"/>
      <c r="L407" s="19" t="str">
        <f aca="false">IF(A407="","",G407*K407)</f>
        <v/>
      </c>
      <c r="M407" s="20"/>
      <c r="N407" s="6"/>
      <c r="O407" s="6"/>
      <c r="P407" s="5" t="str">
        <f aca="false">IF(A407="","",H407/90)</f>
        <v/>
      </c>
      <c r="Q407" s="5" t="str">
        <f aca="false">IF(A407="","",IFERROR(INDEX(Parâmetros!$C$6:$C$10,MATCH(F407,Parâmetros!$B$6:$B$10,0)),""))</f>
        <v/>
      </c>
      <c r="R407" s="5" t="str">
        <f aca="false">IF(OR(A407="",P407="",Q407=""),"",P407*Q407)</f>
        <v/>
      </c>
      <c r="S407" s="5" t="str">
        <f aca="false">IF(R407="","",MAX(0,R407-G407))</f>
        <v/>
      </c>
      <c r="T407" s="21" t="str">
        <f aca="false">IF(S407="","",S407*K407)</f>
        <v/>
      </c>
      <c r="U407" s="5" t="str">
        <f aca="false">IF(A407="","",IF(J407&gt;Parâmetros!$C$14,"SIM","NAO"))</f>
        <v/>
      </c>
      <c r="V407" s="5" t="str">
        <f aca="false">IF(B407="","",TRIM(LEFT(B407,IFERROR(FIND(" ",B407)-1,LEN(B407)))))</f>
        <v/>
      </c>
      <c r="W407" s="22"/>
      <c r="X407" s="5" t="str">
        <f aca="false">IF(A407="","",IF(W407&lt;&gt;"",W407,V407))</f>
        <v/>
      </c>
      <c r="Y407" s="5" t="str">
        <f aca="false">IF(A407="","",IF(COUNTIFS($X$2:$X$2001,X407,$D$2:$D$2001,"&lt;&gt;"&amp;D407,$C$2:$C$2001,C407)&gt;0,"SIM","NAO"))</f>
        <v/>
      </c>
      <c r="Z407" s="5" t="str">
        <f aca="false">IF(A407="","",IF(J407="","",IFERROR(360/J407,"")))</f>
        <v/>
      </c>
      <c r="AA407" s="5" t="str">
        <f aca="false">IF(A407="","",IF(H407=0,"Parado (sem venda 90d)",IF(Z407&gt;12,"Alto (&gt;12x/ano)",IF(Z407&gt;=4,"Medio (4-12x/ano)","Baixo (&lt;4x/ano)"))))</f>
        <v/>
      </c>
    </row>
    <row r="408" customFormat="false" ht="15" hidden="false" customHeight="true" outlineLevel="0" collapsed="false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18"/>
      <c r="L408" s="19" t="str">
        <f aca="false">IF(A408="","",G408*K408)</f>
        <v/>
      </c>
      <c r="M408" s="20"/>
      <c r="N408" s="6"/>
      <c r="O408" s="6"/>
      <c r="P408" s="5" t="str">
        <f aca="false">IF(A408="","",H408/90)</f>
        <v/>
      </c>
      <c r="Q408" s="5" t="str">
        <f aca="false">IF(A408="","",IFERROR(INDEX(Parâmetros!$C$6:$C$10,MATCH(F408,Parâmetros!$B$6:$B$10,0)),""))</f>
        <v/>
      </c>
      <c r="R408" s="5" t="str">
        <f aca="false">IF(OR(A408="",P408="",Q408=""),"",P408*Q408)</f>
        <v/>
      </c>
      <c r="S408" s="5" t="str">
        <f aca="false">IF(R408="","",MAX(0,R408-G408))</f>
        <v/>
      </c>
      <c r="T408" s="21" t="str">
        <f aca="false">IF(S408="","",S408*K408)</f>
        <v/>
      </c>
      <c r="U408" s="5" t="str">
        <f aca="false">IF(A408="","",IF(J408&gt;Parâmetros!$C$14,"SIM","NAO"))</f>
        <v/>
      </c>
      <c r="V408" s="5" t="str">
        <f aca="false">IF(B408="","",TRIM(LEFT(B408,IFERROR(FIND(" ",B408)-1,LEN(B408)))))</f>
        <v/>
      </c>
      <c r="W408" s="22"/>
      <c r="X408" s="5" t="str">
        <f aca="false">IF(A408="","",IF(W408&lt;&gt;"",W408,V408))</f>
        <v/>
      </c>
      <c r="Y408" s="5" t="str">
        <f aca="false">IF(A408="","",IF(COUNTIFS($X$2:$X$2001,X408,$D$2:$D$2001,"&lt;&gt;"&amp;D408,$C$2:$C$2001,C408)&gt;0,"SIM","NAO"))</f>
        <v/>
      </c>
      <c r="Z408" s="5" t="str">
        <f aca="false">IF(A408="","",IF(J408="","",IFERROR(360/J408,"")))</f>
        <v/>
      </c>
      <c r="AA408" s="5" t="str">
        <f aca="false">IF(A408="","",IF(H408=0,"Parado (sem venda 90d)",IF(Z408&gt;12,"Alto (&gt;12x/ano)",IF(Z408&gt;=4,"Medio (4-12x/ano)","Baixo (&lt;4x/ano)"))))</f>
        <v/>
      </c>
    </row>
    <row r="409" customFormat="false" ht="15" hidden="false" customHeight="true" outlineLevel="0" collapsed="false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18"/>
      <c r="L409" s="19" t="str">
        <f aca="false">IF(A409="","",G409*K409)</f>
        <v/>
      </c>
      <c r="M409" s="20"/>
      <c r="N409" s="6"/>
      <c r="O409" s="6"/>
      <c r="P409" s="5" t="str">
        <f aca="false">IF(A409="","",H409/90)</f>
        <v/>
      </c>
      <c r="Q409" s="5" t="str">
        <f aca="false">IF(A409="","",IFERROR(INDEX(Parâmetros!$C$6:$C$10,MATCH(F409,Parâmetros!$B$6:$B$10,0)),""))</f>
        <v/>
      </c>
      <c r="R409" s="5" t="str">
        <f aca="false">IF(OR(A409="",P409="",Q409=""),"",P409*Q409)</f>
        <v/>
      </c>
      <c r="S409" s="5" t="str">
        <f aca="false">IF(R409="","",MAX(0,R409-G409))</f>
        <v/>
      </c>
      <c r="T409" s="21" t="str">
        <f aca="false">IF(S409="","",S409*K409)</f>
        <v/>
      </c>
      <c r="U409" s="5" t="str">
        <f aca="false">IF(A409="","",IF(J409&gt;Parâmetros!$C$14,"SIM","NAO"))</f>
        <v/>
      </c>
      <c r="V409" s="5" t="str">
        <f aca="false">IF(B409="","",TRIM(LEFT(B409,IFERROR(FIND(" ",B409)-1,LEN(B409)))))</f>
        <v/>
      </c>
      <c r="W409" s="22"/>
      <c r="X409" s="5" t="str">
        <f aca="false">IF(A409="","",IF(W409&lt;&gt;"",W409,V409))</f>
        <v/>
      </c>
      <c r="Y409" s="5" t="str">
        <f aca="false">IF(A409="","",IF(COUNTIFS($X$2:$X$2001,X409,$D$2:$D$2001,"&lt;&gt;"&amp;D409,$C$2:$C$2001,C409)&gt;0,"SIM","NAO"))</f>
        <v/>
      </c>
      <c r="Z409" s="5" t="str">
        <f aca="false">IF(A409="","",IF(J409="","",IFERROR(360/J409,"")))</f>
        <v/>
      </c>
      <c r="AA409" s="5" t="str">
        <f aca="false">IF(A409="","",IF(H409=0,"Parado (sem venda 90d)",IF(Z409&gt;12,"Alto (&gt;12x/ano)",IF(Z409&gt;=4,"Medio (4-12x/ano)","Baixo (&lt;4x/ano)"))))</f>
        <v/>
      </c>
    </row>
    <row r="410" customFormat="false" ht="15" hidden="false" customHeight="true" outlineLevel="0" collapsed="false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18"/>
      <c r="L410" s="19" t="str">
        <f aca="false">IF(A410="","",G410*K410)</f>
        <v/>
      </c>
      <c r="M410" s="20"/>
      <c r="N410" s="6"/>
      <c r="O410" s="6"/>
      <c r="P410" s="5" t="str">
        <f aca="false">IF(A410="","",H410/90)</f>
        <v/>
      </c>
      <c r="Q410" s="5" t="str">
        <f aca="false">IF(A410="","",IFERROR(INDEX(Parâmetros!$C$6:$C$10,MATCH(F410,Parâmetros!$B$6:$B$10,0)),""))</f>
        <v/>
      </c>
      <c r="R410" s="5" t="str">
        <f aca="false">IF(OR(A410="",P410="",Q410=""),"",P410*Q410)</f>
        <v/>
      </c>
      <c r="S410" s="5" t="str">
        <f aca="false">IF(R410="","",MAX(0,R410-G410))</f>
        <v/>
      </c>
      <c r="T410" s="21" t="str">
        <f aca="false">IF(S410="","",S410*K410)</f>
        <v/>
      </c>
      <c r="U410" s="5" t="str">
        <f aca="false">IF(A410="","",IF(J410&gt;Parâmetros!$C$14,"SIM","NAO"))</f>
        <v/>
      </c>
      <c r="V410" s="5" t="str">
        <f aca="false">IF(B410="","",TRIM(LEFT(B410,IFERROR(FIND(" ",B410)-1,LEN(B410)))))</f>
        <v/>
      </c>
      <c r="W410" s="22"/>
      <c r="X410" s="5" t="str">
        <f aca="false">IF(A410="","",IF(W410&lt;&gt;"",W410,V410))</f>
        <v/>
      </c>
      <c r="Y410" s="5" t="str">
        <f aca="false">IF(A410="","",IF(COUNTIFS($X$2:$X$2001,X410,$D$2:$D$2001,"&lt;&gt;"&amp;D410,$C$2:$C$2001,C410)&gt;0,"SIM","NAO"))</f>
        <v/>
      </c>
      <c r="Z410" s="5" t="str">
        <f aca="false">IF(A410="","",IF(J410="","",IFERROR(360/J410,"")))</f>
        <v/>
      </c>
      <c r="AA410" s="5" t="str">
        <f aca="false">IF(A410="","",IF(H410=0,"Parado (sem venda 90d)",IF(Z410&gt;12,"Alto (&gt;12x/ano)",IF(Z410&gt;=4,"Medio (4-12x/ano)","Baixo (&lt;4x/ano)"))))</f>
        <v/>
      </c>
    </row>
    <row r="411" customFormat="false" ht="15" hidden="false" customHeight="true" outlineLevel="0" collapsed="false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18"/>
      <c r="L411" s="19" t="str">
        <f aca="false">IF(A411="","",G411*K411)</f>
        <v/>
      </c>
      <c r="M411" s="20"/>
      <c r="N411" s="6"/>
      <c r="O411" s="6"/>
      <c r="P411" s="5" t="str">
        <f aca="false">IF(A411="","",H411/90)</f>
        <v/>
      </c>
      <c r="Q411" s="5" t="str">
        <f aca="false">IF(A411="","",IFERROR(INDEX(Parâmetros!$C$6:$C$10,MATCH(F411,Parâmetros!$B$6:$B$10,0)),""))</f>
        <v/>
      </c>
      <c r="R411" s="5" t="str">
        <f aca="false">IF(OR(A411="",P411="",Q411=""),"",P411*Q411)</f>
        <v/>
      </c>
      <c r="S411" s="5" t="str">
        <f aca="false">IF(R411="","",MAX(0,R411-G411))</f>
        <v/>
      </c>
      <c r="T411" s="21" t="str">
        <f aca="false">IF(S411="","",S411*K411)</f>
        <v/>
      </c>
      <c r="U411" s="5" t="str">
        <f aca="false">IF(A411="","",IF(J411&gt;Parâmetros!$C$14,"SIM","NAO"))</f>
        <v/>
      </c>
      <c r="V411" s="5" t="str">
        <f aca="false">IF(B411="","",TRIM(LEFT(B411,IFERROR(FIND(" ",B411)-1,LEN(B411)))))</f>
        <v/>
      </c>
      <c r="W411" s="22"/>
      <c r="X411" s="5" t="str">
        <f aca="false">IF(A411="","",IF(W411&lt;&gt;"",W411,V411))</f>
        <v/>
      </c>
      <c r="Y411" s="5" t="str">
        <f aca="false">IF(A411="","",IF(COUNTIFS($X$2:$X$2001,X411,$D$2:$D$2001,"&lt;&gt;"&amp;D411,$C$2:$C$2001,C411)&gt;0,"SIM","NAO"))</f>
        <v/>
      </c>
      <c r="Z411" s="5" t="str">
        <f aca="false">IF(A411="","",IF(J411="","",IFERROR(360/J411,"")))</f>
        <v/>
      </c>
      <c r="AA411" s="5" t="str">
        <f aca="false">IF(A411="","",IF(H411=0,"Parado (sem venda 90d)",IF(Z411&gt;12,"Alto (&gt;12x/ano)",IF(Z411&gt;=4,"Medio (4-12x/ano)","Baixo (&lt;4x/ano)"))))</f>
        <v/>
      </c>
    </row>
    <row r="412" customFormat="false" ht="15" hidden="false" customHeight="true" outlineLevel="0" collapsed="false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18"/>
      <c r="L412" s="19" t="str">
        <f aca="false">IF(A412="","",G412*K412)</f>
        <v/>
      </c>
      <c r="M412" s="20"/>
      <c r="N412" s="6"/>
      <c r="O412" s="6"/>
      <c r="P412" s="5" t="str">
        <f aca="false">IF(A412="","",H412/90)</f>
        <v/>
      </c>
      <c r="Q412" s="5" t="str">
        <f aca="false">IF(A412="","",IFERROR(INDEX(Parâmetros!$C$6:$C$10,MATCH(F412,Parâmetros!$B$6:$B$10,0)),""))</f>
        <v/>
      </c>
      <c r="R412" s="5" t="str">
        <f aca="false">IF(OR(A412="",P412="",Q412=""),"",P412*Q412)</f>
        <v/>
      </c>
      <c r="S412" s="5" t="str">
        <f aca="false">IF(R412="","",MAX(0,R412-G412))</f>
        <v/>
      </c>
      <c r="T412" s="21" t="str">
        <f aca="false">IF(S412="","",S412*K412)</f>
        <v/>
      </c>
      <c r="U412" s="5" t="str">
        <f aca="false">IF(A412="","",IF(J412&gt;Parâmetros!$C$14,"SIM","NAO"))</f>
        <v/>
      </c>
      <c r="V412" s="5" t="str">
        <f aca="false">IF(B412="","",TRIM(LEFT(B412,IFERROR(FIND(" ",B412)-1,LEN(B412)))))</f>
        <v/>
      </c>
      <c r="W412" s="22"/>
      <c r="X412" s="5" t="str">
        <f aca="false">IF(A412="","",IF(W412&lt;&gt;"",W412,V412))</f>
        <v/>
      </c>
      <c r="Y412" s="5" t="str">
        <f aca="false">IF(A412="","",IF(COUNTIFS($X$2:$X$2001,X412,$D$2:$D$2001,"&lt;&gt;"&amp;D412,$C$2:$C$2001,C412)&gt;0,"SIM","NAO"))</f>
        <v/>
      </c>
      <c r="Z412" s="5" t="str">
        <f aca="false">IF(A412="","",IF(J412="","",IFERROR(360/J412,"")))</f>
        <v/>
      </c>
      <c r="AA412" s="5" t="str">
        <f aca="false">IF(A412="","",IF(H412=0,"Parado (sem venda 90d)",IF(Z412&gt;12,"Alto (&gt;12x/ano)",IF(Z412&gt;=4,"Medio (4-12x/ano)","Baixo (&lt;4x/ano)"))))</f>
        <v/>
      </c>
    </row>
    <row r="413" customFormat="false" ht="15" hidden="false" customHeight="true" outlineLevel="0" collapsed="false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18"/>
      <c r="L413" s="19" t="str">
        <f aca="false">IF(A413="","",G413*K413)</f>
        <v/>
      </c>
      <c r="M413" s="20"/>
      <c r="N413" s="6"/>
      <c r="O413" s="6"/>
      <c r="P413" s="5" t="str">
        <f aca="false">IF(A413="","",H413/90)</f>
        <v/>
      </c>
      <c r="Q413" s="5" t="str">
        <f aca="false">IF(A413="","",IFERROR(INDEX(Parâmetros!$C$6:$C$10,MATCH(F413,Parâmetros!$B$6:$B$10,0)),""))</f>
        <v/>
      </c>
      <c r="R413" s="5" t="str">
        <f aca="false">IF(OR(A413="",P413="",Q413=""),"",P413*Q413)</f>
        <v/>
      </c>
      <c r="S413" s="5" t="str">
        <f aca="false">IF(R413="","",MAX(0,R413-G413))</f>
        <v/>
      </c>
      <c r="T413" s="21" t="str">
        <f aca="false">IF(S413="","",S413*K413)</f>
        <v/>
      </c>
      <c r="U413" s="5" t="str">
        <f aca="false">IF(A413="","",IF(J413&gt;Parâmetros!$C$14,"SIM","NAO"))</f>
        <v/>
      </c>
      <c r="V413" s="5" t="str">
        <f aca="false">IF(B413="","",TRIM(LEFT(B413,IFERROR(FIND(" ",B413)-1,LEN(B413)))))</f>
        <v/>
      </c>
      <c r="W413" s="22"/>
      <c r="X413" s="5" t="str">
        <f aca="false">IF(A413="","",IF(W413&lt;&gt;"",W413,V413))</f>
        <v/>
      </c>
      <c r="Y413" s="5" t="str">
        <f aca="false">IF(A413="","",IF(COUNTIFS($X$2:$X$2001,X413,$D$2:$D$2001,"&lt;&gt;"&amp;D413,$C$2:$C$2001,C413)&gt;0,"SIM","NAO"))</f>
        <v/>
      </c>
      <c r="Z413" s="5" t="str">
        <f aca="false">IF(A413="","",IF(J413="","",IFERROR(360/J413,"")))</f>
        <v/>
      </c>
      <c r="AA413" s="5" t="str">
        <f aca="false">IF(A413="","",IF(H413=0,"Parado (sem venda 90d)",IF(Z413&gt;12,"Alto (&gt;12x/ano)",IF(Z413&gt;=4,"Medio (4-12x/ano)","Baixo (&lt;4x/ano)"))))</f>
        <v/>
      </c>
    </row>
    <row r="414" customFormat="false" ht="15" hidden="false" customHeight="true" outlineLevel="0" collapsed="false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18"/>
      <c r="L414" s="19" t="str">
        <f aca="false">IF(A414="","",G414*K414)</f>
        <v/>
      </c>
      <c r="M414" s="20"/>
      <c r="N414" s="6"/>
      <c r="O414" s="6"/>
      <c r="P414" s="5" t="str">
        <f aca="false">IF(A414="","",H414/90)</f>
        <v/>
      </c>
      <c r="Q414" s="5" t="str">
        <f aca="false">IF(A414="","",IFERROR(INDEX(Parâmetros!$C$6:$C$10,MATCH(F414,Parâmetros!$B$6:$B$10,0)),""))</f>
        <v/>
      </c>
      <c r="R414" s="5" t="str">
        <f aca="false">IF(OR(A414="",P414="",Q414=""),"",P414*Q414)</f>
        <v/>
      </c>
      <c r="S414" s="5" t="str">
        <f aca="false">IF(R414="","",MAX(0,R414-G414))</f>
        <v/>
      </c>
      <c r="T414" s="21" t="str">
        <f aca="false">IF(S414="","",S414*K414)</f>
        <v/>
      </c>
      <c r="U414" s="5" t="str">
        <f aca="false">IF(A414="","",IF(J414&gt;Parâmetros!$C$14,"SIM","NAO"))</f>
        <v/>
      </c>
      <c r="V414" s="5" t="str">
        <f aca="false">IF(B414="","",TRIM(LEFT(B414,IFERROR(FIND(" ",B414)-1,LEN(B414)))))</f>
        <v/>
      </c>
      <c r="W414" s="22"/>
      <c r="X414" s="5" t="str">
        <f aca="false">IF(A414="","",IF(W414&lt;&gt;"",W414,V414))</f>
        <v/>
      </c>
      <c r="Y414" s="5" t="str">
        <f aca="false">IF(A414="","",IF(COUNTIFS($X$2:$X$2001,X414,$D$2:$D$2001,"&lt;&gt;"&amp;D414,$C$2:$C$2001,C414)&gt;0,"SIM","NAO"))</f>
        <v/>
      </c>
      <c r="Z414" s="5" t="str">
        <f aca="false">IF(A414="","",IF(J414="","",IFERROR(360/J414,"")))</f>
        <v/>
      </c>
      <c r="AA414" s="5" t="str">
        <f aca="false">IF(A414="","",IF(H414=0,"Parado (sem venda 90d)",IF(Z414&gt;12,"Alto (&gt;12x/ano)",IF(Z414&gt;=4,"Medio (4-12x/ano)","Baixo (&lt;4x/ano)"))))</f>
        <v/>
      </c>
    </row>
    <row r="415" customFormat="false" ht="15" hidden="false" customHeight="true" outlineLevel="0" collapsed="false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18"/>
      <c r="L415" s="19" t="str">
        <f aca="false">IF(A415="","",G415*K415)</f>
        <v/>
      </c>
      <c r="M415" s="20"/>
      <c r="N415" s="6"/>
      <c r="O415" s="6"/>
      <c r="P415" s="5" t="str">
        <f aca="false">IF(A415="","",H415/90)</f>
        <v/>
      </c>
      <c r="Q415" s="5" t="str">
        <f aca="false">IF(A415="","",IFERROR(INDEX(Parâmetros!$C$6:$C$10,MATCH(F415,Parâmetros!$B$6:$B$10,0)),""))</f>
        <v/>
      </c>
      <c r="R415" s="5" t="str">
        <f aca="false">IF(OR(A415="",P415="",Q415=""),"",P415*Q415)</f>
        <v/>
      </c>
      <c r="S415" s="5" t="str">
        <f aca="false">IF(R415="","",MAX(0,R415-G415))</f>
        <v/>
      </c>
      <c r="T415" s="21" t="str">
        <f aca="false">IF(S415="","",S415*K415)</f>
        <v/>
      </c>
      <c r="U415" s="5" t="str">
        <f aca="false">IF(A415="","",IF(J415&gt;Parâmetros!$C$14,"SIM","NAO"))</f>
        <v/>
      </c>
      <c r="V415" s="5" t="str">
        <f aca="false">IF(B415="","",TRIM(LEFT(B415,IFERROR(FIND(" ",B415)-1,LEN(B415)))))</f>
        <v/>
      </c>
      <c r="W415" s="22"/>
      <c r="X415" s="5" t="str">
        <f aca="false">IF(A415="","",IF(W415&lt;&gt;"",W415,V415))</f>
        <v/>
      </c>
      <c r="Y415" s="5" t="str">
        <f aca="false">IF(A415="","",IF(COUNTIFS($X$2:$X$2001,X415,$D$2:$D$2001,"&lt;&gt;"&amp;D415,$C$2:$C$2001,C415)&gt;0,"SIM","NAO"))</f>
        <v/>
      </c>
      <c r="Z415" s="5" t="str">
        <f aca="false">IF(A415="","",IF(J415="","",IFERROR(360/J415,"")))</f>
        <v/>
      </c>
      <c r="AA415" s="5" t="str">
        <f aca="false">IF(A415="","",IF(H415=0,"Parado (sem venda 90d)",IF(Z415&gt;12,"Alto (&gt;12x/ano)",IF(Z415&gt;=4,"Medio (4-12x/ano)","Baixo (&lt;4x/ano)"))))</f>
        <v/>
      </c>
    </row>
    <row r="416" customFormat="false" ht="15" hidden="false" customHeight="true" outlineLevel="0" collapsed="false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18"/>
      <c r="L416" s="19" t="str">
        <f aca="false">IF(A416="","",G416*K416)</f>
        <v/>
      </c>
      <c r="M416" s="20"/>
      <c r="N416" s="6"/>
      <c r="O416" s="6"/>
      <c r="P416" s="5" t="str">
        <f aca="false">IF(A416="","",H416/90)</f>
        <v/>
      </c>
      <c r="Q416" s="5" t="str">
        <f aca="false">IF(A416="","",IFERROR(INDEX(Parâmetros!$C$6:$C$10,MATCH(F416,Parâmetros!$B$6:$B$10,0)),""))</f>
        <v/>
      </c>
      <c r="R416" s="5" t="str">
        <f aca="false">IF(OR(A416="",P416="",Q416=""),"",P416*Q416)</f>
        <v/>
      </c>
      <c r="S416" s="5" t="str">
        <f aca="false">IF(R416="","",MAX(0,R416-G416))</f>
        <v/>
      </c>
      <c r="T416" s="21" t="str">
        <f aca="false">IF(S416="","",S416*K416)</f>
        <v/>
      </c>
      <c r="U416" s="5" t="str">
        <f aca="false">IF(A416="","",IF(J416&gt;Parâmetros!$C$14,"SIM","NAO"))</f>
        <v/>
      </c>
      <c r="V416" s="5" t="str">
        <f aca="false">IF(B416="","",TRIM(LEFT(B416,IFERROR(FIND(" ",B416)-1,LEN(B416)))))</f>
        <v/>
      </c>
      <c r="W416" s="22"/>
      <c r="X416" s="5" t="str">
        <f aca="false">IF(A416="","",IF(W416&lt;&gt;"",W416,V416))</f>
        <v/>
      </c>
      <c r="Y416" s="5" t="str">
        <f aca="false">IF(A416="","",IF(COUNTIFS($X$2:$X$2001,X416,$D$2:$D$2001,"&lt;&gt;"&amp;D416,$C$2:$C$2001,C416)&gt;0,"SIM","NAO"))</f>
        <v/>
      </c>
      <c r="Z416" s="5" t="str">
        <f aca="false">IF(A416="","",IF(J416="","",IFERROR(360/J416,"")))</f>
        <v/>
      </c>
      <c r="AA416" s="5" t="str">
        <f aca="false">IF(A416="","",IF(H416=0,"Parado (sem venda 90d)",IF(Z416&gt;12,"Alto (&gt;12x/ano)",IF(Z416&gt;=4,"Medio (4-12x/ano)","Baixo (&lt;4x/ano)"))))</f>
        <v/>
      </c>
    </row>
    <row r="417" customFormat="false" ht="15" hidden="false" customHeight="true" outlineLevel="0" collapsed="false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18"/>
      <c r="L417" s="19" t="str">
        <f aca="false">IF(A417="","",G417*K417)</f>
        <v/>
      </c>
      <c r="M417" s="20"/>
      <c r="N417" s="6"/>
      <c r="O417" s="6"/>
      <c r="P417" s="5" t="str">
        <f aca="false">IF(A417="","",H417/90)</f>
        <v/>
      </c>
      <c r="Q417" s="5" t="str">
        <f aca="false">IF(A417="","",IFERROR(INDEX(Parâmetros!$C$6:$C$10,MATCH(F417,Parâmetros!$B$6:$B$10,0)),""))</f>
        <v/>
      </c>
      <c r="R417" s="5" t="str">
        <f aca="false">IF(OR(A417="",P417="",Q417=""),"",P417*Q417)</f>
        <v/>
      </c>
      <c r="S417" s="5" t="str">
        <f aca="false">IF(R417="","",MAX(0,R417-G417))</f>
        <v/>
      </c>
      <c r="T417" s="21" t="str">
        <f aca="false">IF(S417="","",S417*K417)</f>
        <v/>
      </c>
      <c r="U417" s="5" t="str">
        <f aca="false">IF(A417="","",IF(J417&gt;Parâmetros!$C$14,"SIM","NAO"))</f>
        <v/>
      </c>
      <c r="V417" s="5" t="str">
        <f aca="false">IF(B417="","",TRIM(LEFT(B417,IFERROR(FIND(" ",B417)-1,LEN(B417)))))</f>
        <v/>
      </c>
      <c r="W417" s="22"/>
      <c r="X417" s="5" t="str">
        <f aca="false">IF(A417="","",IF(W417&lt;&gt;"",W417,V417))</f>
        <v/>
      </c>
      <c r="Y417" s="5" t="str">
        <f aca="false">IF(A417="","",IF(COUNTIFS($X$2:$X$2001,X417,$D$2:$D$2001,"&lt;&gt;"&amp;D417,$C$2:$C$2001,C417)&gt;0,"SIM","NAO"))</f>
        <v/>
      </c>
      <c r="Z417" s="5" t="str">
        <f aca="false">IF(A417="","",IF(J417="","",IFERROR(360/J417,"")))</f>
        <v/>
      </c>
      <c r="AA417" s="5" t="str">
        <f aca="false">IF(A417="","",IF(H417=0,"Parado (sem venda 90d)",IF(Z417&gt;12,"Alto (&gt;12x/ano)",IF(Z417&gt;=4,"Medio (4-12x/ano)","Baixo (&lt;4x/ano)"))))</f>
        <v/>
      </c>
    </row>
    <row r="418" customFormat="false" ht="15" hidden="false" customHeight="true" outlineLevel="0" collapsed="false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18"/>
      <c r="L418" s="19" t="str">
        <f aca="false">IF(A418="","",G418*K418)</f>
        <v/>
      </c>
      <c r="M418" s="20"/>
      <c r="N418" s="6"/>
      <c r="O418" s="6"/>
      <c r="P418" s="5" t="str">
        <f aca="false">IF(A418="","",H418/90)</f>
        <v/>
      </c>
      <c r="Q418" s="5" t="str">
        <f aca="false">IF(A418="","",IFERROR(INDEX(Parâmetros!$C$6:$C$10,MATCH(F418,Parâmetros!$B$6:$B$10,0)),""))</f>
        <v/>
      </c>
      <c r="R418" s="5" t="str">
        <f aca="false">IF(OR(A418="",P418="",Q418=""),"",P418*Q418)</f>
        <v/>
      </c>
      <c r="S418" s="5" t="str">
        <f aca="false">IF(R418="","",MAX(0,R418-G418))</f>
        <v/>
      </c>
      <c r="T418" s="21" t="str">
        <f aca="false">IF(S418="","",S418*K418)</f>
        <v/>
      </c>
      <c r="U418" s="5" t="str">
        <f aca="false">IF(A418="","",IF(J418&gt;Parâmetros!$C$14,"SIM","NAO"))</f>
        <v/>
      </c>
      <c r="V418" s="5" t="str">
        <f aca="false">IF(B418="","",TRIM(LEFT(B418,IFERROR(FIND(" ",B418)-1,LEN(B418)))))</f>
        <v/>
      </c>
      <c r="W418" s="22"/>
      <c r="X418" s="5" t="str">
        <f aca="false">IF(A418="","",IF(W418&lt;&gt;"",W418,V418))</f>
        <v/>
      </c>
      <c r="Y418" s="5" t="str">
        <f aca="false">IF(A418="","",IF(COUNTIFS($X$2:$X$2001,X418,$D$2:$D$2001,"&lt;&gt;"&amp;D418,$C$2:$C$2001,C418)&gt;0,"SIM","NAO"))</f>
        <v/>
      </c>
      <c r="Z418" s="5" t="str">
        <f aca="false">IF(A418="","",IF(J418="","",IFERROR(360/J418,"")))</f>
        <v/>
      </c>
      <c r="AA418" s="5" t="str">
        <f aca="false">IF(A418="","",IF(H418=0,"Parado (sem venda 90d)",IF(Z418&gt;12,"Alto (&gt;12x/ano)",IF(Z418&gt;=4,"Medio (4-12x/ano)","Baixo (&lt;4x/ano)"))))</f>
        <v/>
      </c>
    </row>
    <row r="419" customFormat="false" ht="15" hidden="false" customHeight="true" outlineLevel="0" collapsed="false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18"/>
      <c r="L419" s="19" t="str">
        <f aca="false">IF(A419="","",G419*K419)</f>
        <v/>
      </c>
      <c r="M419" s="20"/>
      <c r="N419" s="6"/>
      <c r="O419" s="6"/>
      <c r="P419" s="5" t="str">
        <f aca="false">IF(A419="","",H419/90)</f>
        <v/>
      </c>
      <c r="Q419" s="5" t="str">
        <f aca="false">IF(A419="","",IFERROR(INDEX(Parâmetros!$C$6:$C$10,MATCH(F419,Parâmetros!$B$6:$B$10,0)),""))</f>
        <v/>
      </c>
      <c r="R419" s="5" t="str">
        <f aca="false">IF(OR(A419="",P419="",Q419=""),"",P419*Q419)</f>
        <v/>
      </c>
      <c r="S419" s="5" t="str">
        <f aca="false">IF(R419="","",MAX(0,R419-G419))</f>
        <v/>
      </c>
      <c r="T419" s="21" t="str">
        <f aca="false">IF(S419="","",S419*K419)</f>
        <v/>
      </c>
      <c r="U419" s="5" t="str">
        <f aca="false">IF(A419="","",IF(J419&gt;Parâmetros!$C$14,"SIM","NAO"))</f>
        <v/>
      </c>
      <c r="V419" s="5" t="str">
        <f aca="false">IF(B419="","",TRIM(LEFT(B419,IFERROR(FIND(" ",B419)-1,LEN(B419)))))</f>
        <v/>
      </c>
      <c r="W419" s="22"/>
      <c r="X419" s="5" t="str">
        <f aca="false">IF(A419="","",IF(W419&lt;&gt;"",W419,V419))</f>
        <v/>
      </c>
      <c r="Y419" s="5" t="str">
        <f aca="false">IF(A419="","",IF(COUNTIFS($X$2:$X$2001,X419,$D$2:$D$2001,"&lt;&gt;"&amp;D419,$C$2:$C$2001,C419)&gt;0,"SIM","NAO"))</f>
        <v/>
      </c>
      <c r="Z419" s="5" t="str">
        <f aca="false">IF(A419="","",IF(J419="","",IFERROR(360/J419,"")))</f>
        <v/>
      </c>
      <c r="AA419" s="5" t="str">
        <f aca="false">IF(A419="","",IF(H419=0,"Parado (sem venda 90d)",IF(Z419&gt;12,"Alto (&gt;12x/ano)",IF(Z419&gt;=4,"Medio (4-12x/ano)","Baixo (&lt;4x/ano)"))))</f>
        <v/>
      </c>
    </row>
    <row r="420" customFormat="false" ht="15" hidden="false" customHeight="true" outlineLevel="0" collapsed="false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18"/>
      <c r="L420" s="19" t="str">
        <f aca="false">IF(A420="","",G420*K420)</f>
        <v/>
      </c>
      <c r="M420" s="20"/>
      <c r="N420" s="6"/>
      <c r="O420" s="6"/>
      <c r="P420" s="5" t="str">
        <f aca="false">IF(A420="","",H420/90)</f>
        <v/>
      </c>
      <c r="Q420" s="5" t="str">
        <f aca="false">IF(A420="","",IFERROR(INDEX(Parâmetros!$C$6:$C$10,MATCH(F420,Parâmetros!$B$6:$B$10,0)),""))</f>
        <v/>
      </c>
      <c r="R420" s="5" t="str">
        <f aca="false">IF(OR(A420="",P420="",Q420=""),"",P420*Q420)</f>
        <v/>
      </c>
      <c r="S420" s="5" t="str">
        <f aca="false">IF(R420="","",MAX(0,R420-G420))</f>
        <v/>
      </c>
      <c r="T420" s="21" t="str">
        <f aca="false">IF(S420="","",S420*K420)</f>
        <v/>
      </c>
      <c r="U420" s="5" t="str">
        <f aca="false">IF(A420="","",IF(J420&gt;Parâmetros!$C$14,"SIM","NAO"))</f>
        <v/>
      </c>
      <c r="V420" s="5" t="str">
        <f aca="false">IF(B420="","",TRIM(LEFT(B420,IFERROR(FIND(" ",B420)-1,LEN(B420)))))</f>
        <v/>
      </c>
      <c r="W420" s="22"/>
      <c r="X420" s="5" t="str">
        <f aca="false">IF(A420="","",IF(W420&lt;&gt;"",W420,V420))</f>
        <v/>
      </c>
      <c r="Y420" s="5" t="str">
        <f aca="false">IF(A420="","",IF(COUNTIFS($X$2:$X$2001,X420,$D$2:$D$2001,"&lt;&gt;"&amp;D420,$C$2:$C$2001,C420)&gt;0,"SIM","NAO"))</f>
        <v/>
      </c>
      <c r="Z420" s="5" t="str">
        <f aca="false">IF(A420="","",IF(J420="","",IFERROR(360/J420,"")))</f>
        <v/>
      </c>
      <c r="AA420" s="5" t="str">
        <f aca="false">IF(A420="","",IF(H420=0,"Parado (sem venda 90d)",IF(Z420&gt;12,"Alto (&gt;12x/ano)",IF(Z420&gt;=4,"Medio (4-12x/ano)","Baixo (&lt;4x/ano)"))))</f>
        <v/>
      </c>
    </row>
    <row r="421" customFormat="false" ht="15" hidden="false" customHeight="true" outlineLevel="0" collapsed="false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18"/>
      <c r="L421" s="19" t="str">
        <f aca="false">IF(A421="","",G421*K421)</f>
        <v/>
      </c>
      <c r="M421" s="20"/>
      <c r="N421" s="6"/>
      <c r="O421" s="6"/>
      <c r="P421" s="5" t="str">
        <f aca="false">IF(A421="","",H421/90)</f>
        <v/>
      </c>
      <c r="Q421" s="5" t="str">
        <f aca="false">IF(A421="","",IFERROR(INDEX(Parâmetros!$C$6:$C$10,MATCH(F421,Parâmetros!$B$6:$B$10,0)),""))</f>
        <v/>
      </c>
      <c r="R421" s="5" t="str">
        <f aca="false">IF(OR(A421="",P421="",Q421=""),"",P421*Q421)</f>
        <v/>
      </c>
      <c r="S421" s="5" t="str">
        <f aca="false">IF(R421="","",MAX(0,R421-G421))</f>
        <v/>
      </c>
      <c r="T421" s="21" t="str">
        <f aca="false">IF(S421="","",S421*K421)</f>
        <v/>
      </c>
      <c r="U421" s="5" t="str">
        <f aca="false">IF(A421="","",IF(J421&gt;Parâmetros!$C$14,"SIM","NAO"))</f>
        <v/>
      </c>
      <c r="V421" s="5" t="str">
        <f aca="false">IF(B421="","",TRIM(LEFT(B421,IFERROR(FIND(" ",B421)-1,LEN(B421)))))</f>
        <v/>
      </c>
      <c r="W421" s="22"/>
      <c r="X421" s="5" t="str">
        <f aca="false">IF(A421="","",IF(W421&lt;&gt;"",W421,V421))</f>
        <v/>
      </c>
      <c r="Y421" s="5" t="str">
        <f aca="false">IF(A421="","",IF(COUNTIFS($X$2:$X$2001,X421,$D$2:$D$2001,"&lt;&gt;"&amp;D421,$C$2:$C$2001,C421)&gt;0,"SIM","NAO"))</f>
        <v/>
      </c>
      <c r="Z421" s="5" t="str">
        <f aca="false">IF(A421="","",IF(J421="","",IFERROR(360/J421,"")))</f>
        <v/>
      </c>
      <c r="AA421" s="5" t="str">
        <f aca="false">IF(A421="","",IF(H421=0,"Parado (sem venda 90d)",IF(Z421&gt;12,"Alto (&gt;12x/ano)",IF(Z421&gt;=4,"Medio (4-12x/ano)","Baixo (&lt;4x/ano)"))))</f>
        <v/>
      </c>
    </row>
    <row r="422" customFormat="false" ht="15" hidden="false" customHeight="true" outlineLevel="0" collapsed="false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18"/>
      <c r="L422" s="19" t="str">
        <f aca="false">IF(A422="","",G422*K422)</f>
        <v/>
      </c>
      <c r="M422" s="20"/>
      <c r="N422" s="6"/>
      <c r="O422" s="6"/>
      <c r="P422" s="5" t="str">
        <f aca="false">IF(A422="","",H422/90)</f>
        <v/>
      </c>
      <c r="Q422" s="5" t="str">
        <f aca="false">IF(A422="","",IFERROR(INDEX(Parâmetros!$C$6:$C$10,MATCH(F422,Parâmetros!$B$6:$B$10,0)),""))</f>
        <v/>
      </c>
      <c r="R422" s="5" t="str">
        <f aca="false">IF(OR(A422="",P422="",Q422=""),"",P422*Q422)</f>
        <v/>
      </c>
      <c r="S422" s="5" t="str">
        <f aca="false">IF(R422="","",MAX(0,R422-G422))</f>
        <v/>
      </c>
      <c r="T422" s="21" t="str">
        <f aca="false">IF(S422="","",S422*K422)</f>
        <v/>
      </c>
      <c r="U422" s="5" t="str">
        <f aca="false">IF(A422="","",IF(J422&gt;Parâmetros!$C$14,"SIM","NAO"))</f>
        <v/>
      </c>
      <c r="V422" s="5" t="str">
        <f aca="false">IF(B422="","",TRIM(LEFT(B422,IFERROR(FIND(" ",B422)-1,LEN(B422)))))</f>
        <v/>
      </c>
      <c r="W422" s="22"/>
      <c r="X422" s="5" t="str">
        <f aca="false">IF(A422="","",IF(W422&lt;&gt;"",W422,V422))</f>
        <v/>
      </c>
      <c r="Y422" s="5" t="str">
        <f aca="false">IF(A422="","",IF(COUNTIFS($X$2:$X$2001,X422,$D$2:$D$2001,"&lt;&gt;"&amp;D422,$C$2:$C$2001,C422)&gt;0,"SIM","NAO"))</f>
        <v/>
      </c>
      <c r="Z422" s="5" t="str">
        <f aca="false">IF(A422="","",IF(J422="","",IFERROR(360/J422,"")))</f>
        <v/>
      </c>
      <c r="AA422" s="5" t="str">
        <f aca="false">IF(A422="","",IF(H422=0,"Parado (sem venda 90d)",IF(Z422&gt;12,"Alto (&gt;12x/ano)",IF(Z422&gt;=4,"Medio (4-12x/ano)","Baixo (&lt;4x/ano)"))))</f>
        <v/>
      </c>
    </row>
    <row r="423" customFormat="false" ht="15" hidden="false" customHeight="true" outlineLevel="0" collapsed="false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18"/>
      <c r="L423" s="19" t="str">
        <f aca="false">IF(A423="","",G423*K423)</f>
        <v/>
      </c>
      <c r="M423" s="20"/>
      <c r="N423" s="6"/>
      <c r="O423" s="6"/>
      <c r="P423" s="5" t="str">
        <f aca="false">IF(A423="","",H423/90)</f>
        <v/>
      </c>
      <c r="Q423" s="5" t="str">
        <f aca="false">IF(A423="","",IFERROR(INDEX(Parâmetros!$C$6:$C$10,MATCH(F423,Parâmetros!$B$6:$B$10,0)),""))</f>
        <v/>
      </c>
      <c r="R423" s="5" t="str">
        <f aca="false">IF(OR(A423="",P423="",Q423=""),"",P423*Q423)</f>
        <v/>
      </c>
      <c r="S423" s="5" t="str">
        <f aca="false">IF(R423="","",MAX(0,R423-G423))</f>
        <v/>
      </c>
      <c r="T423" s="21" t="str">
        <f aca="false">IF(S423="","",S423*K423)</f>
        <v/>
      </c>
      <c r="U423" s="5" t="str">
        <f aca="false">IF(A423="","",IF(J423&gt;Parâmetros!$C$14,"SIM","NAO"))</f>
        <v/>
      </c>
      <c r="V423" s="5" t="str">
        <f aca="false">IF(B423="","",TRIM(LEFT(B423,IFERROR(FIND(" ",B423)-1,LEN(B423)))))</f>
        <v/>
      </c>
      <c r="W423" s="22"/>
      <c r="X423" s="5" t="str">
        <f aca="false">IF(A423="","",IF(W423&lt;&gt;"",W423,V423))</f>
        <v/>
      </c>
      <c r="Y423" s="5" t="str">
        <f aca="false">IF(A423="","",IF(COUNTIFS($X$2:$X$2001,X423,$D$2:$D$2001,"&lt;&gt;"&amp;D423,$C$2:$C$2001,C423)&gt;0,"SIM","NAO"))</f>
        <v/>
      </c>
      <c r="Z423" s="5" t="str">
        <f aca="false">IF(A423="","",IF(J423="","",IFERROR(360/J423,"")))</f>
        <v/>
      </c>
      <c r="AA423" s="5" t="str">
        <f aca="false">IF(A423="","",IF(H423=0,"Parado (sem venda 90d)",IF(Z423&gt;12,"Alto (&gt;12x/ano)",IF(Z423&gt;=4,"Medio (4-12x/ano)","Baixo (&lt;4x/ano)"))))</f>
        <v/>
      </c>
    </row>
    <row r="424" customFormat="false" ht="15" hidden="false" customHeight="true" outlineLevel="0" collapsed="false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18"/>
      <c r="L424" s="19" t="str">
        <f aca="false">IF(A424="","",G424*K424)</f>
        <v/>
      </c>
      <c r="M424" s="20"/>
      <c r="N424" s="6"/>
      <c r="O424" s="6"/>
      <c r="P424" s="5" t="str">
        <f aca="false">IF(A424="","",H424/90)</f>
        <v/>
      </c>
      <c r="Q424" s="5" t="str">
        <f aca="false">IF(A424="","",IFERROR(INDEX(Parâmetros!$C$6:$C$10,MATCH(F424,Parâmetros!$B$6:$B$10,0)),""))</f>
        <v/>
      </c>
      <c r="R424" s="5" t="str">
        <f aca="false">IF(OR(A424="",P424="",Q424=""),"",P424*Q424)</f>
        <v/>
      </c>
      <c r="S424" s="5" t="str">
        <f aca="false">IF(R424="","",MAX(0,R424-G424))</f>
        <v/>
      </c>
      <c r="T424" s="21" t="str">
        <f aca="false">IF(S424="","",S424*K424)</f>
        <v/>
      </c>
      <c r="U424" s="5" t="str">
        <f aca="false">IF(A424="","",IF(J424&gt;Parâmetros!$C$14,"SIM","NAO"))</f>
        <v/>
      </c>
      <c r="V424" s="5" t="str">
        <f aca="false">IF(B424="","",TRIM(LEFT(B424,IFERROR(FIND(" ",B424)-1,LEN(B424)))))</f>
        <v/>
      </c>
      <c r="W424" s="22"/>
      <c r="X424" s="5" t="str">
        <f aca="false">IF(A424="","",IF(W424&lt;&gt;"",W424,V424))</f>
        <v/>
      </c>
      <c r="Y424" s="5" t="str">
        <f aca="false">IF(A424="","",IF(COUNTIFS($X$2:$X$2001,X424,$D$2:$D$2001,"&lt;&gt;"&amp;D424,$C$2:$C$2001,C424)&gt;0,"SIM","NAO"))</f>
        <v/>
      </c>
      <c r="Z424" s="5" t="str">
        <f aca="false">IF(A424="","",IF(J424="","",IFERROR(360/J424,"")))</f>
        <v/>
      </c>
      <c r="AA424" s="5" t="str">
        <f aca="false">IF(A424="","",IF(H424=0,"Parado (sem venda 90d)",IF(Z424&gt;12,"Alto (&gt;12x/ano)",IF(Z424&gt;=4,"Medio (4-12x/ano)","Baixo (&lt;4x/ano)"))))</f>
        <v/>
      </c>
    </row>
    <row r="425" customFormat="false" ht="15" hidden="false" customHeight="true" outlineLevel="0" collapsed="false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18"/>
      <c r="L425" s="19" t="str">
        <f aca="false">IF(A425="","",G425*K425)</f>
        <v/>
      </c>
      <c r="M425" s="20"/>
      <c r="N425" s="6"/>
      <c r="O425" s="6"/>
      <c r="P425" s="5" t="str">
        <f aca="false">IF(A425="","",H425/90)</f>
        <v/>
      </c>
      <c r="Q425" s="5" t="str">
        <f aca="false">IF(A425="","",IFERROR(INDEX(Parâmetros!$C$6:$C$10,MATCH(F425,Parâmetros!$B$6:$B$10,0)),""))</f>
        <v/>
      </c>
      <c r="R425" s="5" t="str">
        <f aca="false">IF(OR(A425="",P425="",Q425=""),"",P425*Q425)</f>
        <v/>
      </c>
      <c r="S425" s="5" t="str">
        <f aca="false">IF(R425="","",MAX(0,R425-G425))</f>
        <v/>
      </c>
      <c r="T425" s="21" t="str">
        <f aca="false">IF(S425="","",S425*K425)</f>
        <v/>
      </c>
      <c r="U425" s="5" t="str">
        <f aca="false">IF(A425="","",IF(J425&gt;Parâmetros!$C$14,"SIM","NAO"))</f>
        <v/>
      </c>
      <c r="V425" s="5" t="str">
        <f aca="false">IF(B425="","",TRIM(LEFT(B425,IFERROR(FIND(" ",B425)-1,LEN(B425)))))</f>
        <v/>
      </c>
      <c r="W425" s="22"/>
      <c r="X425" s="5" t="str">
        <f aca="false">IF(A425="","",IF(W425&lt;&gt;"",W425,V425))</f>
        <v/>
      </c>
      <c r="Y425" s="5" t="str">
        <f aca="false">IF(A425="","",IF(COUNTIFS($X$2:$X$2001,X425,$D$2:$D$2001,"&lt;&gt;"&amp;D425,$C$2:$C$2001,C425)&gt;0,"SIM","NAO"))</f>
        <v/>
      </c>
      <c r="Z425" s="5" t="str">
        <f aca="false">IF(A425="","",IF(J425="","",IFERROR(360/J425,"")))</f>
        <v/>
      </c>
      <c r="AA425" s="5" t="str">
        <f aca="false">IF(A425="","",IF(H425=0,"Parado (sem venda 90d)",IF(Z425&gt;12,"Alto (&gt;12x/ano)",IF(Z425&gt;=4,"Medio (4-12x/ano)","Baixo (&lt;4x/ano)"))))</f>
        <v/>
      </c>
    </row>
    <row r="426" customFormat="false" ht="15" hidden="false" customHeight="true" outlineLevel="0" collapsed="false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18"/>
      <c r="L426" s="19" t="str">
        <f aca="false">IF(A426="","",G426*K426)</f>
        <v/>
      </c>
      <c r="M426" s="20"/>
      <c r="N426" s="6"/>
      <c r="O426" s="6"/>
      <c r="P426" s="5" t="str">
        <f aca="false">IF(A426="","",H426/90)</f>
        <v/>
      </c>
      <c r="Q426" s="5" t="str">
        <f aca="false">IF(A426="","",IFERROR(INDEX(Parâmetros!$C$6:$C$10,MATCH(F426,Parâmetros!$B$6:$B$10,0)),""))</f>
        <v/>
      </c>
      <c r="R426" s="5" t="str">
        <f aca="false">IF(OR(A426="",P426="",Q426=""),"",P426*Q426)</f>
        <v/>
      </c>
      <c r="S426" s="5" t="str">
        <f aca="false">IF(R426="","",MAX(0,R426-G426))</f>
        <v/>
      </c>
      <c r="T426" s="21" t="str">
        <f aca="false">IF(S426="","",S426*K426)</f>
        <v/>
      </c>
      <c r="U426" s="5" t="str">
        <f aca="false">IF(A426="","",IF(J426&gt;Parâmetros!$C$14,"SIM","NAO"))</f>
        <v/>
      </c>
      <c r="V426" s="5" t="str">
        <f aca="false">IF(B426="","",TRIM(LEFT(B426,IFERROR(FIND(" ",B426)-1,LEN(B426)))))</f>
        <v/>
      </c>
      <c r="W426" s="22"/>
      <c r="X426" s="5" t="str">
        <f aca="false">IF(A426="","",IF(W426&lt;&gt;"",W426,V426))</f>
        <v/>
      </c>
      <c r="Y426" s="5" t="str">
        <f aca="false">IF(A426="","",IF(COUNTIFS($X$2:$X$2001,X426,$D$2:$D$2001,"&lt;&gt;"&amp;D426,$C$2:$C$2001,C426)&gt;0,"SIM","NAO"))</f>
        <v/>
      </c>
      <c r="Z426" s="5" t="str">
        <f aca="false">IF(A426="","",IF(J426="","",IFERROR(360/J426,"")))</f>
        <v/>
      </c>
      <c r="AA426" s="5" t="str">
        <f aca="false">IF(A426="","",IF(H426=0,"Parado (sem venda 90d)",IF(Z426&gt;12,"Alto (&gt;12x/ano)",IF(Z426&gt;=4,"Medio (4-12x/ano)","Baixo (&lt;4x/ano)"))))</f>
        <v/>
      </c>
    </row>
    <row r="427" customFormat="false" ht="15" hidden="false" customHeight="true" outlineLevel="0" collapsed="false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18"/>
      <c r="L427" s="19" t="str">
        <f aca="false">IF(A427="","",G427*K427)</f>
        <v/>
      </c>
      <c r="M427" s="20"/>
      <c r="N427" s="6"/>
      <c r="O427" s="6"/>
      <c r="P427" s="5" t="str">
        <f aca="false">IF(A427="","",H427/90)</f>
        <v/>
      </c>
      <c r="Q427" s="5" t="str">
        <f aca="false">IF(A427="","",IFERROR(INDEX(Parâmetros!$C$6:$C$10,MATCH(F427,Parâmetros!$B$6:$B$10,0)),""))</f>
        <v/>
      </c>
      <c r="R427" s="5" t="str">
        <f aca="false">IF(OR(A427="",P427="",Q427=""),"",P427*Q427)</f>
        <v/>
      </c>
      <c r="S427" s="5" t="str">
        <f aca="false">IF(R427="","",MAX(0,R427-G427))</f>
        <v/>
      </c>
      <c r="T427" s="21" t="str">
        <f aca="false">IF(S427="","",S427*K427)</f>
        <v/>
      </c>
      <c r="U427" s="5" t="str">
        <f aca="false">IF(A427="","",IF(J427&gt;Parâmetros!$C$14,"SIM","NAO"))</f>
        <v/>
      </c>
      <c r="V427" s="5" t="str">
        <f aca="false">IF(B427="","",TRIM(LEFT(B427,IFERROR(FIND(" ",B427)-1,LEN(B427)))))</f>
        <v/>
      </c>
      <c r="W427" s="22"/>
      <c r="X427" s="5" t="str">
        <f aca="false">IF(A427="","",IF(W427&lt;&gt;"",W427,V427))</f>
        <v/>
      </c>
      <c r="Y427" s="5" t="str">
        <f aca="false">IF(A427="","",IF(COUNTIFS($X$2:$X$2001,X427,$D$2:$D$2001,"&lt;&gt;"&amp;D427,$C$2:$C$2001,C427)&gt;0,"SIM","NAO"))</f>
        <v/>
      </c>
      <c r="Z427" s="5" t="str">
        <f aca="false">IF(A427="","",IF(J427="","",IFERROR(360/J427,"")))</f>
        <v/>
      </c>
      <c r="AA427" s="5" t="str">
        <f aca="false">IF(A427="","",IF(H427=0,"Parado (sem venda 90d)",IF(Z427&gt;12,"Alto (&gt;12x/ano)",IF(Z427&gt;=4,"Medio (4-12x/ano)","Baixo (&lt;4x/ano)"))))</f>
        <v/>
      </c>
    </row>
    <row r="428" customFormat="false" ht="15" hidden="false" customHeight="true" outlineLevel="0" collapsed="false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18"/>
      <c r="L428" s="19" t="str">
        <f aca="false">IF(A428="","",G428*K428)</f>
        <v/>
      </c>
      <c r="M428" s="20"/>
      <c r="N428" s="6"/>
      <c r="O428" s="6"/>
      <c r="P428" s="5" t="str">
        <f aca="false">IF(A428="","",H428/90)</f>
        <v/>
      </c>
      <c r="Q428" s="5" t="str">
        <f aca="false">IF(A428="","",IFERROR(INDEX(Parâmetros!$C$6:$C$10,MATCH(F428,Parâmetros!$B$6:$B$10,0)),""))</f>
        <v/>
      </c>
      <c r="R428" s="5" t="str">
        <f aca="false">IF(OR(A428="",P428="",Q428=""),"",P428*Q428)</f>
        <v/>
      </c>
      <c r="S428" s="5" t="str">
        <f aca="false">IF(R428="","",MAX(0,R428-G428))</f>
        <v/>
      </c>
      <c r="T428" s="21" t="str">
        <f aca="false">IF(S428="","",S428*K428)</f>
        <v/>
      </c>
      <c r="U428" s="5" t="str">
        <f aca="false">IF(A428="","",IF(J428&gt;Parâmetros!$C$14,"SIM","NAO"))</f>
        <v/>
      </c>
      <c r="V428" s="5" t="str">
        <f aca="false">IF(B428="","",TRIM(LEFT(B428,IFERROR(FIND(" ",B428)-1,LEN(B428)))))</f>
        <v/>
      </c>
      <c r="W428" s="22"/>
      <c r="X428" s="5" t="str">
        <f aca="false">IF(A428="","",IF(W428&lt;&gt;"",W428,V428))</f>
        <v/>
      </c>
      <c r="Y428" s="5" t="str">
        <f aca="false">IF(A428="","",IF(COUNTIFS($X$2:$X$2001,X428,$D$2:$D$2001,"&lt;&gt;"&amp;D428,$C$2:$C$2001,C428)&gt;0,"SIM","NAO"))</f>
        <v/>
      </c>
      <c r="Z428" s="5" t="str">
        <f aca="false">IF(A428="","",IF(J428="","",IFERROR(360/J428,"")))</f>
        <v/>
      </c>
      <c r="AA428" s="5" t="str">
        <f aca="false">IF(A428="","",IF(H428=0,"Parado (sem venda 90d)",IF(Z428&gt;12,"Alto (&gt;12x/ano)",IF(Z428&gt;=4,"Medio (4-12x/ano)","Baixo (&lt;4x/ano)"))))</f>
        <v/>
      </c>
    </row>
    <row r="429" customFormat="false" ht="15" hidden="false" customHeight="true" outlineLevel="0" collapsed="false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18"/>
      <c r="L429" s="19" t="str">
        <f aca="false">IF(A429="","",G429*K429)</f>
        <v/>
      </c>
      <c r="M429" s="20"/>
      <c r="N429" s="6"/>
      <c r="O429" s="6"/>
      <c r="P429" s="5" t="str">
        <f aca="false">IF(A429="","",H429/90)</f>
        <v/>
      </c>
      <c r="Q429" s="5" t="str">
        <f aca="false">IF(A429="","",IFERROR(INDEX(Parâmetros!$C$6:$C$10,MATCH(F429,Parâmetros!$B$6:$B$10,0)),""))</f>
        <v/>
      </c>
      <c r="R429" s="5" t="str">
        <f aca="false">IF(OR(A429="",P429="",Q429=""),"",P429*Q429)</f>
        <v/>
      </c>
      <c r="S429" s="5" t="str">
        <f aca="false">IF(R429="","",MAX(0,R429-G429))</f>
        <v/>
      </c>
      <c r="T429" s="21" t="str">
        <f aca="false">IF(S429="","",S429*K429)</f>
        <v/>
      </c>
      <c r="U429" s="5" t="str">
        <f aca="false">IF(A429="","",IF(J429&gt;Parâmetros!$C$14,"SIM","NAO"))</f>
        <v/>
      </c>
      <c r="V429" s="5" t="str">
        <f aca="false">IF(B429="","",TRIM(LEFT(B429,IFERROR(FIND(" ",B429)-1,LEN(B429)))))</f>
        <v/>
      </c>
      <c r="W429" s="22"/>
      <c r="X429" s="5" t="str">
        <f aca="false">IF(A429="","",IF(W429&lt;&gt;"",W429,V429))</f>
        <v/>
      </c>
      <c r="Y429" s="5" t="str">
        <f aca="false">IF(A429="","",IF(COUNTIFS($X$2:$X$2001,X429,$D$2:$D$2001,"&lt;&gt;"&amp;D429,$C$2:$C$2001,C429)&gt;0,"SIM","NAO"))</f>
        <v/>
      </c>
      <c r="Z429" s="5" t="str">
        <f aca="false">IF(A429="","",IF(J429="","",IFERROR(360/J429,"")))</f>
        <v/>
      </c>
      <c r="AA429" s="5" t="str">
        <f aca="false">IF(A429="","",IF(H429=0,"Parado (sem venda 90d)",IF(Z429&gt;12,"Alto (&gt;12x/ano)",IF(Z429&gt;=4,"Medio (4-12x/ano)","Baixo (&lt;4x/ano)"))))</f>
        <v/>
      </c>
    </row>
    <row r="430" customFormat="false" ht="15" hidden="false" customHeight="true" outlineLevel="0" collapsed="false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18"/>
      <c r="L430" s="19" t="str">
        <f aca="false">IF(A430="","",G430*K430)</f>
        <v/>
      </c>
      <c r="M430" s="20"/>
      <c r="N430" s="6"/>
      <c r="O430" s="6"/>
      <c r="P430" s="5" t="str">
        <f aca="false">IF(A430="","",H430/90)</f>
        <v/>
      </c>
      <c r="Q430" s="5" t="str">
        <f aca="false">IF(A430="","",IFERROR(INDEX(Parâmetros!$C$6:$C$10,MATCH(F430,Parâmetros!$B$6:$B$10,0)),""))</f>
        <v/>
      </c>
      <c r="R430" s="5" t="str">
        <f aca="false">IF(OR(A430="",P430="",Q430=""),"",P430*Q430)</f>
        <v/>
      </c>
      <c r="S430" s="5" t="str">
        <f aca="false">IF(R430="","",MAX(0,R430-G430))</f>
        <v/>
      </c>
      <c r="T430" s="21" t="str">
        <f aca="false">IF(S430="","",S430*K430)</f>
        <v/>
      </c>
      <c r="U430" s="5" t="str">
        <f aca="false">IF(A430="","",IF(J430&gt;Parâmetros!$C$14,"SIM","NAO"))</f>
        <v/>
      </c>
      <c r="V430" s="5" t="str">
        <f aca="false">IF(B430="","",TRIM(LEFT(B430,IFERROR(FIND(" ",B430)-1,LEN(B430)))))</f>
        <v/>
      </c>
      <c r="W430" s="22"/>
      <c r="X430" s="5" t="str">
        <f aca="false">IF(A430="","",IF(W430&lt;&gt;"",W430,V430))</f>
        <v/>
      </c>
      <c r="Y430" s="5" t="str">
        <f aca="false">IF(A430="","",IF(COUNTIFS($X$2:$X$2001,X430,$D$2:$D$2001,"&lt;&gt;"&amp;D430,$C$2:$C$2001,C430)&gt;0,"SIM","NAO"))</f>
        <v/>
      </c>
      <c r="Z430" s="5" t="str">
        <f aca="false">IF(A430="","",IF(J430="","",IFERROR(360/J430,"")))</f>
        <v/>
      </c>
      <c r="AA430" s="5" t="str">
        <f aca="false">IF(A430="","",IF(H430=0,"Parado (sem venda 90d)",IF(Z430&gt;12,"Alto (&gt;12x/ano)",IF(Z430&gt;=4,"Medio (4-12x/ano)","Baixo (&lt;4x/ano)"))))</f>
        <v/>
      </c>
    </row>
    <row r="431" customFormat="false" ht="15" hidden="false" customHeight="true" outlineLevel="0" collapsed="false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18"/>
      <c r="L431" s="19" t="str">
        <f aca="false">IF(A431="","",G431*K431)</f>
        <v/>
      </c>
      <c r="M431" s="20"/>
      <c r="N431" s="6"/>
      <c r="O431" s="6"/>
      <c r="P431" s="5" t="str">
        <f aca="false">IF(A431="","",H431/90)</f>
        <v/>
      </c>
      <c r="Q431" s="5" t="str">
        <f aca="false">IF(A431="","",IFERROR(INDEX(Parâmetros!$C$6:$C$10,MATCH(F431,Parâmetros!$B$6:$B$10,0)),""))</f>
        <v/>
      </c>
      <c r="R431" s="5" t="str">
        <f aca="false">IF(OR(A431="",P431="",Q431=""),"",P431*Q431)</f>
        <v/>
      </c>
      <c r="S431" s="5" t="str">
        <f aca="false">IF(R431="","",MAX(0,R431-G431))</f>
        <v/>
      </c>
      <c r="T431" s="21" t="str">
        <f aca="false">IF(S431="","",S431*K431)</f>
        <v/>
      </c>
      <c r="U431" s="5" t="str">
        <f aca="false">IF(A431="","",IF(J431&gt;Parâmetros!$C$14,"SIM","NAO"))</f>
        <v/>
      </c>
      <c r="V431" s="5" t="str">
        <f aca="false">IF(B431="","",TRIM(LEFT(B431,IFERROR(FIND(" ",B431)-1,LEN(B431)))))</f>
        <v/>
      </c>
      <c r="W431" s="22"/>
      <c r="X431" s="5" t="str">
        <f aca="false">IF(A431="","",IF(W431&lt;&gt;"",W431,V431))</f>
        <v/>
      </c>
      <c r="Y431" s="5" t="str">
        <f aca="false">IF(A431="","",IF(COUNTIFS($X$2:$X$2001,X431,$D$2:$D$2001,"&lt;&gt;"&amp;D431,$C$2:$C$2001,C431)&gt;0,"SIM","NAO"))</f>
        <v/>
      </c>
      <c r="Z431" s="5" t="str">
        <f aca="false">IF(A431="","",IF(J431="","",IFERROR(360/J431,"")))</f>
        <v/>
      </c>
      <c r="AA431" s="5" t="str">
        <f aca="false">IF(A431="","",IF(H431=0,"Parado (sem venda 90d)",IF(Z431&gt;12,"Alto (&gt;12x/ano)",IF(Z431&gt;=4,"Medio (4-12x/ano)","Baixo (&lt;4x/ano)"))))</f>
        <v/>
      </c>
    </row>
    <row r="432" customFormat="false" ht="15" hidden="false" customHeight="true" outlineLevel="0" collapsed="false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18"/>
      <c r="L432" s="19" t="str">
        <f aca="false">IF(A432="","",G432*K432)</f>
        <v/>
      </c>
      <c r="M432" s="20"/>
      <c r="N432" s="6"/>
      <c r="O432" s="6"/>
      <c r="P432" s="5" t="str">
        <f aca="false">IF(A432="","",H432/90)</f>
        <v/>
      </c>
      <c r="Q432" s="5" t="str">
        <f aca="false">IF(A432="","",IFERROR(INDEX(Parâmetros!$C$6:$C$10,MATCH(F432,Parâmetros!$B$6:$B$10,0)),""))</f>
        <v/>
      </c>
      <c r="R432" s="5" t="str">
        <f aca="false">IF(OR(A432="",P432="",Q432=""),"",P432*Q432)</f>
        <v/>
      </c>
      <c r="S432" s="5" t="str">
        <f aca="false">IF(R432="","",MAX(0,R432-G432))</f>
        <v/>
      </c>
      <c r="T432" s="21" t="str">
        <f aca="false">IF(S432="","",S432*K432)</f>
        <v/>
      </c>
      <c r="U432" s="5" t="str">
        <f aca="false">IF(A432="","",IF(J432&gt;Parâmetros!$C$14,"SIM","NAO"))</f>
        <v/>
      </c>
      <c r="V432" s="5" t="str">
        <f aca="false">IF(B432="","",TRIM(LEFT(B432,IFERROR(FIND(" ",B432)-1,LEN(B432)))))</f>
        <v/>
      </c>
      <c r="W432" s="22"/>
      <c r="X432" s="5" t="str">
        <f aca="false">IF(A432="","",IF(W432&lt;&gt;"",W432,V432))</f>
        <v/>
      </c>
      <c r="Y432" s="5" t="str">
        <f aca="false">IF(A432="","",IF(COUNTIFS($X$2:$X$2001,X432,$D$2:$D$2001,"&lt;&gt;"&amp;D432,$C$2:$C$2001,C432)&gt;0,"SIM","NAO"))</f>
        <v/>
      </c>
      <c r="Z432" s="5" t="str">
        <f aca="false">IF(A432="","",IF(J432="","",IFERROR(360/J432,"")))</f>
        <v/>
      </c>
      <c r="AA432" s="5" t="str">
        <f aca="false">IF(A432="","",IF(H432=0,"Parado (sem venda 90d)",IF(Z432&gt;12,"Alto (&gt;12x/ano)",IF(Z432&gt;=4,"Medio (4-12x/ano)","Baixo (&lt;4x/ano)"))))</f>
        <v/>
      </c>
    </row>
    <row r="433" customFormat="false" ht="15" hidden="false" customHeight="true" outlineLevel="0" collapsed="false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18"/>
      <c r="L433" s="19" t="str">
        <f aca="false">IF(A433="","",G433*K433)</f>
        <v/>
      </c>
      <c r="M433" s="20"/>
      <c r="N433" s="6"/>
      <c r="O433" s="6"/>
      <c r="P433" s="5" t="str">
        <f aca="false">IF(A433="","",H433/90)</f>
        <v/>
      </c>
      <c r="Q433" s="5" t="str">
        <f aca="false">IF(A433="","",IFERROR(INDEX(Parâmetros!$C$6:$C$10,MATCH(F433,Parâmetros!$B$6:$B$10,0)),""))</f>
        <v/>
      </c>
      <c r="R433" s="5" t="str">
        <f aca="false">IF(OR(A433="",P433="",Q433=""),"",P433*Q433)</f>
        <v/>
      </c>
      <c r="S433" s="5" t="str">
        <f aca="false">IF(R433="","",MAX(0,R433-G433))</f>
        <v/>
      </c>
      <c r="T433" s="21" t="str">
        <f aca="false">IF(S433="","",S433*K433)</f>
        <v/>
      </c>
      <c r="U433" s="5" t="str">
        <f aca="false">IF(A433="","",IF(J433&gt;Parâmetros!$C$14,"SIM","NAO"))</f>
        <v/>
      </c>
      <c r="V433" s="5" t="str">
        <f aca="false">IF(B433="","",TRIM(LEFT(B433,IFERROR(FIND(" ",B433)-1,LEN(B433)))))</f>
        <v/>
      </c>
      <c r="W433" s="22"/>
      <c r="X433" s="5" t="str">
        <f aca="false">IF(A433="","",IF(W433&lt;&gt;"",W433,V433))</f>
        <v/>
      </c>
      <c r="Y433" s="5" t="str">
        <f aca="false">IF(A433="","",IF(COUNTIFS($X$2:$X$2001,X433,$D$2:$D$2001,"&lt;&gt;"&amp;D433,$C$2:$C$2001,C433)&gt;0,"SIM","NAO"))</f>
        <v/>
      </c>
      <c r="Z433" s="5" t="str">
        <f aca="false">IF(A433="","",IF(J433="","",IFERROR(360/J433,"")))</f>
        <v/>
      </c>
      <c r="AA433" s="5" t="str">
        <f aca="false">IF(A433="","",IF(H433=0,"Parado (sem venda 90d)",IF(Z433&gt;12,"Alto (&gt;12x/ano)",IF(Z433&gt;=4,"Medio (4-12x/ano)","Baixo (&lt;4x/ano)"))))</f>
        <v/>
      </c>
    </row>
    <row r="434" customFormat="false" ht="15" hidden="false" customHeight="true" outlineLevel="0" collapsed="false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18"/>
      <c r="L434" s="19" t="str">
        <f aca="false">IF(A434="","",G434*K434)</f>
        <v/>
      </c>
      <c r="M434" s="20"/>
      <c r="N434" s="6"/>
      <c r="O434" s="6"/>
      <c r="P434" s="5" t="str">
        <f aca="false">IF(A434="","",H434/90)</f>
        <v/>
      </c>
      <c r="Q434" s="5" t="str">
        <f aca="false">IF(A434="","",IFERROR(INDEX(Parâmetros!$C$6:$C$10,MATCH(F434,Parâmetros!$B$6:$B$10,0)),""))</f>
        <v/>
      </c>
      <c r="R434" s="5" t="str">
        <f aca="false">IF(OR(A434="",P434="",Q434=""),"",P434*Q434)</f>
        <v/>
      </c>
      <c r="S434" s="5" t="str">
        <f aca="false">IF(R434="","",MAX(0,R434-G434))</f>
        <v/>
      </c>
      <c r="T434" s="21" t="str">
        <f aca="false">IF(S434="","",S434*K434)</f>
        <v/>
      </c>
      <c r="U434" s="5" t="str">
        <f aca="false">IF(A434="","",IF(J434&gt;Parâmetros!$C$14,"SIM","NAO"))</f>
        <v/>
      </c>
      <c r="V434" s="5" t="str">
        <f aca="false">IF(B434="","",TRIM(LEFT(B434,IFERROR(FIND(" ",B434)-1,LEN(B434)))))</f>
        <v/>
      </c>
      <c r="W434" s="22"/>
      <c r="X434" s="5" t="str">
        <f aca="false">IF(A434="","",IF(W434&lt;&gt;"",W434,V434))</f>
        <v/>
      </c>
      <c r="Y434" s="5" t="str">
        <f aca="false">IF(A434="","",IF(COUNTIFS($X$2:$X$2001,X434,$D$2:$D$2001,"&lt;&gt;"&amp;D434,$C$2:$C$2001,C434)&gt;0,"SIM","NAO"))</f>
        <v/>
      </c>
      <c r="Z434" s="5" t="str">
        <f aca="false">IF(A434="","",IF(J434="","",IFERROR(360/J434,"")))</f>
        <v/>
      </c>
      <c r="AA434" s="5" t="str">
        <f aca="false">IF(A434="","",IF(H434=0,"Parado (sem venda 90d)",IF(Z434&gt;12,"Alto (&gt;12x/ano)",IF(Z434&gt;=4,"Medio (4-12x/ano)","Baixo (&lt;4x/ano)"))))</f>
        <v/>
      </c>
    </row>
    <row r="435" customFormat="false" ht="15" hidden="false" customHeight="true" outlineLevel="0" collapsed="false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18"/>
      <c r="L435" s="19" t="str">
        <f aca="false">IF(A435="","",G435*K435)</f>
        <v/>
      </c>
      <c r="M435" s="20"/>
      <c r="N435" s="6"/>
      <c r="O435" s="6"/>
      <c r="P435" s="5" t="str">
        <f aca="false">IF(A435="","",H435/90)</f>
        <v/>
      </c>
      <c r="Q435" s="5" t="str">
        <f aca="false">IF(A435="","",IFERROR(INDEX(Parâmetros!$C$6:$C$10,MATCH(F435,Parâmetros!$B$6:$B$10,0)),""))</f>
        <v/>
      </c>
      <c r="R435" s="5" t="str">
        <f aca="false">IF(OR(A435="",P435="",Q435=""),"",P435*Q435)</f>
        <v/>
      </c>
      <c r="S435" s="5" t="str">
        <f aca="false">IF(R435="","",MAX(0,R435-G435))</f>
        <v/>
      </c>
      <c r="T435" s="21" t="str">
        <f aca="false">IF(S435="","",S435*K435)</f>
        <v/>
      </c>
      <c r="U435" s="5" t="str">
        <f aca="false">IF(A435="","",IF(J435&gt;Parâmetros!$C$14,"SIM","NAO"))</f>
        <v/>
      </c>
      <c r="V435" s="5" t="str">
        <f aca="false">IF(B435="","",TRIM(LEFT(B435,IFERROR(FIND(" ",B435)-1,LEN(B435)))))</f>
        <v/>
      </c>
      <c r="W435" s="22"/>
      <c r="X435" s="5" t="str">
        <f aca="false">IF(A435="","",IF(W435&lt;&gt;"",W435,V435))</f>
        <v/>
      </c>
      <c r="Y435" s="5" t="str">
        <f aca="false">IF(A435="","",IF(COUNTIFS($X$2:$X$2001,X435,$D$2:$D$2001,"&lt;&gt;"&amp;D435,$C$2:$C$2001,C435)&gt;0,"SIM","NAO"))</f>
        <v/>
      </c>
      <c r="Z435" s="5" t="str">
        <f aca="false">IF(A435="","",IF(J435="","",IFERROR(360/J435,"")))</f>
        <v/>
      </c>
      <c r="AA435" s="5" t="str">
        <f aca="false">IF(A435="","",IF(H435=0,"Parado (sem venda 90d)",IF(Z435&gt;12,"Alto (&gt;12x/ano)",IF(Z435&gt;=4,"Medio (4-12x/ano)","Baixo (&lt;4x/ano)"))))</f>
        <v/>
      </c>
    </row>
    <row r="436" customFormat="false" ht="15" hidden="false" customHeight="true" outlineLevel="0" collapsed="false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18"/>
      <c r="L436" s="19" t="str">
        <f aca="false">IF(A436="","",G436*K436)</f>
        <v/>
      </c>
      <c r="M436" s="20"/>
      <c r="N436" s="6"/>
      <c r="O436" s="6"/>
      <c r="P436" s="5" t="str">
        <f aca="false">IF(A436="","",H436/90)</f>
        <v/>
      </c>
      <c r="Q436" s="5" t="str">
        <f aca="false">IF(A436="","",IFERROR(INDEX(Parâmetros!$C$6:$C$10,MATCH(F436,Parâmetros!$B$6:$B$10,0)),""))</f>
        <v/>
      </c>
      <c r="R436" s="5" t="str">
        <f aca="false">IF(OR(A436="",P436="",Q436=""),"",P436*Q436)</f>
        <v/>
      </c>
      <c r="S436" s="5" t="str">
        <f aca="false">IF(R436="","",MAX(0,R436-G436))</f>
        <v/>
      </c>
      <c r="T436" s="21" t="str">
        <f aca="false">IF(S436="","",S436*K436)</f>
        <v/>
      </c>
      <c r="U436" s="5" t="str">
        <f aca="false">IF(A436="","",IF(J436&gt;Parâmetros!$C$14,"SIM","NAO"))</f>
        <v/>
      </c>
      <c r="V436" s="5" t="str">
        <f aca="false">IF(B436="","",TRIM(LEFT(B436,IFERROR(FIND(" ",B436)-1,LEN(B436)))))</f>
        <v/>
      </c>
      <c r="W436" s="22"/>
      <c r="X436" s="5" t="str">
        <f aca="false">IF(A436="","",IF(W436&lt;&gt;"",W436,V436))</f>
        <v/>
      </c>
      <c r="Y436" s="5" t="str">
        <f aca="false">IF(A436="","",IF(COUNTIFS($X$2:$X$2001,X436,$D$2:$D$2001,"&lt;&gt;"&amp;D436,$C$2:$C$2001,C436)&gt;0,"SIM","NAO"))</f>
        <v/>
      </c>
      <c r="Z436" s="5" t="str">
        <f aca="false">IF(A436="","",IF(J436="","",IFERROR(360/J436,"")))</f>
        <v/>
      </c>
      <c r="AA436" s="5" t="str">
        <f aca="false">IF(A436="","",IF(H436=0,"Parado (sem venda 90d)",IF(Z436&gt;12,"Alto (&gt;12x/ano)",IF(Z436&gt;=4,"Medio (4-12x/ano)","Baixo (&lt;4x/ano)"))))</f>
        <v/>
      </c>
    </row>
    <row r="437" customFormat="false" ht="15" hidden="false" customHeight="true" outlineLevel="0" collapsed="false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18"/>
      <c r="L437" s="19" t="str">
        <f aca="false">IF(A437="","",G437*K437)</f>
        <v/>
      </c>
      <c r="M437" s="20"/>
      <c r="N437" s="6"/>
      <c r="O437" s="6"/>
      <c r="P437" s="5" t="str">
        <f aca="false">IF(A437="","",H437/90)</f>
        <v/>
      </c>
      <c r="Q437" s="5" t="str">
        <f aca="false">IF(A437="","",IFERROR(INDEX(Parâmetros!$C$6:$C$10,MATCH(F437,Parâmetros!$B$6:$B$10,0)),""))</f>
        <v/>
      </c>
      <c r="R437" s="5" t="str">
        <f aca="false">IF(OR(A437="",P437="",Q437=""),"",P437*Q437)</f>
        <v/>
      </c>
      <c r="S437" s="5" t="str">
        <f aca="false">IF(R437="","",MAX(0,R437-G437))</f>
        <v/>
      </c>
      <c r="T437" s="21" t="str">
        <f aca="false">IF(S437="","",S437*K437)</f>
        <v/>
      </c>
      <c r="U437" s="5" t="str">
        <f aca="false">IF(A437="","",IF(J437&gt;Parâmetros!$C$14,"SIM","NAO"))</f>
        <v/>
      </c>
      <c r="V437" s="5" t="str">
        <f aca="false">IF(B437="","",TRIM(LEFT(B437,IFERROR(FIND(" ",B437)-1,LEN(B437)))))</f>
        <v/>
      </c>
      <c r="W437" s="22"/>
      <c r="X437" s="5" t="str">
        <f aca="false">IF(A437="","",IF(W437&lt;&gt;"",W437,V437))</f>
        <v/>
      </c>
      <c r="Y437" s="5" t="str">
        <f aca="false">IF(A437="","",IF(COUNTIFS($X$2:$X$2001,X437,$D$2:$D$2001,"&lt;&gt;"&amp;D437,$C$2:$C$2001,C437)&gt;0,"SIM","NAO"))</f>
        <v/>
      </c>
      <c r="Z437" s="5" t="str">
        <f aca="false">IF(A437="","",IF(J437="","",IFERROR(360/J437,"")))</f>
        <v/>
      </c>
      <c r="AA437" s="5" t="str">
        <f aca="false">IF(A437="","",IF(H437=0,"Parado (sem venda 90d)",IF(Z437&gt;12,"Alto (&gt;12x/ano)",IF(Z437&gt;=4,"Medio (4-12x/ano)","Baixo (&lt;4x/ano)"))))</f>
        <v/>
      </c>
    </row>
    <row r="438" customFormat="false" ht="15" hidden="false" customHeight="true" outlineLevel="0" collapsed="false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18"/>
      <c r="L438" s="19" t="str">
        <f aca="false">IF(A438="","",G438*K438)</f>
        <v/>
      </c>
      <c r="M438" s="20"/>
      <c r="N438" s="6"/>
      <c r="O438" s="6"/>
      <c r="P438" s="5" t="str">
        <f aca="false">IF(A438="","",H438/90)</f>
        <v/>
      </c>
      <c r="Q438" s="5" t="str">
        <f aca="false">IF(A438="","",IFERROR(INDEX(Parâmetros!$C$6:$C$10,MATCH(F438,Parâmetros!$B$6:$B$10,0)),""))</f>
        <v/>
      </c>
      <c r="R438" s="5" t="str">
        <f aca="false">IF(OR(A438="",P438="",Q438=""),"",P438*Q438)</f>
        <v/>
      </c>
      <c r="S438" s="5" t="str">
        <f aca="false">IF(R438="","",MAX(0,R438-G438))</f>
        <v/>
      </c>
      <c r="T438" s="21" t="str">
        <f aca="false">IF(S438="","",S438*K438)</f>
        <v/>
      </c>
      <c r="U438" s="5" t="str">
        <f aca="false">IF(A438="","",IF(J438&gt;Parâmetros!$C$14,"SIM","NAO"))</f>
        <v/>
      </c>
      <c r="V438" s="5" t="str">
        <f aca="false">IF(B438="","",TRIM(LEFT(B438,IFERROR(FIND(" ",B438)-1,LEN(B438)))))</f>
        <v/>
      </c>
      <c r="W438" s="22"/>
      <c r="X438" s="5" t="str">
        <f aca="false">IF(A438="","",IF(W438&lt;&gt;"",W438,V438))</f>
        <v/>
      </c>
      <c r="Y438" s="5" t="str">
        <f aca="false">IF(A438="","",IF(COUNTIFS($X$2:$X$2001,X438,$D$2:$D$2001,"&lt;&gt;"&amp;D438,$C$2:$C$2001,C438)&gt;0,"SIM","NAO"))</f>
        <v/>
      </c>
      <c r="Z438" s="5" t="str">
        <f aca="false">IF(A438="","",IF(J438="","",IFERROR(360/J438,"")))</f>
        <v/>
      </c>
      <c r="AA438" s="5" t="str">
        <f aca="false">IF(A438="","",IF(H438=0,"Parado (sem venda 90d)",IF(Z438&gt;12,"Alto (&gt;12x/ano)",IF(Z438&gt;=4,"Medio (4-12x/ano)","Baixo (&lt;4x/ano)"))))</f>
        <v/>
      </c>
    </row>
    <row r="439" customFormat="false" ht="15" hidden="false" customHeight="true" outlineLevel="0" collapsed="false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18"/>
      <c r="L439" s="19" t="str">
        <f aca="false">IF(A439="","",G439*K439)</f>
        <v/>
      </c>
      <c r="M439" s="20"/>
      <c r="N439" s="6"/>
      <c r="O439" s="6"/>
      <c r="P439" s="5" t="str">
        <f aca="false">IF(A439="","",H439/90)</f>
        <v/>
      </c>
      <c r="Q439" s="5" t="str">
        <f aca="false">IF(A439="","",IFERROR(INDEX(Parâmetros!$C$6:$C$10,MATCH(F439,Parâmetros!$B$6:$B$10,0)),""))</f>
        <v/>
      </c>
      <c r="R439" s="5" t="str">
        <f aca="false">IF(OR(A439="",P439="",Q439=""),"",P439*Q439)</f>
        <v/>
      </c>
      <c r="S439" s="5" t="str">
        <f aca="false">IF(R439="","",MAX(0,R439-G439))</f>
        <v/>
      </c>
      <c r="T439" s="21" t="str">
        <f aca="false">IF(S439="","",S439*K439)</f>
        <v/>
      </c>
      <c r="U439" s="5" t="str">
        <f aca="false">IF(A439="","",IF(J439&gt;Parâmetros!$C$14,"SIM","NAO"))</f>
        <v/>
      </c>
      <c r="V439" s="5" t="str">
        <f aca="false">IF(B439="","",TRIM(LEFT(B439,IFERROR(FIND(" ",B439)-1,LEN(B439)))))</f>
        <v/>
      </c>
      <c r="W439" s="22"/>
      <c r="X439" s="5" t="str">
        <f aca="false">IF(A439="","",IF(W439&lt;&gt;"",W439,V439))</f>
        <v/>
      </c>
      <c r="Y439" s="5" t="str">
        <f aca="false">IF(A439="","",IF(COUNTIFS($X$2:$X$2001,X439,$D$2:$D$2001,"&lt;&gt;"&amp;D439,$C$2:$C$2001,C439)&gt;0,"SIM","NAO"))</f>
        <v/>
      </c>
      <c r="Z439" s="5" t="str">
        <f aca="false">IF(A439="","",IF(J439="","",IFERROR(360/J439,"")))</f>
        <v/>
      </c>
      <c r="AA439" s="5" t="str">
        <f aca="false">IF(A439="","",IF(H439=0,"Parado (sem venda 90d)",IF(Z439&gt;12,"Alto (&gt;12x/ano)",IF(Z439&gt;=4,"Medio (4-12x/ano)","Baixo (&lt;4x/ano)"))))</f>
        <v/>
      </c>
    </row>
    <row r="440" customFormat="false" ht="15" hidden="false" customHeight="true" outlineLevel="0" collapsed="false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18"/>
      <c r="L440" s="19" t="str">
        <f aca="false">IF(A440="","",G440*K440)</f>
        <v/>
      </c>
      <c r="M440" s="20"/>
      <c r="N440" s="6"/>
      <c r="O440" s="6"/>
      <c r="P440" s="5" t="str">
        <f aca="false">IF(A440="","",H440/90)</f>
        <v/>
      </c>
      <c r="Q440" s="5" t="str">
        <f aca="false">IF(A440="","",IFERROR(INDEX(Parâmetros!$C$6:$C$10,MATCH(F440,Parâmetros!$B$6:$B$10,0)),""))</f>
        <v/>
      </c>
      <c r="R440" s="5" t="str">
        <f aca="false">IF(OR(A440="",P440="",Q440=""),"",P440*Q440)</f>
        <v/>
      </c>
      <c r="S440" s="5" t="str">
        <f aca="false">IF(R440="","",MAX(0,R440-G440))</f>
        <v/>
      </c>
      <c r="T440" s="21" t="str">
        <f aca="false">IF(S440="","",S440*K440)</f>
        <v/>
      </c>
      <c r="U440" s="5" t="str">
        <f aca="false">IF(A440="","",IF(J440&gt;Parâmetros!$C$14,"SIM","NAO"))</f>
        <v/>
      </c>
      <c r="V440" s="5" t="str">
        <f aca="false">IF(B440="","",TRIM(LEFT(B440,IFERROR(FIND(" ",B440)-1,LEN(B440)))))</f>
        <v/>
      </c>
      <c r="W440" s="22"/>
      <c r="X440" s="5" t="str">
        <f aca="false">IF(A440="","",IF(W440&lt;&gt;"",W440,V440))</f>
        <v/>
      </c>
      <c r="Y440" s="5" t="str">
        <f aca="false">IF(A440="","",IF(COUNTIFS($X$2:$X$2001,X440,$D$2:$D$2001,"&lt;&gt;"&amp;D440,$C$2:$C$2001,C440)&gt;0,"SIM","NAO"))</f>
        <v/>
      </c>
      <c r="Z440" s="5" t="str">
        <f aca="false">IF(A440="","",IF(J440="","",IFERROR(360/J440,"")))</f>
        <v/>
      </c>
      <c r="AA440" s="5" t="str">
        <f aca="false">IF(A440="","",IF(H440=0,"Parado (sem venda 90d)",IF(Z440&gt;12,"Alto (&gt;12x/ano)",IF(Z440&gt;=4,"Medio (4-12x/ano)","Baixo (&lt;4x/ano)"))))</f>
        <v/>
      </c>
    </row>
    <row r="441" customFormat="false" ht="15" hidden="false" customHeight="true" outlineLevel="0" collapsed="false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18"/>
      <c r="L441" s="19" t="str">
        <f aca="false">IF(A441="","",G441*K441)</f>
        <v/>
      </c>
      <c r="M441" s="20"/>
      <c r="N441" s="6"/>
      <c r="O441" s="6"/>
      <c r="P441" s="5" t="str">
        <f aca="false">IF(A441="","",H441/90)</f>
        <v/>
      </c>
      <c r="Q441" s="5" t="str">
        <f aca="false">IF(A441="","",IFERROR(INDEX(Parâmetros!$C$6:$C$10,MATCH(F441,Parâmetros!$B$6:$B$10,0)),""))</f>
        <v/>
      </c>
      <c r="R441" s="5" t="str">
        <f aca="false">IF(OR(A441="",P441="",Q441=""),"",P441*Q441)</f>
        <v/>
      </c>
      <c r="S441" s="5" t="str">
        <f aca="false">IF(R441="","",MAX(0,R441-G441))</f>
        <v/>
      </c>
      <c r="T441" s="21" t="str">
        <f aca="false">IF(S441="","",S441*K441)</f>
        <v/>
      </c>
      <c r="U441" s="5" t="str">
        <f aca="false">IF(A441="","",IF(J441&gt;Parâmetros!$C$14,"SIM","NAO"))</f>
        <v/>
      </c>
      <c r="V441" s="5" t="str">
        <f aca="false">IF(B441="","",TRIM(LEFT(B441,IFERROR(FIND(" ",B441)-1,LEN(B441)))))</f>
        <v/>
      </c>
      <c r="W441" s="22"/>
      <c r="X441" s="5" t="str">
        <f aca="false">IF(A441="","",IF(W441&lt;&gt;"",W441,V441))</f>
        <v/>
      </c>
      <c r="Y441" s="5" t="str">
        <f aca="false">IF(A441="","",IF(COUNTIFS($X$2:$X$2001,X441,$D$2:$D$2001,"&lt;&gt;"&amp;D441,$C$2:$C$2001,C441)&gt;0,"SIM","NAO"))</f>
        <v/>
      </c>
      <c r="Z441" s="5" t="str">
        <f aca="false">IF(A441="","",IF(J441="","",IFERROR(360/J441,"")))</f>
        <v/>
      </c>
      <c r="AA441" s="5" t="str">
        <f aca="false">IF(A441="","",IF(H441=0,"Parado (sem venda 90d)",IF(Z441&gt;12,"Alto (&gt;12x/ano)",IF(Z441&gt;=4,"Medio (4-12x/ano)","Baixo (&lt;4x/ano)"))))</f>
        <v/>
      </c>
    </row>
    <row r="442" customFormat="false" ht="15" hidden="false" customHeight="true" outlineLevel="0" collapsed="false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18"/>
      <c r="L442" s="19" t="str">
        <f aca="false">IF(A442="","",G442*K442)</f>
        <v/>
      </c>
      <c r="M442" s="20"/>
      <c r="N442" s="6"/>
      <c r="O442" s="6"/>
      <c r="P442" s="5" t="str">
        <f aca="false">IF(A442="","",H442/90)</f>
        <v/>
      </c>
      <c r="Q442" s="5" t="str">
        <f aca="false">IF(A442="","",IFERROR(INDEX(Parâmetros!$C$6:$C$10,MATCH(F442,Parâmetros!$B$6:$B$10,0)),""))</f>
        <v/>
      </c>
      <c r="R442" s="5" t="str">
        <f aca="false">IF(OR(A442="",P442="",Q442=""),"",P442*Q442)</f>
        <v/>
      </c>
      <c r="S442" s="5" t="str">
        <f aca="false">IF(R442="","",MAX(0,R442-G442))</f>
        <v/>
      </c>
      <c r="T442" s="21" t="str">
        <f aca="false">IF(S442="","",S442*K442)</f>
        <v/>
      </c>
      <c r="U442" s="5" t="str">
        <f aca="false">IF(A442="","",IF(J442&gt;Parâmetros!$C$14,"SIM","NAO"))</f>
        <v/>
      </c>
      <c r="V442" s="5" t="str">
        <f aca="false">IF(B442="","",TRIM(LEFT(B442,IFERROR(FIND(" ",B442)-1,LEN(B442)))))</f>
        <v/>
      </c>
      <c r="W442" s="22"/>
      <c r="X442" s="5" t="str">
        <f aca="false">IF(A442="","",IF(W442&lt;&gt;"",W442,V442))</f>
        <v/>
      </c>
      <c r="Y442" s="5" t="str">
        <f aca="false">IF(A442="","",IF(COUNTIFS($X$2:$X$2001,X442,$D$2:$D$2001,"&lt;&gt;"&amp;D442,$C$2:$C$2001,C442)&gt;0,"SIM","NAO"))</f>
        <v/>
      </c>
      <c r="Z442" s="5" t="str">
        <f aca="false">IF(A442="","",IF(J442="","",IFERROR(360/J442,"")))</f>
        <v/>
      </c>
      <c r="AA442" s="5" t="str">
        <f aca="false">IF(A442="","",IF(H442=0,"Parado (sem venda 90d)",IF(Z442&gt;12,"Alto (&gt;12x/ano)",IF(Z442&gt;=4,"Medio (4-12x/ano)","Baixo (&lt;4x/ano)"))))</f>
        <v/>
      </c>
    </row>
    <row r="443" customFormat="false" ht="15" hidden="false" customHeight="true" outlineLevel="0" collapsed="false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18"/>
      <c r="L443" s="19" t="str">
        <f aca="false">IF(A443="","",G443*K443)</f>
        <v/>
      </c>
      <c r="M443" s="20"/>
      <c r="N443" s="6"/>
      <c r="O443" s="6"/>
      <c r="P443" s="5" t="str">
        <f aca="false">IF(A443="","",H443/90)</f>
        <v/>
      </c>
      <c r="Q443" s="5" t="str">
        <f aca="false">IF(A443="","",IFERROR(INDEX(Parâmetros!$C$6:$C$10,MATCH(F443,Parâmetros!$B$6:$B$10,0)),""))</f>
        <v/>
      </c>
      <c r="R443" s="5" t="str">
        <f aca="false">IF(OR(A443="",P443="",Q443=""),"",P443*Q443)</f>
        <v/>
      </c>
      <c r="S443" s="5" t="str">
        <f aca="false">IF(R443="","",MAX(0,R443-G443))</f>
        <v/>
      </c>
      <c r="T443" s="21" t="str">
        <f aca="false">IF(S443="","",S443*K443)</f>
        <v/>
      </c>
      <c r="U443" s="5" t="str">
        <f aca="false">IF(A443="","",IF(J443&gt;Parâmetros!$C$14,"SIM","NAO"))</f>
        <v/>
      </c>
      <c r="V443" s="5" t="str">
        <f aca="false">IF(B443="","",TRIM(LEFT(B443,IFERROR(FIND(" ",B443)-1,LEN(B443)))))</f>
        <v/>
      </c>
      <c r="W443" s="22"/>
      <c r="X443" s="5" t="str">
        <f aca="false">IF(A443="","",IF(W443&lt;&gt;"",W443,V443))</f>
        <v/>
      </c>
      <c r="Y443" s="5" t="str">
        <f aca="false">IF(A443="","",IF(COUNTIFS($X$2:$X$2001,X443,$D$2:$D$2001,"&lt;&gt;"&amp;D443,$C$2:$C$2001,C443)&gt;0,"SIM","NAO"))</f>
        <v/>
      </c>
      <c r="Z443" s="5" t="str">
        <f aca="false">IF(A443="","",IF(J443="","",IFERROR(360/J443,"")))</f>
        <v/>
      </c>
      <c r="AA443" s="5" t="str">
        <f aca="false">IF(A443="","",IF(H443=0,"Parado (sem venda 90d)",IF(Z443&gt;12,"Alto (&gt;12x/ano)",IF(Z443&gt;=4,"Medio (4-12x/ano)","Baixo (&lt;4x/ano)"))))</f>
        <v/>
      </c>
    </row>
    <row r="444" customFormat="false" ht="15" hidden="false" customHeight="true" outlineLevel="0" collapsed="false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18"/>
      <c r="L444" s="19" t="str">
        <f aca="false">IF(A444="","",G444*K444)</f>
        <v/>
      </c>
      <c r="M444" s="20"/>
      <c r="N444" s="6"/>
      <c r="O444" s="6"/>
      <c r="P444" s="5" t="str">
        <f aca="false">IF(A444="","",H444/90)</f>
        <v/>
      </c>
      <c r="Q444" s="5" t="str">
        <f aca="false">IF(A444="","",IFERROR(INDEX(Parâmetros!$C$6:$C$10,MATCH(F444,Parâmetros!$B$6:$B$10,0)),""))</f>
        <v/>
      </c>
      <c r="R444" s="5" t="str">
        <f aca="false">IF(OR(A444="",P444="",Q444=""),"",P444*Q444)</f>
        <v/>
      </c>
      <c r="S444" s="5" t="str">
        <f aca="false">IF(R444="","",MAX(0,R444-G444))</f>
        <v/>
      </c>
      <c r="T444" s="21" t="str">
        <f aca="false">IF(S444="","",S444*K444)</f>
        <v/>
      </c>
      <c r="U444" s="5" t="str">
        <f aca="false">IF(A444="","",IF(J444&gt;Parâmetros!$C$14,"SIM","NAO"))</f>
        <v/>
      </c>
      <c r="V444" s="5" t="str">
        <f aca="false">IF(B444="","",TRIM(LEFT(B444,IFERROR(FIND(" ",B444)-1,LEN(B444)))))</f>
        <v/>
      </c>
      <c r="W444" s="22"/>
      <c r="X444" s="5" t="str">
        <f aca="false">IF(A444="","",IF(W444&lt;&gt;"",W444,V444))</f>
        <v/>
      </c>
      <c r="Y444" s="5" t="str">
        <f aca="false">IF(A444="","",IF(COUNTIFS($X$2:$X$2001,X444,$D$2:$D$2001,"&lt;&gt;"&amp;D444,$C$2:$C$2001,C444)&gt;0,"SIM","NAO"))</f>
        <v/>
      </c>
      <c r="Z444" s="5" t="str">
        <f aca="false">IF(A444="","",IF(J444="","",IFERROR(360/J444,"")))</f>
        <v/>
      </c>
      <c r="AA444" s="5" t="str">
        <f aca="false">IF(A444="","",IF(H444=0,"Parado (sem venda 90d)",IF(Z444&gt;12,"Alto (&gt;12x/ano)",IF(Z444&gt;=4,"Medio (4-12x/ano)","Baixo (&lt;4x/ano)"))))</f>
        <v/>
      </c>
    </row>
    <row r="445" customFormat="false" ht="15" hidden="false" customHeight="true" outlineLevel="0" collapsed="false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18"/>
      <c r="L445" s="19" t="str">
        <f aca="false">IF(A445="","",G445*K445)</f>
        <v/>
      </c>
      <c r="M445" s="20"/>
      <c r="N445" s="6"/>
      <c r="O445" s="6"/>
      <c r="P445" s="5" t="str">
        <f aca="false">IF(A445="","",H445/90)</f>
        <v/>
      </c>
      <c r="Q445" s="5" t="str">
        <f aca="false">IF(A445="","",IFERROR(INDEX(Parâmetros!$C$6:$C$10,MATCH(F445,Parâmetros!$B$6:$B$10,0)),""))</f>
        <v/>
      </c>
      <c r="R445" s="5" t="str">
        <f aca="false">IF(OR(A445="",P445="",Q445=""),"",P445*Q445)</f>
        <v/>
      </c>
      <c r="S445" s="5" t="str">
        <f aca="false">IF(R445="","",MAX(0,R445-G445))</f>
        <v/>
      </c>
      <c r="T445" s="21" t="str">
        <f aca="false">IF(S445="","",S445*K445)</f>
        <v/>
      </c>
      <c r="U445" s="5" t="str">
        <f aca="false">IF(A445="","",IF(J445&gt;Parâmetros!$C$14,"SIM","NAO"))</f>
        <v/>
      </c>
      <c r="V445" s="5" t="str">
        <f aca="false">IF(B445="","",TRIM(LEFT(B445,IFERROR(FIND(" ",B445)-1,LEN(B445)))))</f>
        <v/>
      </c>
      <c r="W445" s="22"/>
      <c r="X445" s="5" t="str">
        <f aca="false">IF(A445="","",IF(W445&lt;&gt;"",W445,V445))</f>
        <v/>
      </c>
      <c r="Y445" s="5" t="str">
        <f aca="false">IF(A445="","",IF(COUNTIFS($X$2:$X$2001,X445,$D$2:$D$2001,"&lt;&gt;"&amp;D445,$C$2:$C$2001,C445)&gt;0,"SIM","NAO"))</f>
        <v/>
      </c>
      <c r="Z445" s="5" t="str">
        <f aca="false">IF(A445="","",IF(J445="","",IFERROR(360/J445,"")))</f>
        <v/>
      </c>
      <c r="AA445" s="5" t="str">
        <f aca="false">IF(A445="","",IF(H445=0,"Parado (sem venda 90d)",IF(Z445&gt;12,"Alto (&gt;12x/ano)",IF(Z445&gt;=4,"Medio (4-12x/ano)","Baixo (&lt;4x/ano)"))))</f>
        <v/>
      </c>
    </row>
    <row r="446" customFormat="false" ht="15" hidden="false" customHeight="true" outlineLevel="0" collapsed="false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18"/>
      <c r="L446" s="19" t="str">
        <f aca="false">IF(A446="","",G446*K446)</f>
        <v/>
      </c>
      <c r="M446" s="20"/>
      <c r="N446" s="6"/>
      <c r="O446" s="6"/>
      <c r="P446" s="5" t="str">
        <f aca="false">IF(A446="","",H446/90)</f>
        <v/>
      </c>
      <c r="Q446" s="5" t="str">
        <f aca="false">IF(A446="","",IFERROR(INDEX(Parâmetros!$C$6:$C$10,MATCH(F446,Parâmetros!$B$6:$B$10,0)),""))</f>
        <v/>
      </c>
      <c r="R446" s="5" t="str">
        <f aca="false">IF(OR(A446="",P446="",Q446=""),"",P446*Q446)</f>
        <v/>
      </c>
      <c r="S446" s="5" t="str">
        <f aca="false">IF(R446="","",MAX(0,R446-G446))</f>
        <v/>
      </c>
      <c r="T446" s="21" t="str">
        <f aca="false">IF(S446="","",S446*K446)</f>
        <v/>
      </c>
      <c r="U446" s="5" t="str">
        <f aca="false">IF(A446="","",IF(J446&gt;Parâmetros!$C$14,"SIM","NAO"))</f>
        <v/>
      </c>
      <c r="V446" s="5" t="str">
        <f aca="false">IF(B446="","",TRIM(LEFT(B446,IFERROR(FIND(" ",B446)-1,LEN(B446)))))</f>
        <v/>
      </c>
      <c r="W446" s="22"/>
      <c r="X446" s="5" t="str">
        <f aca="false">IF(A446="","",IF(W446&lt;&gt;"",W446,V446))</f>
        <v/>
      </c>
      <c r="Y446" s="5" t="str">
        <f aca="false">IF(A446="","",IF(COUNTIFS($X$2:$X$2001,X446,$D$2:$D$2001,"&lt;&gt;"&amp;D446,$C$2:$C$2001,C446)&gt;0,"SIM","NAO"))</f>
        <v/>
      </c>
      <c r="Z446" s="5" t="str">
        <f aca="false">IF(A446="","",IF(J446="","",IFERROR(360/J446,"")))</f>
        <v/>
      </c>
      <c r="AA446" s="5" t="str">
        <f aca="false">IF(A446="","",IF(H446=0,"Parado (sem venda 90d)",IF(Z446&gt;12,"Alto (&gt;12x/ano)",IF(Z446&gt;=4,"Medio (4-12x/ano)","Baixo (&lt;4x/ano)"))))</f>
        <v/>
      </c>
    </row>
    <row r="447" customFormat="false" ht="15" hidden="false" customHeight="true" outlineLevel="0" collapsed="false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18"/>
      <c r="L447" s="19" t="str">
        <f aca="false">IF(A447="","",G447*K447)</f>
        <v/>
      </c>
      <c r="M447" s="20"/>
      <c r="N447" s="6"/>
      <c r="O447" s="6"/>
      <c r="P447" s="5" t="str">
        <f aca="false">IF(A447="","",H447/90)</f>
        <v/>
      </c>
      <c r="Q447" s="5" t="str">
        <f aca="false">IF(A447="","",IFERROR(INDEX(Parâmetros!$C$6:$C$10,MATCH(F447,Parâmetros!$B$6:$B$10,0)),""))</f>
        <v/>
      </c>
      <c r="R447" s="5" t="str">
        <f aca="false">IF(OR(A447="",P447="",Q447=""),"",P447*Q447)</f>
        <v/>
      </c>
      <c r="S447" s="5" t="str">
        <f aca="false">IF(R447="","",MAX(0,R447-G447))</f>
        <v/>
      </c>
      <c r="T447" s="21" t="str">
        <f aca="false">IF(S447="","",S447*K447)</f>
        <v/>
      </c>
      <c r="U447" s="5" t="str">
        <f aca="false">IF(A447="","",IF(J447&gt;Parâmetros!$C$14,"SIM","NAO"))</f>
        <v/>
      </c>
      <c r="V447" s="5" t="str">
        <f aca="false">IF(B447="","",TRIM(LEFT(B447,IFERROR(FIND(" ",B447)-1,LEN(B447)))))</f>
        <v/>
      </c>
      <c r="W447" s="22"/>
      <c r="X447" s="5" t="str">
        <f aca="false">IF(A447="","",IF(W447&lt;&gt;"",W447,V447))</f>
        <v/>
      </c>
      <c r="Y447" s="5" t="str">
        <f aca="false">IF(A447="","",IF(COUNTIFS($X$2:$X$2001,X447,$D$2:$D$2001,"&lt;&gt;"&amp;D447,$C$2:$C$2001,C447)&gt;0,"SIM","NAO"))</f>
        <v/>
      </c>
      <c r="Z447" s="5" t="str">
        <f aca="false">IF(A447="","",IF(J447="","",IFERROR(360/J447,"")))</f>
        <v/>
      </c>
      <c r="AA447" s="5" t="str">
        <f aca="false">IF(A447="","",IF(H447=0,"Parado (sem venda 90d)",IF(Z447&gt;12,"Alto (&gt;12x/ano)",IF(Z447&gt;=4,"Medio (4-12x/ano)","Baixo (&lt;4x/ano)"))))</f>
        <v/>
      </c>
    </row>
    <row r="448" customFormat="false" ht="15" hidden="false" customHeight="true" outlineLevel="0" collapsed="false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18"/>
      <c r="L448" s="19" t="str">
        <f aca="false">IF(A448="","",G448*K448)</f>
        <v/>
      </c>
      <c r="M448" s="20"/>
      <c r="N448" s="6"/>
      <c r="O448" s="6"/>
      <c r="P448" s="5" t="str">
        <f aca="false">IF(A448="","",H448/90)</f>
        <v/>
      </c>
      <c r="Q448" s="5" t="str">
        <f aca="false">IF(A448="","",IFERROR(INDEX(Parâmetros!$C$6:$C$10,MATCH(F448,Parâmetros!$B$6:$B$10,0)),""))</f>
        <v/>
      </c>
      <c r="R448" s="5" t="str">
        <f aca="false">IF(OR(A448="",P448="",Q448=""),"",P448*Q448)</f>
        <v/>
      </c>
      <c r="S448" s="5" t="str">
        <f aca="false">IF(R448="","",MAX(0,R448-G448))</f>
        <v/>
      </c>
      <c r="T448" s="21" t="str">
        <f aca="false">IF(S448="","",S448*K448)</f>
        <v/>
      </c>
      <c r="U448" s="5" t="str">
        <f aca="false">IF(A448="","",IF(J448&gt;Parâmetros!$C$14,"SIM","NAO"))</f>
        <v/>
      </c>
      <c r="V448" s="5" t="str">
        <f aca="false">IF(B448="","",TRIM(LEFT(B448,IFERROR(FIND(" ",B448)-1,LEN(B448)))))</f>
        <v/>
      </c>
      <c r="W448" s="22"/>
      <c r="X448" s="5" t="str">
        <f aca="false">IF(A448="","",IF(W448&lt;&gt;"",W448,V448))</f>
        <v/>
      </c>
      <c r="Y448" s="5" t="str">
        <f aca="false">IF(A448="","",IF(COUNTIFS($X$2:$X$2001,X448,$D$2:$D$2001,"&lt;&gt;"&amp;D448,$C$2:$C$2001,C448)&gt;0,"SIM","NAO"))</f>
        <v/>
      </c>
      <c r="Z448" s="5" t="str">
        <f aca="false">IF(A448="","",IF(J448="","",IFERROR(360/J448,"")))</f>
        <v/>
      </c>
      <c r="AA448" s="5" t="str">
        <f aca="false">IF(A448="","",IF(H448=0,"Parado (sem venda 90d)",IF(Z448&gt;12,"Alto (&gt;12x/ano)",IF(Z448&gt;=4,"Medio (4-12x/ano)","Baixo (&lt;4x/ano)"))))</f>
        <v/>
      </c>
    </row>
    <row r="449" customFormat="false" ht="15" hidden="false" customHeight="true" outlineLevel="0" collapsed="false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18"/>
      <c r="L449" s="19" t="str">
        <f aca="false">IF(A449="","",G449*K449)</f>
        <v/>
      </c>
      <c r="M449" s="20"/>
      <c r="N449" s="6"/>
      <c r="O449" s="6"/>
      <c r="P449" s="5" t="str">
        <f aca="false">IF(A449="","",H449/90)</f>
        <v/>
      </c>
      <c r="Q449" s="5" t="str">
        <f aca="false">IF(A449="","",IFERROR(INDEX(Parâmetros!$C$6:$C$10,MATCH(F449,Parâmetros!$B$6:$B$10,0)),""))</f>
        <v/>
      </c>
      <c r="R449" s="5" t="str">
        <f aca="false">IF(OR(A449="",P449="",Q449=""),"",P449*Q449)</f>
        <v/>
      </c>
      <c r="S449" s="5" t="str">
        <f aca="false">IF(R449="","",MAX(0,R449-G449))</f>
        <v/>
      </c>
      <c r="T449" s="21" t="str">
        <f aca="false">IF(S449="","",S449*K449)</f>
        <v/>
      </c>
      <c r="U449" s="5" t="str">
        <f aca="false">IF(A449="","",IF(J449&gt;Parâmetros!$C$14,"SIM","NAO"))</f>
        <v/>
      </c>
      <c r="V449" s="5" t="str">
        <f aca="false">IF(B449="","",TRIM(LEFT(B449,IFERROR(FIND(" ",B449)-1,LEN(B449)))))</f>
        <v/>
      </c>
      <c r="W449" s="22"/>
      <c r="X449" s="5" t="str">
        <f aca="false">IF(A449="","",IF(W449&lt;&gt;"",W449,V449))</f>
        <v/>
      </c>
      <c r="Y449" s="5" t="str">
        <f aca="false">IF(A449="","",IF(COUNTIFS($X$2:$X$2001,X449,$D$2:$D$2001,"&lt;&gt;"&amp;D449,$C$2:$C$2001,C449)&gt;0,"SIM","NAO"))</f>
        <v/>
      </c>
      <c r="Z449" s="5" t="str">
        <f aca="false">IF(A449="","",IF(J449="","",IFERROR(360/J449,"")))</f>
        <v/>
      </c>
      <c r="AA449" s="5" t="str">
        <f aca="false">IF(A449="","",IF(H449=0,"Parado (sem venda 90d)",IF(Z449&gt;12,"Alto (&gt;12x/ano)",IF(Z449&gt;=4,"Medio (4-12x/ano)","Baixo (&lt;4x/ano)"))))</f>
        <v/>
      </c>
    </row>
    <row r="450" customFormat="false" ht="15" hidden="false" customHeight="true" outlineLevel="0" collapsed="false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18"/>
      <c r="L450" s="19" t="str">
        <f aca="false">IF(A450="","",G450*K450)</f>
        <v/>
      </c>
      <c r="M450" s="20"/>
      <c r="N450" s="6"/>
      <c r="O450" s="6"/>
      <c r="P450" s="5" t="str">
        <f aca="false">IF(A450="","",H450/90)</f>
        <v/>
      </c>
      <c r="Q450" s="5" t="str">
        <f aca="false">IF(A450="","",IFERROR(INDEX(Parâmetros!$C$6:$C$10,MATCH(F450,Parâmetros!$B$6:$B$10,0)),""))</f>
        <v/>
      </c>
      <c r="R450" s="5" t="str">
        <f aca="false">IF(OR(A450="",P450="",Q450=""),"",P450*Q450)</f>
        <v/>
      </c>
      <c r="S450" s="5" t="str">
        <f aca="false">IF(R450="","",MAX(0,R450-G450))</f>
        <v/>
      </c>
      <c r="T450" s="21" t="str">
        <f aca="false">IF(S450="","",S450*K450)</f>
        <v/>
      </c>
      <c r="U450" s="5" t="str">
        <f aca="false">IF(A450="","",IF(J450&gt;Parâmetros!$C$14,"SIM","NAO"))</f>
        <v/>
      </c>
      <c r="V450" s="5" t="str">
        <f aca="false">IF(B450="","",TRIM(LEFT(B450,IFERROR(FIND(" ",B450)-1,LEN(B450)))))</f>
        <v/>
      </c>
      <c r="W450" s="22"/>
      <c r="X450" s="5" t="str">
        <f aca="false">IF(A450="","",IF(W450&lt;&gt;"",W450,V450))</f>
        <v/>
      </c>
      <c r="Y450" s="5" t="str">
        <f aca="false">IF(A450="","",IF(COUNTIFS($X$2:$X$2001,X450,$D$2:$D$2001,"&lt;&gt;"&amp;D450,$C$2:$C$2001,C450)&gt;0,"SIM","NAO"))</f>
        <v/>
      </c>
      <c r="Z450" s="5" t="str">
        <f aca="false">IF(A450="","",IF(J450="","",IFERROR(360/J450,"")))</f>
        <v/>
      </c>
      <c r="AA450" s="5" t="str">
        <f aca="false">IF(A450="","",IF(H450=0,"Parado (sem venda 90d)",IF(Z450&gt;12,"Alto (&gt;12x/ano)",IF(Z450&gt;=4,"Medio (4-12x/ano)","Baixo (&lt;4x/ano)"))))</f>
        <v/>
      </c>
    </row>
    <row r="451" customFormat="false" ht="15" hidden="false" customHeight="true" outlineLevel="0" collapsed="false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18"/>
      <c r="L451" s="19" t="str">
        <f aca="false">IF(A451="","",G451*K451)</f>
        <v/>
      </c>
      <c r="M451" s="20"/>
      <c r="N451" s="6"/>
      <c r="O451" s="6"/>
      <c r="P451" s="5" t="str">
        <f aca="false">IF(A451="","",H451/90)</f>
        <v/>
      </c>
      <c r="Q451" s="5" t="str">
        <f aca="false">IF(A451="","",IFERROR(INDEX(Parâmetros!$C$6:$C$10,MATCH(F451,Parâmetros!$B$6:$B$10,0)),""))</f>
        <v/>
      </c>
      <c r="R451" s="5" t="str">
        <f aca="false">IF(OR(A451="",P451="",Q451=""),"",P451*Q451)</f>
        <v/>
      </c>
      <c r="S451" s="5" t="str">
        <f aca="false">IF(R451="","",MAX(0,R451-G451))</f>
        <v/>
      </c>
      <c r="T451" s="21" t="str">
        <f aca="false">IF(S451="","",S451*K451)</f>
        <v/>
      </c>
      <c r="U451" s="5" t="str">
        <f aca="false">IF(A451="","",IF(J451&gt;Parâmetros!$C$14,"SIM","NAO"))</f>
        <v/>
      </c>
      <c r="V451" s="5" t="str">
        <f aca="false">IF(B451="","",TRIM(LEFT(B451,IFERROR(FIND(" ",B451)-1,LEN(B451)))))</f>
        <v/>
      </c>
      <c r="W451" s="22"/>
      <c r="X451" s="5" t="str">
        <f aca="false">IF(A451="","",IF(W451&lt;&gt;"",W451,V451))</f>
        <v/>
      </c>
      <c r="Y451" s="5" t="str">
        <f aca="false">IF(A451="","",IF(COUNTIFS($X$2:$X$2001,X451,$D$2:$D$2001,"&lt;&gt;"&amp;D451,$C$2:$C$2001,C451)&gt;0,"SIM","NAO"))</f>
        <v/>
      </c>
      <c r="Z451" s="5" t="str">
        <f aca="false">IF(A451="","",IF(J451="","",IFERROR(360/J451,"")))</f>
        <v/>
      </c>
      <c r="AA451" s="5" t="str">
        <f aca="false">IF(A451="","",IF(H451=0,"Parado (sem venda 90d)",IF(Z451&gt;12,"Alto (&gt;12x/ano)",IF(Z451&gt;=4,"Medio (4-12x/ano)","Baixo (&lt;4x/ano)"))))</f>
        <v/>
      </c>
    </row>
    <row r="452" customFormat="false" ht="15" hidden="false" customHeight="true" outlineLevel="0" collapsed="false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18"/>
      <c r="L452" s="19" t="str">
        <f aca="false">IF(A452="","",G452*K452)</f>
        <v/>
      </c>
      <c r="M452" s="20"/>
      <c r="N452" s="6"/>
      <c r="O452" s="6"/>
      <c r="P452" s="5" t="str">
        <f aca="false">IF(A452="","",H452/90)</f>
        <v/>
      </c>
      <c r="Q452" s="5" t="str">
        <f aca="false">IF(A452="","",IFERROR(INDEX(Parâmetros!$C$6:$C$10,MATCH(F452,Parâmetros!$B$6:$B$10,0)),""))</f>
        <v/>
      </c>
      <c r="R452" s="5" t="str">
        <f aca="false">IF(OR(A452="",P452="",Q452=""),"",P452*Q452)</f>
        <v/>
      </c>
      <c r="S452" s="5" t="str">
        <f aca="false">IF(R452="","",MAX(0,R452-G452))</f>
        <v/>
      </c>
      <c r="T452" s="21" t="str">
        <f aca="false">IF(S452="","",S452*K452)</f>
        <v/>
      </c>
      <c r="U452" s="5" t="str">
        <f aca="false">IF(A452="","",IF(J452&gt;Parâmetros!$C$14,"SIM","NAO"))</f>
        <v/>
      </c>
      <c r="V452" s="5" t="str">
        <f aca="false">IF(B452="","",TRIM(LEFT(B452,IFERROR(FIND(" ",B452)-1,LEN(B452)))))</f>
        <v/>
      </c>
      <c r="W452" s="22"/>
      <c r="X452" s="5" t="str">
        <f aca="false">IF(A452="","",IF(W452&lt;&gt;"",W452,V452))</f>
        <v/>
      </c>
      <c r="Y452" s="5" t="str">
        <f aca="false">IF(A452="","",IF(COUNTIFS($X$2:$X$2001,X452,$D$2:$D$2001,"&lt;&gt;"&amp;D452,$C$2:$C$2001,C452)&gt;0,"SIM","NAO"))</f>
        <v/>
      </c>
      <c r="Z452" s="5" t="str">
        <f aca="false">IF(A452="","",IF(J452="","",IFERROR(360/J452,"")))</f>
        <v/>
      </c>
      <c r="AA452" s="5" t="str">
        <f aca="false">IF(A452="","",IF(H452=0,"Parado (sem venda 90d)",IF(Z452&gt;12,"Alto (&gt;12x/ano)",IF(Z452&gt;=4,"Medio (4-12x/ano)","Baixo (&lt;4x/ano)"))))</f>
        <v/>
      </c>
    </row>
    <row r="453" customFormat="false" ht="15" hidden="false" customHeight="true" outlineLevel="0" collapsed="false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18"/>
      <c r="L453" s="19" t="str">
        <f aca="false">IF(A453="","",G453*K453)</f>
        <v/>
      </c>
      <c r="M453" s="20"/>
      <c r="N453" s="6"/>
      <c r="O453" s="6"/>
      <c r="P453" s="5" t="str">
        <f aca="false">IF(A453="","",H453/90)</f>
        <v/>
      </c>
      <c r="Q453" s="5" t="str">
        <f aca="false">IF(A453="","",IFERROR(INDEX(Parâmetros!$C$6:$C$10,MATCH(F453,Parâmetros!$B$6:$B$10,0)),""))</f>
        <v/>
      </c>
      <c r="R453" s="5" t="str">
        <f aca="false">IF(OR(A453="",P453="",Q453=""),"",P453*Q453)</f>
        <v/>
      </c>
      <c r="S453" s="5" t="str">
        <f aca="false">IF(R453="","",MAX(0,R453-G453))</f>
        <v/>
      </c>
      <c r="T453" s="21" t="str">
        <f aca="false">IF(S453="","",S453*K453)</f>
        <v/>
      </c>
      <c r="U453" s="5" t="str">
        <f aca="false">IF(A453="","",IF(J453&gt;Parâmetros!$C$14,"SIM","NAO"))</f>
        <v/>
      </c>
      <c r="V453" s="5" t="str">
        <f aca="false">IF(B453="","",TRIM(LEFT(B453,IFERROR(FIND(" ",B453)-1,LEN(B453)))))</f>
        <v/>
      </c>
      <c r="W453" s="22"/>
      <c r="X453" s="5" t="str">
        <f aca="false">IF(A453="","",IF(W453&lt;&gt;"",W453,V453))</f>
        <v/>
      </c>
      <c r="Y453" s="5" t="str">
        <f aca="false">IF(A453="","",IF(COUNTIFS($X$2:$X$2001,X453,$D$2:$D$2001,"&lt;&gt;"&amp;D453,$C$2:$C$2001,C453)&gt;0,"SIM","NAO"))</f>
        <v/>
      </c>
      <c r="Z453" s="5" t="str">
        <f aca="false">IF(A453="","",IF(J453="","",IFERROR(360/J453,"")))</f>
        <v/>
      </c>
      <c r="AA453" s="5" t="str">
        <f aca="false">IF(A453="","",IF(H453=0,"Parado (sem venda 90d)",IF(Z453&gt;12,"Alto (&gt;12x/ano)",IF(Z453&gt;=4,"Medio (4-12x/ano)","Baixo (&lt;4x/ano)"))))</f>
        <v/>
      </c>
    </row>
    <row r="454" customFormat="false" ht="15" hidden="false" customHeight="true" outlineLevel="0" collapsed="false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18"/>
      <c r="L454" s="19" t="str">
        <f aca="false">IF(A454="","",G454*K454)</f>
        <v/>
      </c>
      <c r="M454" s="20"/>
      <c r="N454" s="6"/>
      <c r="O454" s="6"/>
      <c r="P454" s="5" t="str">
        <f aca="false">IF(A454="","",H454/90)</f>
        <v/>
      </c>
      <c r="Q454" s="5" t="str">
        <f aca="false">IF(A454="","",IFERROR(INDEX(Parâmetros!$C$6:$C$10,MATCH(F454,Parâmetros!$B$6:$B$10,0)),""))</f>
        <v/>
      </c>
      <c r="R454" s="5" t="str">
        <f aca="false">IF(OR(A454="",P454="",Q454=""),"",P454*Q454)</f>
        <v/>
      </c>
      <c r="S454" s="5" t="str">
        <f aca="false">IF(R454="","",MAX(0,R454-G454))</f>
        <v/>
      </c>
      <c r="T454" s="21" t="str">
        <f aca="false">IF(S454="","",S454*K454)</f>
        <v/>
      </c>
      <c r="U454" s="5" t="str">
        <f aca="false">IF(A454="","",IF(J454&gt;Parâmetros!$C$14,"SIM","NAO"))</f>
        <v/>
      </c>
      <c r="V454" s="5" t="str">
        <f aca="false">IF(B454="","",TRIM(LEFT(B454,IFERROR(FIND(" ",B454)-1,LEN(B454)))))</f>
        <v/>
      </c>
      <c r="W454" s="22"/>
      <c r="X454" s="5" t="str">
        <f aca="false">IF(A454="","",IF(W454&lt;&gt;"",W454,V454))</f>
        <v/>
      </c>
      <c r="Y454" s="5" t="str">
        <f aca="false">IF(A454="","",IF(COUNTIFS($X$2:$X$2001,X454,$D$2:$D$2001,"&lt;&gt;"&amp;D454,$C$2:$C$2001,C454)&gt;0,"SIM","NAO"))</f>
        <v/>
      </c>
      <c r="Z454" s="5" t="str">
        <f aca="false">IF(A454="","",IF(J454="","",IFERROR(360/J454,"")))</f>
        <v/>
      </c>
      <c r="AA454" s="5" t="str">
        <f aca="false">IF(A454="","",IF(H454=0,"Parado (sem venda 90d)",IF(Z454&gt;12,"Alto (&gt;12x/ano)",IF(Z454&gt;=4,"Medio (4-12x/ano)","Baixo (&lt;4x/ano)"))))</f>
        <v/>
      </c>
    </row>
    <row r="455" customFormat="false" ht="15" hidden="false" customHeight="true" outlineLevel="0" collapsed="false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18"/>
      <c r="L455" s="19" t="str">
        <f aca="false">IF(A455="","",G455*K455)</f>
        <v/>
      </c>
      <c r="M455" s="20"/>
      <c r="N455" s="6"/>
      <c r="O455" s="6"/>
      <c r="P455" s="5" t="str">
        <f aca="false">IF(A455="","",H455/90)</f>
        <v/>
      </c>
      <c r="Q455" s="5" t="str">
        <f aca="false">IF(A455="","",IFERROR(INDEX(Parâmetros!$C$6:$C$10,MATCH(F455,Parâmetros!$B$6:$B$10,0)),""))</f>
        <v/>
      </c>
      <c r="R455" s="5" t="str">
        <f aca="false">IF(OR(A455="",P455="",Q455=""),"",P455*Q455)</f>
        <v/>
      </c>
      <c r="S455" s="5" t="str">
        <f aca="false">IF(R455="","",MAX(0,R455-G455))</f>
        <v/>
      </c>
      <c r="T455" s="21" t="str">
        <f aca="false">IF(S455="","",S455*K455)</f>
        <v/>
      </c>
      <c r="U455" s="5" t="str">
        <f aca="false">IF(A455="","",IF(J455&gt;Parâmetros!$C$14,"SIM","NAO"))</f>
        <v/>
      </c>
      <c r="V455" s="5" t="str">
        <f aca="false">IF(B455="","",TRIM(LEFT(B455,IFERROR(FIND(" ",B455)-1,LEN(B455)))))</f>
        <v/>
      </c>
      <c r="W455" s="22"/>
      <c r="X455" s="5" t="str">
        <f aca="false">IF(A455="","",IF(W455&lt;&gt;"",W455,V455))</f>
        <v/>
      </c>
      <c r="Y455" s="5" t="str">
        <f aca="false">IF(A455="","",IF(COUNTIFS($X$2:$X$2001,X455,$D$2:$D$2001,"&lt;&gt;"&amp;D455,$C$2:$C$2001,C455)&gt;0,"SIM","NAO"))</f>
        <v/>
      </c>
      <c r="Z455" s="5" t="str">
        <f aca="false">IF(A455="","",IF(J455="","",IFERROR(360/J455,"")))</f>
        <v/>
      </c>
      <c r="AA455" s="5" t="str">
        <f aca="false">IF(A455="","",IF(H455=0,"Parado (sem venda 90d)",IF(Z455&gt;12,"Alto (&gt;12x/ano)",IF(Z455&gt;=4,"Medio (4-12x/ano)","Baixo (&lt;4x/ano)"))))</f>
        <v/>
      </c>
    </row>
    <row r="456" customFormat="false" ht="15" hidden="false" customHeight="true" outlineLevel="0" collapsed="false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18"/>
      <c r="L456" s="19" t="str">
        <f aca="false">IF(A456="","",G456*K456)</f>
        <v/>
      </c>
      <c r="M456" s="20"/>
      <c r="N456" s="6"/>
      <c r="O456" s="6"/>
      <c r="P456" s="5" t="str">
        <f aca="false">IF(A456="","",H456/90)</f>
        <v/>
      </c>
      <c r="Q456" s="5" t="str">
        <f aca="false">IF(A456="","",IFERROR(INDEX(Parâmetros!$C$6:$C$10,MATCH(F456,Parâmetros!$B$6:$B$10,0)),""))</f>
        <v/>
      </c>
      <c r="R456" s="5" t="str">
        <f aca="false">IF(OR(A456="",P456="",Q456=""),"",P456*Q456)</f>
        <v/>
      </c>
      <c r="S456" s="5" t="str">
        <f aca="false">IF(R456="","",MAX(0,R456-G456))</f>
        <v/>
      </c>
      <c r="T456" s="21" t="str">
        <f aca="false">IF(S456="","",S456*K456)</f>
        <v/>
      </c>
      <c r="U456" s="5" t="str">
        <f aca="false">IF(A456="","",IF(J456&gt;Parâmetros!$C$14,"SIM","NAO"))</f>
        <v/>
      </c>
      <c r="V456" s="5" t="str">
        <f aca="false">IF(B456="","",TRIM(LEFT(B456,IFERROR(FIND(" ",B456)-1,LEN(B456)))))</f>
        <v/>
      </c>
      <c r="W456" s="22"/>
      <c r="X456" s="5" t="str">
        <f aca="false">IF(A456="","",IF(W456&lt;&gt;"",W456,V456))</f>
        <v/>
      </c>
      <c r="Y456" s="5" t="str">
        <f aca="false">IF(A456="","",IF(COUNTIFS($X$2:$X$2001,X456,$D$2:$D$2001,"&lt;&gt;"&amp;D456,$C$2:$C$2001,C456)&gt;0,"SIM","NAO"))</f>
        <v/>
      </c>
      <c r="Z456" s="5" t="str">
        <f aca="false">IF(A456="","",IF(J456="","",IFERROR(360/J456,"")))</f>
        <v/>
      </c>
      <c r="AA456" s="5" t="str">
        <f aca="false">IF(A456="","",IF(H456=0,"Parado (sem venda 90d)",IF(Z456&gt;12,"Alto (&gt;12x/ano)",IF(Z456&gt;=4,"Medio (4-12x/ano)","Baixo (&lt;4x/ano)"))))</f>
        <v/>
      </c>
    </row>
    <row r="457" customFormat="false" ht="15" hidden="false" customHeight="true" outlineLevel="0" collapsed="false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18"/>
      <c r="L457" s="19" t="str">
        <f aca="false">IF(A457="","",G457*K457)</f>
        <v/>
      </c>
      <c r="M457" s="20"/>
      <c r="N457" s="6"/>
      <c r="O457" s="6"/>
      <c r="P457" s="5" t="str">
        <f aca="false">IF(A457="","",H457/90)</f>
        <v/>
      </c>
      <c r="Q457" s="5" t="str">
        <f aca="false">IF(A457="","",IFERROR(INDEX(Parâmetros!$C$6:$C$10,MATCH(F457,Parâmetros!$B$6:$B$10,0)),""))</f>
        <v/>
      </c>
      <c r="R457" s="5" t="str">
        <f aca="false">IF(OR(A457="",P457="",Q457=""),"",P457*Q457)</f>
        <v/>
      </c>
      <c r="S457" s="5" t="str">
        <f aca="false">IF(R457="","",MAX(0,R457-G457))</f>
        <v/>
      </c>
      <c r="T457" s="21" t="str">
        <f aca="false">IF(S457="","",S457*K457)</f>
        <v/>
      </c>
      <c r="U457" s="5" t="str">
        <f aca="false">IF(A457="","",IF(J457&gt;Parâmetros!$C$14,"SIM","NAO"))</f>
        <v/>
      </c>
      <c r="V457" s="5" t="str">
        <f aca="false">IF(B457="","",TRIM(LEFT(B457,IFERROR(FIND(" ",B457)-1,LEN(B457)))))</f>
        <v/>
      </c>
      <c r="W457" s="22"/>
      <c r="X457" s="5" t="str">
        <f aca="false">IF(A457="","",IF(W457&lt;&gt;"",W457,V457))</f>
        <v/>
      </c>
      <c r="Y457" s="5" t="str">
        <f aca="false">IF(A457="","",IF(COUNTIFS($X$2:$X$2001,X457,$D$2:$D$2001,"&lt;&gt;"&amp;D457,$C$2:$C$2001,C457)&gt;0,"SIM","NAO"))</f>
        <v/>
      </c>
      <c r="Z457" s="5" t="str">
        <f aca="false">IF(A457="","",IF(J457="","",IFERROR(360/J457,"")))</f>
        <v/>
      </c>
      <c r="AA457" s="5" t="str">
        <f aca="false">IF(A457="","",IF(H457=0,"Parado (sem venda 90d)",IF(Z457&gt;12,"Alto (&gt;12x/ano)",IF(Z457&gt;=4,"Medio (4-12x/ano)","Baixo (&lt;4x/ano)"))))</f>
        <v/>
      </c>
    </row>
    <row r="458" customFormat="false" ht="15" hidden="false" customHeight="true" outlineLevel="0" collapsed="false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18"/>
      <c r="L458" s="19" t="str">
        <f aca="false">IF(A458="","",G458*K458)</f>
        <v/>
      </c>
      <c r="M458" s="20"/>
      <c r="N458" s="6"/>
      <c r="O458" s="6"/>
      <c r="P458" s="5" t="str">
        <f aca="false">IF(A458="","",H458/90)</f>
        <v/>
      </c>
      <c r="Q458" s="5" t="str">
        <f aca="false">IF(A458="","",IFERROR(INDEX(Parâmetros!$C$6:$C$10,MATCH(F458,Parâmetros!$B$6:$B$10,0)),""))</f>
        <v/>
      </c>
      <c r="R458" s="5" t="str">
        <f aca="false">IF(OR(A458="",P458="",Q458=""),"",P458*Q458)</f>
        <v/>
      </c>
      <c r="S458" s="5" t="str">
        <f aca="false">IF(R458="","",MAX(0,R458-G458))</f>
        <v/>
      </c>
      <c r="T458" s="21" t="str">
        <f aca="false">IF(S458="","",S458*K458)</f>
        <v/>
      </c>
      <c r="U458" s="5" t="str">
        <f aca="false">IF(A458="","",IF(J458&gt;Parâmetros!$C$14,"SIM","NAO"))</f>
        <v/>
      </c>
      <c r="V458" s="5" t="str">
        <f aca="false">IF(B458="","",TRIM(LEFT(B458,IFERROR(FIND(" ",B458)-1,LEN(B458)))))</f>
        <v/>
      </c>
      <c r="W458" s="22"/>
      <c r="X458" s="5" t="str">
        <f aca="false">IF(A458="","",IF(W458&lt;&gt;"",W458,V458))</f>
        <v/>
      </c>
      <c r="Y458" s="5" t="str">
        <f aca="false">IF(A458="","",IF(COUNTIFS($X$2:$X$2001,X458,$D$2:$D$2001,"&lt;&gt;"&amp;D458,$C$2:$C$2001,C458)&gt;0,"SIM","NAO"))</f>
        <v/>
      </c>
      <c r="Z458" s="5" t="str">
        <f aca="false">IF(A458="","",IF(J458="","",IFERROR(360/J458,"")))</f>
        <v/>
      </c>
      <c r="AA458" s="5" t="str">
        <f aca="false">IF(A458="","",IF(H458=0,"Parado (sem venda 90d)",IF(Z458&gt;12,"Alto (&gt;12x/ano)",IF(Z458&gt;=4,"Medio (4-12x/ano)","Baixo (&lt;4x/ano)"))))</f>
        <v/>
      </c>
    </row>
    <row r="459" customFormat="false" ht="15" hidden="false" customHeight="true" outlineLevel="0" collapsed="false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18"/>
      <c r="L459" s="19" t="str">
        <f aca="false">IF(A459="","",G459*K459)</f>
        <v/>
      </c>
      <c r="M459" s="20"/>
      <c r="N459" s="6"/>
      <c r="O459" s="6"/>
      <c r="P459" s="5" t="str">
        <f aca="false">IF(A459="","",H459/90)</f>
        <v/>
      </c>
      <c r="Q459" s="5" t="str">
        <f aca="false">IF(A459="","",IFERROR(INDEX(Parâmetros!$C$6:$C$10,MATCH(F459,Parâmetros!$B$6:$B$10,0)),""))</f>
        <v/>
      </c>
      <c r="R459" s="5" t="str">
        <f aca="false">IF(OR(A459="",P459="",Q459=""),"",P459*Q459)</f>
        <v/>
      </c>
      <c r="S459" s="5" t="str">
        <f aca="false">IF(R459="","",MAX(0,R459-G459))</f>
        <v/>
      </c>
      <c r="T459" s="21" t="str">
        <f aca="false">IF(S459="","",S459*K459)</f>
        <v/>
      </c>
      <c r="U459" s="5" t="str">
        <f aca="false">IF(A459="","",IF(J459&gt;Parâmetros!$C$14,"SIM","NAO"))</f>
        <v/>
      </c>
      <c r="V459" s="5" t="str">
        <f aca="false">IF(B459="","",TRIM(LEFT(B459,IFERROR(FIND(" ",B459)-1,LEN(B459)))))</f>
        <v/>
      </c>
      <c r="W459" s="22"/>
      <c r="X459" s="5" t="str">
        <f aca="false">IF(A459="","",IF(W459&lt;&gt;"",W459,V459))</f>
        <v/>
      </c>
      <c r="Y459" s="5" t="str">
        <f aca="false">IF(A459="","",IF(COUNTIFS($X$2:$X$2001,X459,$D$2:$D$2001,"&lt;&gt;"&amp;D459,$C$2:$C$2001,C459)&gt;0,"SIM","NAO"))</f>
        <v/>
      </c>
      <c r="Z459" s="5" t="str">
        <f aca="false">IF(A459="","",IF(J459="","",IFERROR(360/J459,"")))</f>
        <v/>
      </c>
      <c r="AA459" s="5" t="str">
        <f aca="false">IF(A459="","",IF(H459=0,"Parado (sem venda 90d)",IF(Z459&gt;12,"Alto (&gt;12x/ano)",IF(Z459&gt;=4,"Medio (4-12x/ano)","Baixo (&lt;4x/ano)"))))</f>
        <v/>
      </c>
    </row>
    <row r="460" customFormat="false" ht="15" hidden="false" customHeight="true" outlineLevel="0" collapsed="false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18"/>
      <c r="L460" s="19" t="str">
        <f aca="false">IF(A460="","",G460*K460)</f>
        <v/>
      </c>
      <c r="M460" s="20"/>
      <c r="N460" s="6"/>
      <c r="O460" s="6"/>
      <c r="P460" s="5" t="str">
        <f aca="false">IF(A460="","",H460/90)</f>
        <v/>
      </c>
      <c r="Q460" s="5" t="str">
        <f aca="false">IF(A460="","",IFERROR(INDEX(Parâmetros!$C$6:$C$10,MATCH(F460,Parâmetros!$B$6:$B$10,0)),""))</f>
        <v/>
      </c>
      <c r="R460" s="5" t="str">
        <f aca="false">IF(OR(A460="",P460="",Q460=""),"",P460*Q460)</f>
        <v/>
      </c>
      <c r="S460" s="5" t="str">
        <f aca="false">IF(R460="","",MAX(0,R460-G460))</f>
        <v/>
      </c>
      <c r="T460" s="21" t="str">
        <f aca="false">IF(S460="","",S460*K460)</f>
        <v/>
      </c>
      <c r="U460" s="5" t="str">
        <f aca="false">IF(A460="","",IF(J460&gt;Parâmetros!$C$14,"SIM","NAO"))</f>
        <v/>
      </c>
      <c r="V460" s="5" t="str">
        <f aca="false">IF(B460="","",TRIM(LEFT(B460,IFERROR(FIND(" ",B460)-1,LEN(B460)))))</f>
        <v/>
      </c>
      <c r="W460" s="22"/>
      <c r="X460" s="5" t="str">
        <f aca="false">IF(A460="","",IF(W460&lt;&gt;"",W460,V460))</f>
        <v/>
      </c>
      <c r="Y460" s="5" t="str">
        <f aca="false">IF(A460="","",IF(COUNTIFS($X$2:$X$2001,X460,$D$2:$D$2001,"&lt;&gt;"&amp;D460,$C$2:$C$2001,C460)&gt;0,"SIM","NAO"))</f>
        <v/>
      </c>
      <c r="Z460" s="5" t="str">
        <f aca="false">IF(A460="","",IF(J460="","",IFERROR(360/J460,"")))</f>
        <v/>
      </c>
      <c r="AA460" s="5" t="str">
        <f aca="false">IF(A460="","",IF(H460=0,"Parado (sem venda 90d)",IF(Z460&gt;12,"Alto (&gt;12x/ano)",IF(Z460&gt;=4,"Medio (4-12x/ano)","Baixo (&lt;4x/ano)"))))</f>
        <v/>
      </c>
    </row>
    <row r="461" customFormat="false" ht="15" hidden="false" customHeight="true" outlineLevel="0" collapsed="false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18"/>
      <c r="L461" s="19" t="str">
        <f aca="false">IF(A461="","",G461*K461)</f>
        <v/>
      </c>
      <c r="M461" s="20"/>
      <c r="N461" s="6"/>
      <c r="O461" s="6"/>
      <c r="P461" s="5" t="str">
        <f aca="false">IF(A461="","",H461/90)</f>
        <v/>
      </c>
      <c r="Q461" s="5" t="str">
        <f aca="false">IF(A461="","",IFERROR(INDEX(Parâmetros!$C$6:$C$10,MATCH(F461,Parâmetros!$B$6:$B$10,0)),""))</f>
        <v/>
      </c>
      <c r="R461" s="5" t="str">
        <f aca="false">IF(OR(A461="",P461="",Q461=""),"",P461*Q461)</f>
        <v/>
      </c>
      <c r="S461" s="5" t="str">
        <f aca="false">IF(R461="","",MAX(0,R461-G461))</f>
        <v/>
      </c>
      <c r="T461" s="21" t="str">
        <f aca="false">IF(S461="","",S461*K461)</f>
        <v/>
      </c>
      <c r="U461" s="5" t="str">
        <f aca="false">IF(A461="","",IF(J461&gt;Parâmetros!$C$14,"SIM","NAO"))</f>
        <v/>
      </c>
      <c r="V461" s="5" t="str">
        <f aca="false">IF(B461="","",TRIM(LEFT(B461,IFERROR(FIND(" ",B461)-1,LEN(B461)))))</f>
        <v/>
      </c>
      <c r="W461" s="22"/>
      <c r="X461" s="5" t="str">
        <f aca="false">IF(A461="","",IF(W461&lt;&gt;"",W461,V461))</f>
        <v/>
      </c>
      <c r="Y461" s="5" t="str">
        <f aca="false">IF(A461="","",IF(COUNTIFS($X$2:$X$2001,X461,$D$2:$D$2001,"&lt;&gt;"&amp;D461,$C$2:$C$2001,C461)&gt;0,"SIM","NAO"))</f>
        <v/>
      </c>
      <c r="Z461" s="5" t="str">
        <f aca="false">IF(A461="","",IF(J461="","",IFERROR(360/J461,"")))</f>
        <v/>
      </c>
      <c r="AA461" s="5" t="str">
        <f aca="false">IF(A461="","",IF(H461=0,"Parado (sem venda 90d)",IF(Z461&gt;12,"Alto (&gt;12x/ano)",IF(Z461&gt;=4,"Medio (4-12x/ano)","Baixo (&lt;4x/ano)"))))</f>
        <v/>
      </c>
    </row>
    <row r="462" customFormat="false" ht="15" hidden="false" customHeight="true" outlineLevel="0" collapsed="false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18"/>
      <c r="L462" s="19" t="str">
        <f aca="false">IF(A462="","",G462*K462)</f>
        <v/>
      </c>
      <c r="M462" s="20"/>
      <c r="N462" s="6"/>
      <c r="O462" s="6"/>
      <c r="P462" s="5" t="str">
        <f aca="false">IF(A462="","",H462/90)</f>
        <v/>
      </c>
      <c r="Q462" s="5" t="str">
        <f aca="false">IF(A462="","",IFERROR(INDEX(Parâmetros!$C$6:$C$10,MATCH(F462,Parâmetros!$B$6:$B$10,0)),""))</f>
        <v/>
      </c>
      <c r="R462" s="5" t="str">
        <f aca="false">IF(OR(A462="",P462="",Q462=""),"",P462*Q462)</f>
        <v/>
      </c>
      <c r="S462" s="5" t="str">
        <f aca="false">IF(R462="","",MAX(0,R462-G462))</f>
        <v/>
      </c>
      <c r="T462" s="21" t="str">
        <f aca="false">IF(S462="","",S462*K462)</f>
        <v/>
      </c>
      <c r="U462" s="5" t="str">
        <f aca="false">IF(A462="","",IF(J462&gt;Parâmetros!$C$14,"SIM","NAO"))</f>
        <v/>
      </c>
      <c r="V462" s="5" t="str">
        <f aca="false">IF(B462="","",TRIM(LEFT(B462,IFERROR(FIND(" ",B462)-1,LEN(B462)))))</f>
        <v/>
      </c>
      <c r="W462" s="22"/>
      <c r="X462" s="5" t="str">
        <f aca="false">IF(A462="","",IF(W462&lt;&gt;"",W462,V462))</f>
        <v/>
      </c>
      <c r="Y462" s="5" t="str">
        <f aca="false">IF(A462="","",IF(COUNTIFS($X$2:$X$2001,X462,$D$2:$D$2001,"&lt;&gt;"&amp;D462,$C$2:$C$2001,C462)&gt;0,"SIM","NAO"))</f>
        <v/>
      </c>
      <c r="Z462" s="5" t="str">
        <f aca="false">IF(A462="","",IF(J462="","",IFERROR(360/J462,"")))</f>
        <v/>
      </c>
      <c r="AA462" s="5" t="str">
        <f aca="false">IF(A462="","",IF(H462=0,"Parado (sem venda 90d)",IF(Z462&gt;12,"Alto (&gt;12x/ano)",IF(Z462&gt;=4,"Medio (4-12x/ano)","Baixo (&lt;4x/ano)"))))</f>
        <v/>
      </c>
    </row>
    <row r="463" customFormat="false" ht="15" hidden="false" customHeight="true" outlineLevel="0" collapsed="false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18"/>
      <c r="L463" s="19" t="str">
        <f aca="false">IF(A463="","",G463*K463)</f>
        <v/>
      </c>
      <c r="M463" s="20"/>
      <c r="N463" s="6"/>
      <c r="O463" s="6"/>
      <c r="P463" s="5" t="str">
        <f aca="false">IF(A463="","",H463/90)</f>
        <v/>
      </c>
      <c r="Q463" s="5" t="str">
        <f aca="false">IF(A463="","",IFERROR(INDEX(Parâmetros!$C$6:$C$10,MATCH(F463,Parâmetros!$B$6:$B$10,0)),""))</f>
        <v/>
      </c>
      <c r="R463" s="5" t="str">
        <f aca="false">IF(OR(A463="",P463="",Q463=""),"",P463*Q463)</f>
        <v/>
      </c>
      <c r="S463" s="5" t="str">
        <f aca="false">IF(R463="","",MAX(0,R463-G463))</f>
        <v/>
      </c>
      <c r="T463" s="21" t="str">
        <f aca="false">IF(S463="","",S463*K463)</f>
        <v/>
      </c>
      <c r="U463" s="5" t="str">
        <f aca="false">IF(A463="","",IF(J463&gt;Parâmetros!$C$14,"SIM","NAO"))</f>
        <v/>
      </c>
      <c r="V463" s="5" t="str">
        <f aca="false">IF(B463="","",TRIM(LEFT(B463,IFERROR(FIND(" ",B463)-1,LEN(B463)))))</f>
        <v/>
      </c>
      <c r="W463" s="22"/>
      <c r="X463" s="5" t="str">
        <f aca="false">IF(A463="","",IF(W463&lt;&gt;"",W463,V463))</f>
        <v/>
      </c>
      <c r="Y463" s="5" t="str">
        <f aca="false">IF(A463="","",IF(COUNTIFS($X$2:$X$2001,X463,$D$2:$D$2001,"&lt;&gt;"&amp;D463,$C$2:$C$2001,C463)&gt;0,"SIM","NAO"))</f>
        <v/>
      </c>
      <c r="Z463" s="5" t="str">
        <f aca="false">IF(A463="","",IF(J463="","",IFERROR(360/J463,"")))</f>
        <v/>
      </c>
      <c r="AA463" s="5" t="str">
        <f aca="false">IF(A463="","",IF(H463=0,"Parado (sem venda 90d)",IF(Z463&gt;12,"Alto (&gt;12x/ano)",IF(Z463&gt;=4,"Medio (4-12x/ano)","Baixo (&lt;4x/ano)"))))</f>
        <v/>
      </c>
    </row>
    <row r="464" customFormat="false" ht="15" hidden="false" customHeight="true" outlineLevel="0" collapsed="false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18"/>
      <c r="L464" s="19" t="str">
        <f aca="false">IF(A464="","",G464*K464)</f>
        <v/>
      </c>
      <c r="M464" s="20"/>
      <c r="N464" s="6"/>
      <c r="O464" s="6"/>
      <c r="P464" s="5" t="str">
        <f aca="false">IF(A464="","",H464/90)</f>
        <v/>
      </c>
      <c r="Q464" s="5" t="str">
        <f aca="false">IF(A464="","",IFERROR(INDEX(Parâmetros!$C$6:$C$10,MATCH(F464,Parâmetros!$B$6:$B$10,0)),""))</f>
        <v/>
      </c>
      <c r="R464" s="5" t="str">
        <f aca="false">IF(OR(A464="",P464="",Q464=""),"",P464*Q464)</f>
        <v/>
      </c>
      <c r="S464" s="5" t="str">
        <f aca="false">IF(R464="","",MAX(0,R464-G464))</f>
        <v/>
      </c>
      <c r="T464" s="21" t="str">
        <f aca="false">IF(S464="","",S464*K464)</f>
        <v/>
      </c>
      <c r="U464" s="5" t="str">
        <f aca="false">IF(A464="","",IF(J464&gt;Parâmetros!$C$14,"SIM","NAO"))</f>
        <v/>
      </c>
      <c r="V464" s="5" t="str">
        <f aca="false">IF(B464="","",TRIM(LEFT(B464,IFERROR(FIND(" ",B464)-1,LEN(B464)))))</f>
        <v/>
      </c>
      <c r="W464" s="22"/>
      <c r="X464" s="5" t="str">
        <f aca="false">IF(A464="","",IF(W464&lt;&gt;"",W464,V464))</f>
        <v/>
      </c>
      <c r="Y464" s="5" t="str">
        <f aca="false">IF(A464="","",IF(COUNTIFS($X$2:$X$2001,X464,$D$2:$D$2001,"&lt;&gt;"&amp;D464,$C$2:$C$2001,C464)&gt;0,"SIM","NAO"))</f>
        <v/>
      </c>
      <c r="Z464" s="5" t="str">
        <f aca="false">IF(A464="","",IF(J464="","",IFERROR(360/J464,"")))</f>
        <v/>
      </c>
      <c r="AA464" s="5" t="str">
        <f aca="false">IF(A464="","",IF(H464=0,"Parado (sem venda 90d)",IF(Z464&gt;12,"Alto (&gt;12x/ano)",IF(Z464&gt;=4,"Medio (4-12x/ano)","Baixo (&lt;4x/ano)"))))</f>
        <v/>
      </c>
    </row>
    <row r="465" customFormat="false" ht="15" hidden="false" customHeight="true" outlineLevel="0" collapsed="false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18"/>
      <c r="L465" s="19" t="str">
        <f aca="false">IF(A465="","",G465*K465)</f>
        <v/>
      </c>
      <c r="M465" s="20"/>
      <c r="N465" s="6"/>
      <c r="O465" s="6"/>
      <c r="P465" s="5" t="str">
        <f aca="false">IF(A465="","",H465/90)</f>
        <v/>
      </c>
      <c r="Q465" s="5" t="str">
        <f aca="false">IF(A465="","",IFERROR(INDEX(Parâmetros!$C$6:$C$10,MATCH(F465,Parâmetros!$B$6:$B$10,0)),""))</f>
        <v/>
      </c>
      <c r="R465" s="5" t="str">
        <f aca="false">IF(OR(A465="",P465="",Q465=""),"",P465*Q465)</f>
        <v/>
      </c>
      <c r="S465" s="5" t="str">
        <f aca="false">IF(R465="","",MAX(0,R465-G465))</f>
        <v/>
      </c>
      <c r="T465" s="21" t="str">
        <f aca="false">IF(S465="","",S465*K465)</f>
        <v/>
      </c>
      <c r="U465" s="5" t="str">
        <f aca="false">IF(A465="","",IF(J465&gt;Parâmetros!$C$14,"SIM","NAO"))</f>
        <v/>
      </c>
      <c r="V465" s="5" t="str">
        <f aca="false">IF(B465="","",TRIM(LEFT(B465,IFERROR(FIND(" ",B465)-1,LEN(B465)))))</f>
        <v/>
      </c>
      <c r="W465" s="22"/>
      <c r="X465" s="5" t="str">
        <f aca="false">IF(A465="","",IF(W465&lt;&gt;"",W465,V465))</f>
        <v/>
      </c>
      <c r="Y465" s="5" t="str">
        <f aca="false">IF(A465="","",IF(COUNTIFS($X$2:$X$2001,X465,$D$2:$D$2001,"&lt;&gt;"&amp;D465,$C$2:$C$2001,C465)&gt;0,"SIM","NAO"))</f>
        <v/>
      </c>
      <c r="Z465" s="5" t="str">
        <f aca="false">IF(A465="","",IF(J465="","",IFERROR(360/J465,"")))</f>
        <v/>
      </c>
      <c r="AA465" s="5" t="str">
        <f aca="false">IF(A465="","",IF(H465=0,"Parado (sem venda 90d)",IF(Z465&gt;12,"Alto (&gt;12x/ano)",IF(Z465&gt;=4,"Medio (4-12x/ano)","Baixo (&lt;4x/ano)"))))</f>
        <v/>
      </c>
    </row>
    <row r="466" customFormat="false" ht="15" hidden="false" customHeight="true" outlineLevel="0" collapsed="false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18"/>
      <c r="L466" s="19" t="str">
        <f aca="false">IF(A466="","",G466*K466)</f>
        <v/>
      </c>
      <c r="M466" s="20"/>
      <c r="N466" s="6"/>
      <c r="O466" s="6"/>
      <c r="P466" s="5" t="str">
        <f aca="false">IF(A466="","",H466/90)</f>
        <v/>
      </c>
      <c r="Q466" s="5" t="str">
        <f aca="false">IF(A466="","",IFERROR(INDEX(Parâmetros!$C$6:$C$10,MATCH(F466,Parâmetros!$B$6:$B$10,0)),""))</f>
        <v/>
      </c>
      <c r="R466" s="5" t="str">
        <f aca="false">IF(OR(A466="",P466="",Q466=""),"",P466*Q466)</f>
        <v/>
      </c>
      <c r="S466" s="5" t="str">
        <f aca="false">IF(R466="","",MAX(0,R466-G466))</f>
        <v/>
      </c>
      <c r="T466" s="21" t="str">
        <f aca="false">IF(S466="","",S466*K466)</f>
        <v/>
      </c>
      <c r="U466" s="5" t="str">
        <f aca="false">IF(A466="","",IF(J466&gt;Parâmetros!$C$14,"SIM","NAO"))</f>
        <v/>
      </c>
      <c r="V466" s="5" t="str">
        <f aca="false">IF(B466="","",TRIM(LEFT(B466,IFERROR(FIND(" ",B466)-1,LEN(B466)))))</f>
        <v/>
      </c>
      <c r="W466" s="22"/>
      <c r="X466" s="5" t="str">
        <f aca="false">IF(A466="","",IF(W466&lt;&gt;"",W466,V466))</f>
        <v/>
      </c>
      <c r="Y466" s="5" t="str">
        <f aca="false">IF(A466="","",IF(COUNTIFS($X$2:$X$2001,X466,$D$2:$D$2001,"&lt;&gt;"&amp;D466,$C$2:$C$2001,C466)&gt;0,"SIM","NAO"))</f>
        <v/>
      </c>
      <c r="Z466" s="5" t="str">
        <f aca="false">IF(A466="","",IF(J466="","",IFERROR(360/J466,"")))</f>
        <v/>
      </c>
      <c r="AA466" s="5" t="str">
        <f aca="false">IF(A466="","",IF(H466=0,"Parado (sem venda 90d)",IF(Z466&gt;12,"Alto (&gt;12x/ano)",IF(Z466&gt;=4,"Medio (4-12x/ano)","Baixo (&lt;4x/ano)"))))</f>
        <v/>
      </c>
    </row>
    <row r="467" customFormat="false" ht="15" hidden="false" customHeight="true" outlineLevel="0" collapsed="false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18"/>
      <c r="L467" s="19" t="str">
        <f aca="false">IF(A467="","",G467*K467)</f>
        <v/>
      </c>
      <c r="M467" s="20"/>
      <c r="N467" s="6"/>
      <c r="O467" s="6"/>
      <c r="P467" s="5" t="str">
        <f aca="false">IF(A467="","",H467/90)</f>
        <v/>
      </c>
      <c r="Q467" s="5" t="str">
        <f aca="false">IF(A467="","",IFERROR(INDEX(Parâmetros!$C$6:$C$10,MATCH(F467,Parâmetros!$B$6:$B$10,0)),""))</f>
        <v/>
      </c>
      <c r="R467" s="5" t="str">
        <f aca="false">IF(OR(A467="",P467="",Q467=""),"",P467*Q467)</f>
        <v/>
      </c>
      <c r="S467" s="5" t="str">
        <f aca="false">IF(R467="","",MAX(0,R467-G467))</f>
        <v/>
      </c>
      <c r="T467" s="21" t="str">
        <f aca="false">IF(S467="","",S467*K467)</f>
        <v/>
      </c>
      <c r="U467" s="5" t="str">
        <f aca="false">IF(A467="","",IF(J467&gt;Parâmetros!$C$14,"SIM","NAO"))</f>
        <v/>
      </c>
      <c r="V467" s="5" t="str">
        <f aca="false">IF(B467="","",TRIM(LEFT(B467,IFERROR(FIND(" ",B467)-1,LEN(B467)))))</f>
        <v/>
      </c>
      <c r="W467" s="22"/>
      <c r="X467" s="5" t="str">
        <f aca="false">IF(A467="","",IF(W467&lt;&gt;"",W467,V467))</f>
        <v/>
      </c>
      <c r="Y467" s="5" t="str">
        <f aca="false">IF(A467="","",IF(COUNTIFS($X$2:$X$2001,X467,$D$2:$D$2001,"&lt;&gt;"&amp;D467,$C$2:$C$2001,C467)&gt;0,"SIM","NAO"))</f>
        <v/>
      </c>
      <c r="Z467" s="5" t="str">
        <f aca="false">IF(A467="","",IF(J467="","",IFERROR(360/J467,"")))</f>
        <v/>
      </c>
      <c r="AA467" s="5" t="str">
        <f aca="false">IF(A467="","",IF(H467=0,"Parado (sem venda 90d)",IF(Z467&gt;12,"Alto (&gt;12x/ano)",IF(Z467&gt;=4,"Medio (4-12x/ano)","Baixo (&lt;4x/ano)"))))</f>
        <v/>
      </c>
    </row>
    <row r="468" customFormat="false" ht="15" hidden="false" customHeight="true" outlineLevel="0" collapsed="false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18"/>
      <c r="L468" s="19" t="str">
        <f aca="false">IF(A468="","",G468*K468)</f>
        <v/>
      </c>
      <c r="M468" s="20"/>
      <c r="N468" s="6"/>
      <c r="O468" s="6"/>
      <c r="P468" s="5" t="str">
        <f aca="false">IF(A468="","",H468/90)</f>
        <v/>
      </c>
      <c r="Q468" s="5" t="str">
        <f aca="false">IF(A468="","",IFERROR(INDEX(Parâmetros!$C$6:$C$10,MATCH(F468,Parâmetros!$B$6:$B$10,0)),""))</f>
        <v/>
      </c>
      <c r="R468" s="5" t="str">
        <f aca="false">IF(OR(A468="",P468="",Q468=""),"",P468*Q468)</f>
        <v/>
      </c>
      <c r="S468" s="5" t="str">
        <f aca="false">IF(R468="","",MAX(0,R468-G468))</f>
        <v/>
      </c>
      <c r="T468" s="21" t="str">
        <f aca="false">IF(S468="","",S468*K468)</f>
        <v/>
      </c>
      <c r="U468" s="5" t="str">
        <f aca="false">IF(A468="","",IF(J468&gt;Parâmetros!$C$14,"SIM","NAO"))</f>
        <v/>
      </c>
      <c r="V468" s="5" t="str">
        <f aca="false">IF(B468="","",TRIM(LEFT(B468,IFERROR(FIND(" ",B468)-1,LEN(B468)))))</f>
        <v/>
      </c>
      <c r="W468" s="22"/>
      <c r="X468" s="5" t="str">
        <f aca="false">IF(A468="","",IF(W468&lt;&gt;"",W468,V468))</f>
        <v/>
      </c>
      <c r="Y468" s="5" t="str">
        <f aca="false">IF(A468="","",IF(COUNTIFS($X$2:$X$2001,X468,$D$2:$D$2001,"&lt;&gt;"&amp;D468,$C$2:$C$2001,C468)&gt;0,"SIM","NAO"))</f>
        <v/>
      </c>
      <c r="Z468" s="5" t="str">
        <f aca="false">IF(A468="","",IF(J468="","",IFERROR(360/J468,"")))</f>
        <v/>
      </c>
      <c r="AA468" s="5" t="str">
        <f aca="false">IF(A468="","",IF(H468=0,"Parado (sem venda 90d)",IF(Z468&gt;12,"Alto (&gt;12x/ano)",IF(Z468&gt;=4,"Medio (4-12x/ano)","Baixo (&lt;4x/ano)"))))</f>
        <v/>
      </c>
    </row>
    <row r="469" customFormat="false" ht="15" hidden="false" customHeight="true" outlineLevel="0" collapsed="false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18"/>
      <c r="L469" s="19" t="str">
        <f aca="false">IF(A469="","",G469*K469)</f>
        <v/>
      </c>
      <c r="M469" s="20"/>
      <c r="N469" s="6"/>
      <c r="O469" s="6"/>
      <c r="P469" s="5" t="str">
        <f aca="false">IF(A469="","",H469/90)</f>
        <v/>
      </c>
      <c r="Q469" s="5" t="str">
        <f aca="false">IF(A469="","",IFERROR(INDEX(Parâmetros!$C$6:$C$10,MATCH(F469,Parâmetros!$B$6:$B$10,0)),""))</f>
        <v/>
      </c>
      <c r="R469" s="5" t="str">
        <f aca="false">IF(OR(A469="",P469="",Q469=""),"",P469*Q469)</f>
        <v/>
      </c>
      <c r="S469" s="5" t="str">
        <f aca="false">IF(R469="","",MAX(0,R469-G469))</f>
        <v/>
      </c>
      <c r="T469" s="21" t="str">
        <f aca="false">IF(S469="","",S469*K469)</f>
        <v/>
      </c>
      <c r="U469" s="5" t="str">
        <f aca="false">IF(A469="","",IF(J469&gt;Parâmetros!$C$14,"SIM","NAO"))</f>
        <v/>
      </c>
      <c r="V469" s="5" t="str">
        <f aca="false">IF(B469="","",TRIM(LEFT(B469,IFERROR(FIND(" ",B469)-1,LEN(B469)))))</f>
        <v/>
      </c>
      <c r="W469" s="22"/>
      <c r="X469" s="5" t="str">
        <f aca="false">IF(A469="","",IF(W469&lt;&gt;"",W469,V469))</f>
        <v/>
      </c>
      <c r="Y469" s="5" t="str">
        <f aca="false">IF(A469="","",IF(COUNTIFS($X$2:$X$2001,X469,$D$2:$D$2001,"&lt;&gt;"&amp;D469,$C$2:$C$2001,C469)&gt;0,"SIM","NAO"))</f>
        <v/>
      </c>
      <c r="Z469" s="5" t="str">
        <f aca="false">IF(A469="","",IF(J469="","",IFERROR(360/J469,"")))</f>
        <v/>
      </c>
      <c r="AA469" s="5" t="str">
        <f aca="false">IF(A469="","",IF(H469=0,"Parado (sem venda 90d)",IF(Z469&gt;12,"Alto (&gt;12x/ano)",IF(Z469&gt;=4,"Medio (4-12x/ano)","Baixo (&lt;4x/ano)"))))</f>
        <v/>
      </c>
    </row>
    <row r="470" customFormat="false" ht="15" hidden="false" customHeight="true" outlineLevel="0" collapsed="false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18"/>
      <c r="L470" s="19" t="str">
        <f aca="false">IF(A470="","",G470*K470)</f>
        <v/>
      </c>
      <c r="M470" s="20"/>
      <c r="N470" s="6"/>
      <c r="O470" s="6"/>
      <c r="P470" s="5" t="str">
        <f aca="false">IF(A470="","",H470/90)</f>
        <v/>
      </c>
      <c r="Q470" s="5" t="str">
        <f aca="false">IF(A470="","",IFERROR(INDEX(Parâmetros!$C$6:$C$10,MATCH(F470,Parâmetros!$B$6:$B$10,0)),""))</f>
        <v/>
      </c>
      <c r="R470" s="5" t="str">
        <f aca="false">IF(OR(A470="",P470="",Q470=""),"",P470*Q470)</f>
        <v/>
      </c>
      <c r="S470" s="5" t="str">
        <f aca="false">IF(R470="","",MAX(0,R470-G470))</f>
        <v/>
      </c>
      <c r="T470" s="21" t="str">
        <f aca="false">IF(S470="","",S470*K470)</f>
        <v/>
      </c>
      <c r="U470" s="5" t="str">
        <f aca="false">IF(A470="","",IF(J470&gt;Parâmetros!$C$14,"SIM","NAO"))</f>
        <v/>
      </c>
      <c r="V470" s="5" t="str">
        <f aca="false">IF(B470="","",TRIM(LEFT(B470,IFERROR(FIND(" ",B470)-1,LEN(B470)))))</f>
        <v/>
      </c>
      <c r="W470" s="22"/>
      <c r="X470" s="5" t="str">
        <f aca="false">IF(A470="","",IF(W470&lt;&gt;"",W470,V470))</f>
        <v/>
      </c>
      <c r="Y470" s="5" t="str">
        <f aca="false">IF(A470="","",IF(COUNTIFS($X$2:$X$2001,X470,$D$2:$D$2001,"&lt;&gt;"&amp;D470,$C$2:$C$2001,C470)&gt;0,"SIM","NAO"))</f>
        <v/>
      </c>
      <c r="Z470" s="5" t="str">
        <f aca="false">IF(A470="","",IF(J470="","",IFERROR(360/J470,"")))</f>
        <v/>
      </c>
      <c r="AA470" s="5" t="str">
        <f aca="false">IF(A470="","",IF(H470=0,"Parado (sem venda 90d)",IF(Z470&gt;12,"Alto (&gt;12x/ano)",IF(Z470&gt;=4,"Medio (4-12x/ano)","Baixo (&lt;4x/ano)"))))</f>
        <v/>
      </c>
    </row>
    <row r="471" customFormat="false" ht="15" hidden="false" customHeight="true" outlineLevel="0" collapsed="false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18"/>
      <c r="L471" s="19" t="str">
        <f aca="false">IF(A471="","",G471*K471)</f>
        <v/>
      </c>
      <c r="M471" s="20"/>
      <c r="N471" s="6"/>
      <c r="O471" s="6"/>
      <c r="P471" s="5" t="str">
        <f aca="false">IF(A471="","",H471/90)</f>
        <v/>
      </c>
      <c r="Q471" s="5" t="str">
        <f aca="false">IF(A471="","",IFERROR(INDEX(Parâmetros!$C$6:$C$10,MATCH(F471,Parâmetros!$B$6:$B$10,0)),""))</f>
        <v/>
      </c>
      <c r="R471" s="5" t="str">
        <f aca="false">IF(OR(A471="",P471="",Q471=""),"",P471*Q471)</f>
        <v/>
      </c>
      <c r="S471" s="5" t="str">
        <f aca="false">IF(R471="","",MAX(0,R471-G471))</f>
        <v/>
      </c>
      <c r="T471" s="21" t="str">
        <f aca="false">IF(S471="","",S471*K471)</f>
        <v/>
      </c>
      <c r="U471" s="5" t="str">
        <f aca="false">IF(A471="","",IF(J471&gt;Parâmetros!$C$14,"SIM","NAO"))</f>
        <v/>
      </c>
      <c r="V471" s="5" t="str">
        <f aca="false">IF(B471="","",TRIM(LEFT(B471,IFERROR(FIND(" ",B471)-1,LEN(B471)))))</f>
        <v/>
      </c>
      <c r="W471" s="22"/>
      <c r="X471" s="5" t="str">
        <f aca="false">IF(A471="","",IF(W471&lt;&gt;"",W471,V471))</f>
        <v/>
      </c>
      <c r="Y471" s="5" t="str">
        <f aca="false">IF(A471="","",IF(COUNTIFS($X$2:$X$2001,X471,$D$2:$D$2001,"&lt;&gt;"&amp;D471,$C$2:$C$2001,C471)&gt;0,"SIM","NAO"))</f>
        <v/>
      </c>
      <c r="Z471" s="5" t="str">
        <f aca="false">IF(A471="","",IF(J471="","",IFERROR(360/J471,"")))</f>
        <v/>
      </c>
      <c r="AA471" s="5" t="str">
        <f aca="false">IF(A471="","",IF(H471=0,"Parado (sem venda 90d)",IF(Z471&gt;12,"Alto (&gt;12x/ano)",IF(Z471&gt;=4,"Medio (4-12x/ano)","Baixo (&lt;4x/ano)"))))</f>
        <v/>
      </c>
    </row>
    <row r="472" customFormat="false" ht="15" hidden="false" customHeight="true" outlineLevel="0" collapsed="false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18"/>
      <c r="L472" s="19" t="str">
        <f aca="false">IF(A472="","",G472*K472)</f>
        <v/>
      </c>
      <c r="M472" s="20"/>
      <c r="N472" s="6"/>
      <c r="O472" s="6"/>
      <c r="P472" s="5" t="str">
        <f aca="false">IF(A472="","",H472/90)</f>
        <v/>
      </c>
      <c r="Q472" s="5" t="str">
        <f aca="false">IF(A472="","",IFERROR(INDEX(Parâmetros!$C$6:$C$10,MATCH(F472,Parâmetros!$B$6:$B$10,0)),""))</f>
        <v/>
      </c>
      <c r="R472" s="5" t="str">
        <f aca="false">IF(OR(A472="",P472="",Q472=""),"",P472*Q472)</f>
        <v/>
      </c>
      <c r="S472" s="5" t="str">
        <f aca="false">IF(R472="","",MAX(0,R472-G472))</f>
        <v/>
      </c>
      <c r="T472" s="21" t="str">
        <f aca="false">IF(S472="","",S472*K472)</f>
        <v/>
      </c>
      <c r="U472" s="5" t="str">
        <f aca="false">IF(A472="","",IF(J472&gt;Parâmetros!$C$14,"SIM","NAO"))</f>
        <v/>
      </c>
      <c r="V472" s="5" t="str">
        <f aca="false">IF(B472="","",TRIM(LEFT(B472,IFERROR(FIND(" ",B472)-1,LEN(B472)))))</f>
        <v/>
      </c>
      <c r="W472" s="22"/>
      <c r="X472" s="5" t="str">
        <f aca="false">IF(A472="","",IF(W472&lt;&gt;"",W472,V472))</f>
        <v/>
      </c>
      <c r="Y472" s="5" t="str">
        <f aca="false">IF(A472="","",IF(COUNTIFS($X$2:$X$2001,X472,$D$2:$D$2001,"&lt;&gt;"&amp;D472,$C$2:$C$2001,C472)&gt;0,"SIM","NAO"))</f>
        <v/>
      </c>
      <c r="Z472" s="5" t="str">
        <f aca="false">IF(A472="","",IF(J472="","",IFERROR(360/J472,"")))</f>
        <v/>
      </c>
      <c r="AA472" s="5" t="str">
        <f aca="false">IF(A472="","",IF(H472=0,"Parado (sem venda 90d)",IF(Z472&gt;12,"Alto (&gt;12x/ano)",IF(Z472&gt;=4,"Medio (4-12x/ano)","Baixo (&lt;4x/ano)"))))</f>
        <v/>
      </c>
    </row>
    <row r="473" customFormat="false" ht="15" hidden="false" customHeight="true" outlineLevel="0" collapsed="false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18"/>
      <c r="L473" s="19" t="str">
        <f aca="false">IF(A473="","",G473*K473)</f>
        <v/>
      </c>
      <c r="M473" s="20"/>
      <c r="N473" s="6"/>
      <c r="O473" s="6"/>
      <c r="P473" s="5" t="str">
        <f aca="false">IF(A473="","",H473/90)</f>
        <v/>
      </c>
      <c r="Q473" s="5" t="str">
        <f aca="false">IF(A473="","",IFERROR(INDEX(Parâmetros!$C$6:$C$10,MATCH(F473,Parâmetros!$B$6:$B$10,0)),""))</f>
        <v/>
      </c>
      <c r="R473" s="5" t="str">
        <f aca="false">IF(OR(A473="",P473="",Q473=""),"",P473*Q473)</f>
        <v/>
      </c>
      <c r="S473" s="5" t="str">
        <f aca="false">IF(R473="","",MAX(0,R473-G473))</f>
        <v/>
      </c>
      <c r="T473" s="21" t="str">
        <f aca="false">IF(S473="","",S473*K473)</f>
        <v/>
      </c>
      <c r="U473" s="5" t="str">
        <f aca="false">IF(A473="","",IF(J473&gt;Parâmetros!$C$14,"SIM","NAO"))</f>
        <v/>
      </c>
      <c r="V473" s="5" t="str">
        <f aca="false">IF(B473="","",TRIM(LEFT(B473,IFERROR(FIND(" ",B473)-1,LEN(B473)))))</f>
        <v/>
      </c>
      <c r="W473" s="22"/>
      <c r="X473" s="5" t="str">
        <f aca="false">IF(A473="","",IF(W473&lt;&gt;"",W473,V473))</f>
        <v/>
      </c>
      <c r="Y473" s="5" t="str">
        <f aca="false">IF(A473="","",IF(COUNTIFS($X$2:$X$2001,X473,$D$2:$D$2001,"&lt;&gt;"&amp;D473,$C$2:$C$2001,C473)&gt;0,"SIM","NAO"))</f>
        <v/>
      </c>
      <c r="Z473" s="5" t="str">
        <f aca="false">IF(A473="","",IF(J473="","",IFERROR(360/J473,"")))</f>
        <v/>
      </c>
      <c r="AA473" s="5" t="str">
        <f aca="false">IF(A473="","",IF(H473=0,"Parado (sem venda 90d)",IF(Z473&gt;12,"Alto (&gt;12x/ano)",IF(Z473&gt;=4,"Medio (4-12x/ano)","Baixo (&lt;4x/ano)"))))</f>
        <v/>
      </c>
    </row>
    <row r="474" customFormat="false" ht="15" hidden="false" customHeight="true" outlineLevel="0" collapsed="false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18"/>
      <c r="L474" s="19" t="str">
        <f aca="false">IF(A474="","",G474*K474)</f>
        <v/>
      </c>
      <c r="M474" s="20"/>
      <c r="N474" s="6"/>
      <c r="O474" s="6"/>
      <c r="P474" s="5" t="str">
        <f aca="false">IF(A474="","",H474/90)</f>
        <v/>
      </c>
      <c r="Q474" s="5" t="str">
        <f aca="false">IF(A474="","",IFERROR(INDEX(Parâmetros!$C$6:$C$10,MATCH(F474,Parâmetros!$B$6:$B$10,0)),""))</f>
        <v/>
      </c>
      <c r="R474" s="5" t="str">
        <f aca="false">IF(OR(A474="",P474="",Q474=""),"",P474*Q474)</f>
        <v/>
      </c>
      <c r="S474" s="5" t="str">
        <f aca="false">IF(R474="","",MAX(0,R474-G474))</f>
        <v/>
      </c>
      <c r="T474" s="21" t="str">
        <f aca="false">IF(S474="","",S474*K474)</f>
        <v/>
      </c>
      <c r="U474" s="5" t="str">
        <f aca="false">IF(A474="","",IF(J474&gt;Parâmetros!$C$14,"SIM","NAO"))</f>
        <v/>
      </c>
      <c r="V474" s="5" t="str">
        <f aca="false">IF(B474="","",TRIM(LEFT(B474,IFERROR(FIND(" ",B474)-1,LEN(B474)))))</f>
        <v/>
      </c>
      <c r="W474" s="22"/>
      <c r="X474" s="5" t="str">
        <f aca="false">IF(A474="","",IF(W474&lt;&gt;"",W474,V474))</f>
        <v/>
      </c>
      <c r="Y474" s="5" t="str">
        <f aca="false">IF(A474="","",IF(COUNTIFS($X$2:$X$2001,X474,$D$2:$D$2001,"&lt;&gt;"&amp;D474,$C$2:$C$2001,C474)&gt;0,"SIM","NAO"))</f>
        <v/>
      </c>
      <c r="Z474" s="5" t="str">
        <f aca="false">IF(A474="","",IF(J474="","",IFERROR(360/J474,"")))</f>
        <v/>
      </c>
      <c r="AA474" s="5" t="str">
        <f aca="false">IF(A474="","",IF(H474=0,"Parado (sem venda 90d)",IF(Z474&gt;12,"Alto (&gt;12x/ano)",IF(Z474&gt;=4,"Medio (4-12x/ano)","Baixo (&lt;4x/ano)"))))</f>
        <v/>
      </c>
    </row>
    <row r="475" customFormat="false" ht="15" hidden="false" customHeight="true" outlineLevel="0" collapsed="false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18"/>
      <c r="L475" s="19" t="str">
        <f aca="false">IF(A475="","",G475*K475)</f>
        <v/>
      </c>
      <c r="M475" s="20"/>
      <c r="N475" s="6"/>
      <c r="O475" s="6"/>
      <c r="P475" s="5" t="str">
        <f aca="false">IF(A475="","",H475/90)</f>
        <v/>
      </c>
      <c r="Q475" s="5" t="str">
        <f aca="false">IF(A475="","",IFERROR(INDEX(Parâmetros!$C$6:$C$10,MATCH(F475,Parâmetros!$B$6:$B$10,0)),""))</f>
        <v/>
      </c>
      <c r="R475" s="5" t="str">
        <f aca="false">IF(OR(A475="",P475="",Q475=""),"",P475*Q475)</f>
        <v/>
      </c>
      <c r="S475" s="5" t="str">
        <f aca="false">IF(R475="","",MAX(0,R475-G475))</f>
        <v/>
      </c>
      <c r="T475" s="21" t="str">
        <f aca="false">IF(S475="","",S475*K475)</f>
        <v/>
      </c>
      <c r="U475" s="5" t="str">
        <f aca="false">IF(A475="","",IF(J475&gt;Parâmetros!$C$14,"SIM","NAO"))</f>
        <v/>
      </c>
      <c r="V475" s="5" t="str">
        <f aca="false">IF(B475="","",TRIM(LEFT(B475,IFERROR(FIND(" ",B475)-1,LEN(B475)))))</f>
        <v/>
      </c>
      <c r="W475" s="22"/>
      <c r="X475" s="5" t="str">
        <f aca="false">IF(A475="","",IF(W475&lt;&gt;"",W475,V475))</f>
        <v/>
      </c>
      <c r="Y475" s="5" t="str">
        <f aca="false">IF(A475="","",IF(COUNTIFS($X$2:$X$2001,X475,$D$2:$D$2001,"&lt;&gt;"&amp;D475,$C$2:$C$2001,C475)&gt;0,"SIM","NAO"))</f>
        <v/>
      </c>
      <c r="Z475" s="5" t="str">
        <f aca="false">IF(A475="","",IF(J475="","",IFERROR(360/J475,"")))</f>
        <v/>
      </c>
      <c r="AA475" s="5" t="str">
        <f aca="false">IF(A475="","",IF(H475=0,"Parado (sem venda 90d)",IF(Z475&gt;12,"Alto (&gt;12x/ano)",IF(Z475&gt;=4,"Medio (4-12x/ano)","Baixo (&lt;4x/ano)"))))</f>
        <v/>
      </c>
    </row>
    <row r="476" customFormat="false" ht="15" hidden="false" customHeight="true" outlineLevel="0" collapsed="false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18"/>
      <c r="L476" s="19" t="str">
        <f aca="false">IF(A476="","",G476*K476)</f>
        <v/>
      </c>
      <c r="M476" s="20"/>
      <c r="N476" s="6"/>
      <c r="O476" s="6"/>
      <c r="P476" s="5" t="str">
        <f aca="false">IF(A476="","",H476/90)</f>
        <v/>
      </c>
      <c r="Q476" s="5" t="str">
        <f aca="false">IF(A476="","",IFERROR(INDEX(Parâmetros!$C$6:$C$10,MATCH(F476,Parâmetros!$B$6:$B$10,0)),""))</f>
        <v/>
      </c>
      <c r="R476" s="5" t="str">
        <f aca="false">IF(OR(A476="",P476="",Q476=""),"",P476*Q476)</f>
        <v/>
      </c>
      <c r="S476" s="5" t="str">
        <f aca="false">IF(R476="","",MAX(0,R476-G476))</f>
        <v/>
      </c>
      <c r="T476" s="21" t="str">
        <f aca="false">IF(S476="","",S476*K476)</f>
        <v/>
      </c>
      <c r="U476" s="5" t="str">
        <f aca="false">IF(A476="","",IF(J476&gt;Parâmetros!$C$14,"SIM","NAO"))</f>
        <v/>
      </c>
      <c r="V476" s="5" t="str">
        <f aca="false">IF(B476="","",TRIM(LEFT(B476,IFERROR(FIND(" ",B476)-1,LEN(B476)))))</f>
        <v/>
      </c>
      <c r="W476" s="22"/>
      <c r="X476" s="5" t="str">
        <f aca="false">IF(A476="","",IF(W476&lt;&gt;"",W476,V476))</f>
        <v/>
      </c>
      <c r="Y476" s="5" t="str">
        <f aca="false">IF(A476="","",IF(COUNTIFS($X$2:$X$2001,X476,$D$2:$D$2001,"&lt;&gt;"&amp;D476,$C$2:$C$2001,C476)&gt;0,"SIM","NAO"))</f>
        <v/>
      </c>
      <c r="Z476" s="5" t="str">
        <f aca="false">IF(A476="","",IF(J476="","",IFERROR(360/J476,"")))</f>
        <v/>
      </c>
      <c r="AA476" s="5" t="str">
        <f aca="false">IF(A476="","",IF(H476=0,"Parado (sem venda 90d)",IF(Z476&gt;12,"Alto (&gt;12x/ano)",IF(Z476&gt;=4,"Medio (4-12x/ano)","Baixo (&lt;4x/ano)"))))</f>
        <v/>
      </c>
    </row>
    <row r="477" customFormat="false" ht="15" hidden="false" customHeight="true" outlineLevel="0" collapsed="false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18"/>
      <c r="L477" s="19" t="str">
        <f aca="false">IF(A477="","",G477*K477)</f>
        <v/>
      </c>
      <c r="M477" s="20"/>
      <c r="N477" s="6"/>
      <c r="O477" s="6"/>
      <c r="P477" s="5" t="str">
        <f aca="false">IF(A477="","",H477/90)</f>
        <v/>
      </c>
      <c r="Q477" s="5" t="str">
        <f aca="false">IF(A477="","",IFERROR(INDEX(Parâmetros!$C$6:$C$10,MATCH(F477,Parâmetros!$B$6:$B$10,0)),""))</f>
        <v/>
      </c>
      <c r="R477" s="5" t="str">
        <f aca="false">IF(OR(A477="",P477="",Q477=""),"",P477*Q477)</f>
        <v/>
      </c>
      <c r="S477" s="5" t="str">
        <f aca="false">IF(R477="","",MAX(0,R477-G477))</f>
        <v/>
      </c>
      <c r="T477" s="21" t="str">
        <f aca="false">IF(S477="","",S477*K477)</f>
        <v/>
      </c>
      <c r="U477" s="5" t="str">
        <f aca="false">IF(A477="","",IF(J477&gt;Parâmetros!$C$14,"SIM","NAO"))</f>
        <v/>
      </c>
      <c r="V477" s="5" t="str">
        <f aca="false">IF(B477="","",TRIM(LEFT(B477,IFERROR(FIND(" ",B477)-1,LEN(B477)))))</f>
        <v/>
      </c>
      <c r="W477" s="22"/>
      <c r="X477" s="5" t="str">
        <f aca="false">IF(A477="","",IF(W477&lt;&gt;"",W477,V477))</f>
        <v/>
      </c>
      <c r="Y477" s="5" t="str">
        <f aca="false">IF(A477="","",IF(COUNTIFS($X$2:$X$2001,X477,$D$2:$D$2001,"&lt;&gt;"&amp;D477,$C$2:$C$2001,C477)&gt;0,"SIM","NAO"))</f>
        <v/>
      </c>
      <c r="Z477" s="5" t="str">
        <f aca="false">IF(A477="","",IF(J477="","",IFERROR(360/J477,"")))</f>
        <v/>
      </c>
      <c r="AA477" s="5" t="str">
        <f aca="false">IF(A477="","",IF(H477=0,"Parado (sem venda 90d)",IF(Z477&gt;12,"Alto (&gt;12x/ano)",IF(Z477&gt;=4,"Medio (4-12x/ano)","Baixo (&lt;4x/ano)"))))</f>
        <v/>
      </c>
    </row>
    <row r="478" customFormat="false" ht="15" hidden="false" customHeight="true" outlineLevel="0" collapsed="false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18"/>
      <c r="L478" s="19" t="str">
        <f aca="false">IF(A478="","",G478*K478)</f>
        <v/>
      </c>
      <c r="M478" s="20"/>
      <c r="N478" s="6"/>
      <c r="O478" s="6"/>
      <c r="P478" s="5" t="str">
        <f aca="false">IF(A478="","",H478/90)</f>
        <v/>
      </c>
      <c r="Q478" s="5" t="str">
        <f aca="false">IF(A478="","",IFERROR(INDEX(Parâmetros!$C$6:$C$10,MATCH(F478,Parâmetros!$B$6:$B$10,0)),""))</f>
        <v/>
      </c>
      <c r="R478" s="5" t="str">
        <f aca="false">IF(OR(A478="",P478="",Q478=""),"",P478*Q478)</f>
        <v/>
      </c>
      <c r="S478" s="5" t="str">
        <f aca="false">IF(R478="","",MAX(0,R478-G478))</f>
        <v/>
      </c>
      <c r="T478" s="21" t="str">
        <f aca="false">IF(S478="","",S478*K478)</f>
        <v/>
      </c>
      <c r="U478" s="5" t="str">
        <f aca="false">IF(A478="","",IF(J478&gt;Parâmetros!$C$14,"SIM","NAO"))</f>
        <v/>
      </c>
      <c r="V478" s="5" t="str">
        <f aca="false">IF(B478="","",TRIM(LEFT(B478,IFERROR(FIND(" ",B478)-1,LEN(B478)))))</f>
        <v/>
      </c>
      <c r="W478" s="22"/>
      <c r="X478" s="5" t="str">
        <f aca="false">IF(A478="","",IF(W478&lt;&gt;"",W478,V478))</f>
        <v/>
      </c>
      <c r="Y478" s="5" t="str">
        <f aca="false">IF(A478="","",IF(COUNTIFS($X$2:$X$2001,X478,$D$2:$D$2001,"&lt;&gt;"&amp;D478,$C$2:$C$2001,C478)&gt;0,"SIM","NAO"))</f>
        <v/>
      </c>
      <c r="Z478" s="5" t="str">
        <f aca="false">IF(A478="","",IF(J478="","",IFERROR(360/J478,"")))</f>
        <v/>
      </c>
      <c r="AA478" s="5" t="str">
        <f aca="false">IF(A478="","",IF(H478=0,"Parado (sem venda 90d)",IF(Z478&gt;12,"Alto (&gt;12x/ano)",IF(Z478&gt;=4,"Medio (4-12x/ano)","Baixo (&lt;4x/ano)"))))</f>
        <v/>
      </c>
    </row>
    <row r="479" customFormat="false" ht="15" hidden="false" customHeight="true" outlineLevel="0" collapsed="false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18"/>
      <c r="L479" s="19" t="str">
        <f aca="false">IF(A479="","",G479*K479)</f>
        <v/>
      </c>
      <c r="M479" s="20"/>
      <c r="N479" s="6"/>
      <c r="O479" s="6"/>
      <c r="P479" s="5" t="str">
        <f aca="false">IF(A479="","",H479/90)</f>
        <v/>
      </c>
      <c r="Q479" s="5" t="str">
        <f aca="false">IF(A479="","",IFERROR(INDEX(Parâmetros!$C$6:$C$10,MATCH(F479,Parâmetros!$B$6:$B$10,0)),""))</f>
        <v/>
      </c>
      <c r="R479" s="5" t="str">
        <f aca="false">IF(OR(A479="",P479="",Q479=""),"",P479*Q479)</f>
        <v/>
      </c>
      <c r="S479" s="5" t="str">
        <f aca="false">IF(R479="","",MAX(0,R479-G479))</f>
        <v/>
      </c>
      <c r="T479" s="21" t="str">
        <f aca="false">IF(S479="","",S479*K479)</f>
        <v/>
      </c>
      <c r="U479" s="5" t="str">
        <f aca="false">IF(A479="","",IF(J479&gt;Parâmetros!$C$14,"SIM","NAO"))</f>
        <v/>
      </c>
      <c r="V479" s="5" t="str">
        <f aca="false">IF(B479="","",TRIM(LEFT(B479,IFERROR(FIND(" ",B479)-1,LEN(B479)))))</f>
        <v/>
      </c>
      <c r="W479" s="22"/>
      <c r="X479" s="5" t="str">
        <f aca="false">IF(A479="","",IF(W479&lt;&gt;"",W479,V479))</f>
        <v/>
      </c>
      <c r="Y479" s="5" t="str">
        <f aca="false">IF(A479="","",IF(COUNTIFS($X$2:$X$2001,X479,$D$2:$D$2001,"&lt;&gt;"&amp;D479,$C$2:$C$2001,C479)&gt;0,"SIM","NAO"))</f>
        <v/>
      </c>
      <c r="Z479" s="5" t="str">
        <f aca="false">IF(A479="","",IF(J479="","",IFERROR(360/J479,"")))</f>
        <v/>
      </c>
      <c r="AA479" s="5" t="str">
        <f aca="false">IF(A479="","",IF(H479=0,"Parado (sem venda 90d)",IF(Z479&gt;12,"Alto (&gt;12x/ano)",IF(Z479&gt;=4,"Medio (4-12x/ano)","Baixo (&lt;4x/ano)"))))</f>
        <v/>
      </c>
    </row>
    <row r="480" customFormat="false" ht="15" hidden="false" customHeight="true" outlineLevel="0" collapsed="false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18"/>
      <c r="L480" s="19" t="str">
        <f aca="false">IF(A480="","",G480*K480)</f>
        <v/>
      </c>
      <c r="M480" s="20"/>
      <c r="N480" s="6"/>
      <c r="O480" s="6"/>
      <c r="P480" s="5" t="str">
        <f aca="false">IF(A480="","",H480/90)</f>
        <v/>
      </c>
      <c r="Q480" s="5" t="str">
        <f aca="false">IF(A480="","",IFERROR(INDEX(Parâmetros!$C$6:$C$10,MATCH(F480,Parâmetros!$B$6:$B$10,0)),""))</f>
        <v/>
      </c>
      <c r="R480" s="5" t="str">
        <f aca="false">IF(OR(A480="",P480="",Q480=""),"",P480*Q480)</f>
        <v/>
      </c>
      <c r="S480" s="5" t="str">
        <f aca="false">IF(R480="","",MAX(0,R480-G480))</f>
        <v/>
      </c>
      <c r="T480" s="21" t="str">
        <f aca="false">IF(S480="","",S480*K480)</f>
        <v/>
      </c>
      <c r="U480" s="5" t="str">
        <f aca="false">IF(A480="","",IF(J480&gt;Parâmetros!$C$14,"SIM","NAO"))</f>
        <v/>
      </c>
      <c r="V480" s="5" t="str">
        <f aca="false">IF(B480="","",TRIM(LEFT(B480,IFERROR(FIND(" ",B480)-1,LEN(B480)))))</f>
        <v/>
      </c>
      <c r="W480" s="22"/>
      <c r="X480" s="5" t="str">
        <f aca="false">IF(A480="","",IF(W480&lt;&gt;"",W480,V480))</f>
        <v/>
      </c>
      <c r="Y480" s="5" t="str">
        <f aca="false">IF(A480="","",IF(COUNTIFS($X$2:$X$2001,X480,$D$2:$D$2001,"&lt;&gt;"&amp;D480,$C$2:$C$2001,C480)&gt;0,"SIM","NAO"))</f>
        <v/>
      </c>
      <c r="Z480" s="5" t="str">
        <f aca="false">IF(A480="","",IF(J480="","",IFERROR(360/J480,"")))</f>
        <v/>
      </c>
      <c r="AA480" s="5" t="str">
        <f aca="false">IF(A480="","",IF(H480=0,"Parado (sem venda 90d)",IF(Z480&gt;12,"Alto (&gt;12x/ano)",IF(Z480&gt;=4,"Medio (4-12x/ano)","Baixo (&lt;4x/ano)"))))</f>
        <v/>
      </c>
    </row>
    <row r="481" customFormat="false" ht="15" hidden="false" customHeight="true" outlineLevel="0" collapsed="false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18"/>
      <c r="L481" s="19" t="str">
        <f aca="false">IF(A481="","",G481*K481)</f>
        <v/>
      </c>
      <c r="M481" s="20"/>
      <c r="N481" s="6"/>
      <c r="O481" s="6"/>
      <c r="P481" s="5" t="str">
        <f aca="false">IF(A481="","",H481/90)</f>
        <v/>
      </c>
      <c r="Q481" s="5" t="str">
        <f aca="false">IF(A481="","",IFERROR(INDEX(Parâmetros!$C$6:$C$10,MATCH(F481,Parâmetros!$B$6:$B$10,0)),""))</f>
        <v/>
      </c>
      <c r="R481" s="5" t="str">
        <f aca="false">IF(OR(A481="",P481="",Q481=""),"",P481*Q481)</f>
        <v/>
      </c>
      <c r="S481" s="5" t="str">
        <f aca="false">IF(R481="","",MAX(0,R481-G481))</f>
        <v/>
      </c>
      <c r="T481" s="21" t="str">
        <f aca="false">IF(S481="","",S481*K481)</f>
        <v/>
      </c>
      <c r="U481" s="5" t="str">
        <f aca="false">IF(A481="","",IF(J481&gt;Parâmetros!$C$14,"SIM","NAO"))</f>
        <v/>
      </c>
      <c r="V481" s="5" t="str">
        <f aca="false">IF(B481="","",TRIM(LEFT(B481,IFERROR(FIND(" ",B481)-1,LEN(B481)))))</f>
        <v/>
      </c>
      <c r="W481" s="22"/>
      <c r="X481" s="5" t="str">
        <f aca="false">IF(A481="","",IF(W481&lt;&gt;"",W481,V481))</f>
        <v/>
      </c>
      <c r="Y481" s="5" t="str">
        <f aca="false">IF(A481="","",IF(COUNTIFS($X$2:$X$2001,X481,$D$2:$D$2001,"&lt;&gt;"&amp;D481,$C$2:$C$2001,C481)&gt;0,"SIM","NAO"))</f>
        <v/>
      </c>
      <c r="Z481" s="5" t="str">
        <f aca="false">IF(A481="","",IF(J481="","",IFERROR(360/J481,"")))</f>
        <v/>
      </c>
      <c r="AA481" s="5" t="str">
        <f aca="false">IF(A481="","",IF(H481=0,"Parado (sem venda 90d)",IF(Z481&gt;12,"Alto (&gt;12x/ano)",IF(Z481&gt;=4,"Medio (4-12x/ano)","Baixo (&lt;4x/ano)"))))</f>
        <v/>
      </c>
    </row>
    <row r="482" customFormat="false" ht="15" hidden="false" customHeight="true" outlineLevel="0" collapsed="false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18"/>
      <c r="L482" s="19" t="str">
        <f aca="false">IF(A482="","",G482*K482)</f>
        <v/>
      </c>
      <c r="M482" s="20"/>
      <c r="N482" s="6"/>
      <c r="O482" s="6"/>
      <c r="P482" s="5" t="str">
        <f aca="false">IF(A482="","",H482/90)</f>
        <v/>
      </c>
      <c r="Q482" s="5" t="str">
        <f aca="false">IF(A482="","",IFERROR(INDEX(Parâmetros!$C$6:$C$10,MATCH(F482,Parâmetros!$B$6:$B$10,0)),""))</f>
        <v/>
      </c>
      <c r="R482" s="5" t="str">
        <f aca="false">IF(OR(A482="",P482="",Q482=""),"",P482*Q482)</f>
        <v/>
      </c>
      <c r="S482" s="5" t="str">
        <f aca="false">IF(R482="","",MAX(0,R482-G482))</f>
        <v/>
      </c>
      <c r="T482" s="21" t="str">
        <f aca="false">IF(S482="","",S482*K482)</f>
        <v/>
      </c>
      <c r="U482" s="5" t="str">
        <f aca="false">IF(A482="","",IF(J482&gt;Parâmetros!$C$14,"SIM","NAO"))</f>
        <v/>
      </c>
      <c r="V482" s="5" t="str">
        <f aca="false">IF(B482="","",TRIM(LEFT(B482,IFERROR(FIND(" ",B482)-1,LEN(B482)))))</f>
        <v/>
      </c>
      <c r="W482" s="22"/>
      <c r="X482" s="5" t="str">
        <f aca="false">IF(A482="","",IF(W482&lt;&gt;"",W482,V482))</f>
        <v/>
      </c>
      <c r="Y482" s="5" t="str">
        <f aca="false">IF(A482="","",IF(COUNTIFS($X$2:$X$2001,X482,$D$2:$D$2001,"&lt;&gt;"&amp;D482,$C$2:$C$2001,C482)&gt;0,"SIM","NAO"))</f>
        <v/>
      </c>
      <c r="Z482" s="5" t="str">
        <f aca="false">IF(A482="","",IF(J482="","",IFERROR(360/J482,"")))</f>
        <v/>
      </c>
      <c r="AA482" s="5" t="str">
        <f aca="false">IF(A482="","",IF(H482=0,"Parado (sem venda 90d)",IF(Z482&gt;12,"Alto (&gt;12x/ano)",IF(Z482&gt;=4,"Medio (4-12x/ano)","Baixo (&lt;4x/ano)"))))</f>
        <v/>
      </c>
    </row>
    <row r="483" customFormat="false" ht="15" hidden="false" customHeight="true" outlineLevel="0" collapsed="false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18"/>
      <c r="L483" s="19" t="str">
        <f aca="false">IF(A483="","",G483*K483)</f>
        <v/>
      </c>
      <c r="M483" s="20"/>
      <c r="N483" s="6"/>
      <c r="O483" s="6"/>
      <c r="P483" s="5" t="str">
        <f aca="false">IF(A483="","",H483/90)</f>
        <v/>
      </c>
      <c r="Q483" s="5" t="str">
        <f aca="false">IF(A483="","",IFERROR(INDEX(Parâmetros!$C$6:$C$10,MATCH(F483,Parâmetros!$B$6:$B$10,0)),""))</f>
        <v/>
      </c>
      <c r="R483" s="5" t="str">
        <f aca="false">IF(OR(A483="",P483="",Q483=""),"",P483*Q483)</f>
        <v/>
      </c>
      <c r="S483" s="5" t="str">
        <f aca="false">IF(R483="","",MAX(0,R483-G483))</f>
        <v/>
      </c>
      <c r="T483" s="21" t="str">
        <f aca="false">IF(S483="","",S483*K483)</f>
        <v/>
      </c>
      <c r="U483" s="5" t="str">
        <f aca="false">IF(A483="","",IF(J483&gt;Parâmetros!$C$14,"SIM","NAO"))</f>
        <v/>
      </c>
      <c r="V483" s="5" t="str">
        <f aca="false">IF(B483="","",TRIM(LEFT(B483,IFERROR(FIND(" ",B483)-1,LEN(B483)))))</f>
        <v/>
      </c>
      <c r="W483" s="22"/>
      <c r="X483" s="5" t="str">
        <f aca="false">IF(A483="","",IF(W483&lt;&gt;"",W483,V483))</f>
        <v/>
      </c>
      <c r="Y483" s="5" t="str">
        <f aca="false">IF(A483="","",IF(COUNTIFS($X$2:$X$2001,X483,$D$2:$D$2001,"&lt;&gt;"&amp;D483,$C$2:$C$2001,C483)&gt;0,"SIM","NAO"))</f>
        <v/>
      </c>
      <c r="Z483" s="5" t="str">
        <f aca="false">IF(A483="","",IF(J483="","",IFERROR(360/J483,"")))</f>
        <v/>
      </c>
      <c r="AA483" s="5" t="str">
        <f aca="false">IF(A483="","",IF(H483=0,"Parado (sem venda 90d)",IF(Z483&gt;12,"Alto (&gt;12x/ano)",IF(Z483&gt;=4,"Medio (4-12x/ano)","Baixo (&lt;4x/ano)"))))</f>
        <v/>
      </c>
    </row>
    <row r="484" customFormat="false" ht="15" hidden="false" customHeight="true" outlineLevel="0" collapsed="false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18"/>
      <c r="L484" s="19" t="str">
        <f aca="false">IF(A484="","",G484*K484)</f>
        <v/>
      </c>
      <c r="M484" s="20"/>
      <c r="N484" s="6"/>
      <c r="O484" s="6"/>
      <c r="P484" s="5" t="str">
        <f aca="false">IF(A484="","",H484/90)</f>
        <v/>
      </c>
      <c r="Q484" s="5" t="str">
        <f aca="false">IF(A484="","",IFERROR(INDEX(Parâmetros!$C$6:$C$10,MATCH(F484,Parâmetros!$B$6:$B$10,0)),""))</f>
        <v/>
      </c>
      <c r="R484" s="5" t="str">
        <f aca="false">IF(OR(A484="",P484="",Q484=""),"",P484*Q484)</f>
        <v/>
      </c>
      <c r="S484" s="5" t="str">
        <f aca="false">IF(R484="","",MAX(0,R484-G484))</f>
        <v/>
      </c>
      <c r="T484" s="21" t="str">
        <f aca="false">IF(S484="","",S484*K484)</f>
        <v/>
      </c>
      <c r="U484" s="5" t="str">
        <f aca="false">IF(A484="","",IF(J484&gt;Parâmetros!$C$14,"SIM","NAO"))</f>
        <v/>
      </c>
      <c r="V484" s="5" t="str">
        <f aca="false">IF(B484="","",TRIM(LEFT(B484,IFERROR(FIND(" ",B484)-1,LEN(B484)))))</f>
        <v/>
      </c>
      <c r="W484" s="22"/>
      <c r="X484" s="5" t="str">
        <f aca="false">IF(A484="","",IF(W484&lt;&gt;"",W484,V484))</f>
        <v/>
      </c>
      <c r="Y484" s="5" t="str">
        <f aca="false">IF(A484="","",IF(COUNTIFS($X$2:$X$2001,X484,$D$2:$D$2001,"&lt;&gt;"&amp;D484,$C$2:$C$2001,C484)&gt;0,"SIM","NAO"))</f>
        <v/>
      </c>
      <c r="Z484" s="5" t="str">
        <f aca="false">IF(A484="","",IF(J484="","",IFERROR(360/J484,"")))</f>
        <v/>
      </c>
      <c r="AA484" s="5" t="str">
        <f aca="false">IF(A484="","",IF(H484=0,"Parado (sem venda 90d)",IF(Z484&gt;12,"Alto (&gt;12x/ano)",IF(Z484&gt;=4,"Medio (4-12x/ano)","Baixo (&lt;4x/ano)"))))</f>
        <v/>
      </c>
    </row>
    <row r="485" customFormat="false" ht="15" hidden="false" customHeight="true" outlineLevel="0" collapsed="false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18"/>
      <c r="L485" s="19" t="str">
        <f aca="false">IF(A485="","",G485*K485)</f>
        <v/>
      </c>
      <c r="M485" s="20"/>
      <c r="N485" s="6"/>
      <c r="O485" s="6"/>
      <c r="P485" s="5" t="str">
        <f aca="false">IF(A485="","",H485/90)</f>
        <v/>
      </c>
      <c r="Q485" s="5" t="str">
        <f aca="false">IF(A485="","",IFERROR(INDEX(Parâmetros!$C$6:$C$10,MATCH(F485,Parâmetros!$B$6:$B$10,0)),""))</f>
        <v/>
      </c>
      <c r="R485" s="5" t="str">
        <f aca="false">IF(OR(A485="",P485="",Q485=""),"",P485*Q485)</f>
        <v/>
      </c>
      <c r="S485" s="5" t="str">
        <f aca="false">IF(R485="","",MAX(0,R485-G485))</f>
        <v/>
      </c>
      <c r="T485" s="21" t="str">
        <f aca="false">IF(S485="","",S485*K485)</f>
        <v/>
      </c>
      <c r="U485" s="5" t="str">
        <f aca="false">IF(A485="","",IF(J485&gt;Parâmetros!$C$14,"SIM","NAO"))</f>
        <v/>
      </c>
      <c r="V485" s="5" t="str">
        <f aca="false">IF(B485="","",TRIM(LEFT(B485,IFERROR(FIND(" ",B485)-1,LEN(B485)))))</f>
        <v/>
      </c>
      <c r="W485" s="22"/>
      <c r="X485" s="5" t="str">
        <f aca="false">IF(A485="","",IF(W485&lt;&gt;"",W485,V485))</f>
        <v/>
      </c>
      <c r="Y485" s="5" t="str">
        <f aca="false">IF(A485="","",IF(COUNTIFS($X$2:$X$2001,X485,$D$2:$D$2001,"&lt;&gt;"&amp;D485,$C$2:$C$2001,C485)&gt;0,"SIM","NAO"))</f>
        <v/>
      </c>
      <c r="Z485" s="5" t="str">
        <f aca="false">IF(A485="","",IF(J485="","",IFERROR(360/J485,"")))</f>
        <v/>
      </c>
      <c r="AA485" s="5" t="str">
        <f aca="false">IF(A485="","",IF(H485=0,"Parado (sem venda 90d)",IF(Z485&gt;12,"Alto (&gt;12x/ano)",IF(Z485&gt;=4,"Medio (4-12x/ano)","Baixo (&lt;4x/ano)"))))</f>
        <v/>
      </c>
    </row>
    <row r="486" customFormat="false" ht="15" hidden="false" customHeight="true" outlineLevel="0" collapsed="false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18"/>
      <c r="L486" s="19" t="str">
        <f aca="false">IF(A486="","",G486*K486)</f>
        <v/>
      </c>
      <c r="M486" s="20"/>
      <c r="N486" s="6"/>
      <c r="O486" s="6"/>
      <c r="P486" s="5" t="str">
        <f aca="false">IF(A486="","",H486/90)</f>
        <v/>
      </c>
      <c r="Q486" s="5" t="str">
        <f aca="false">IF(A486="","",IFERROR(INDEX(Parâmetros!$C$6:$C$10,MATCH(F486,Parâmetros!$B$6:$B$10,0)),""))</f>
        <v/>
      </c>
      <c r="R486" s="5" t="str">
        <f aca="false">IF(OR(A486="",P486="",Q486=""),"",P486*Q486)</f>
        <v/>
      </c>
      <c r="S486" s="5" t="str">
        <f aca="false">IF(R486="","",MAX(0,R486-G486))</f>
        <v/>
      </c>
      <c r="T486" s="21" t="str">
        <f aca="false">IF(S486="","",S486*K486)</f>
        <v/>
      </c>
      <c r="U486" s="5" t="str">
        <f aca="false">IF(A486="","",IF(J486&gt;Parâmetros!$C$14,"SIM","NAO"))</f>
        <v/>
      </c>
      <c r="V486" s="5" t="str">
        <f aca="false">IF(B486="","",TRIM(LEFT(B486,IFERROR(FIND(" ",B486)-1,LEN(B486)))))</f>
        <v/>
      </c>
      <c r="W486" s="22"/>
      <c r="X486" s="5" t="str">
        <f aca="false">IF(A486="","",IF(W486&lt;&gt;"",W486,V486))</f>
        <v/>
      </c>
      <c r="Y486" s="5" t="str">
        <f aca="false">IF(A486="","",IF(COUNTIFS($X$2:$X$2001,X486,$D$2:$D$2001,"&lt;&gt;"&amp;D486,$C$2:$C$2001,C486)&gt;0,"SIM","NAO"))</f>
        <v/>
      </c>
      <c r="Z486" s="5" t="str">
        <f aca="false">IF(A486="","",IF(J486="","",IFERROR(360/J486,"")))</f>
        <v/>
      </c>
      <c r="AA486" s="5" t="str">
        <f aca="false">IF(A486="","",IF(H486=0,"Parado (sem venda 90d)",IF(Z486&gt;12,"Alto (&gt;12x/ano)",IF(Z486&gt;=4,"Medio (4-12x/ano)","Baixo (&lt;4x/ano)"))))</f>
        <v/>
      </c>
    </row>
    <row r="487" customFormat="false" ht="15" hidden="false" customHeight="true" outlineLevel="0" collapsed="false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18"/>
      <c r="L487" s="19" t="str">
        <f aca="false">IF(A487="","",G487*K487)</f>
        <v/>
      </c>
      <c r="M487" s="20"/>
      <c r="N487" s="6"/>
      <c r="O487" s="6"/>
      <c r="P487" s="5" t="str">
        <f aca="false">IF(A487="","",H487/90)</f>
        <v/>
      </c>
      <c r="Q487" s="5" t="str">
        <f aca="false">IF(A487="","",IFERROR(INDEX(Parâmetros!$C$6:$C$10,MATCH(F487,Parâmetros!$B$6:$B$10,0)),""))</f>
        <v/>
      </c>
      <c r="R487" s="5" t="str">
        <f aca="false">IF(OR(A487="",P487="",Q487=""),"",P487*Q487)</f>
        <v/>
      </c>
      <c r="S487" s="5" t="str">
        <f aca="false">IF(R487="","",MAX(0,R487-G487))</f>
        <v/>
      </c>
      <c r="T487" s="21" t="str">
        <f aca="false">IF(S487="","",S487*K487)</f>
        <v/>
      </c>
      <c r="U487" s="5" t="str">
        <f aca="false">IF(A487="","",IF(J487&gt;Parâmetros!$C$14,"SIM","NAO"))</f>
        <v/>
      </c>
      <c r="V487" s="5" t="str">
        <f aca="false">IF(B487="","",TRIM(LEFT(B487,IFERROR(FIND(" ",B487)-1,LEN(B487)))))</f>
        <v/>
      </c>
      <c r="W487" s="22"/>
      <c r="X487" s="5" t="str">
        <f aca="false">IF(A487="","",IF(W487&lt;&gt;"",W487,V487))</f>
        <v/>
      </c>
      <c r="Y487" s="5" t="str">
        <f aca="false">IF(A487="","",IF(COUNTIFS($X$2:$X$2001,X487,$D$2:$D$2001,"&lt;&gt;"&amp;D487,$C$2:$C$2001,C487)&gt;0,"SIM","NAO"))</f>
        <v/>
      </c>
      <c r="Z487" s="5" t="str">
        <f aca="false">IF(A487="","",IF(J487="","",IFERROR(360/J487,"")))</f>
        <v/>
      </c>
      <c r="AA487" s="5" t="str">
        <f aca="false">IF(A487="","",IF(H487=0,"Parado (sem venda 90d)",IF(Z487&gt;12,"Alto (&gt;12x/ano)",IF(Z487&gt;=4,"Medio (4-12x/ano)","Baixo (&lt;4x/ano)"))))</f>
        <v/>
      </c>
    </row>
    <row r="488" customFormat="false" ht="15" hidden="false" customHeight="true" outlineLevel="0" collapsed="false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18"/>
      <c r="L488" s="19" t="str">
        <f aca="false">IF(A488="","",G488*K488)</f>
        <v/>
      </c>
      <c r="M488" s="20"/>
      <c r="N488" s="6"/>
      <c r="O488" s="6"/>
      <c r="P488" s="5" t="str">
        <f aca="false">IF(A488="","",H488/90)</f>
        <v/>
      </c>
      <c r="Q488" s="5" t="str">
        <f aca="false">IF(A488="","",IFERROR(INDEX(Parâmetros!$C$6:$C$10,MATCH(F488,Parâmetros!$B$6:$B$10,0)),""))</f>
        <v/>
      </c>
      <c r="R488" s="5" t="str">
        <f aca="false">IF(OR(A488="",P488="",Q488=""),"",P488*Q488)</f>
        <v/>
      </c>
      <c r="S488" s="5" t="str">
        <f aca="false">IF(R488="","",MAX(0,R488-G488))</f>
        <v/>
      </c>
      <c r="T488" s="21" t="str">
        <f aca="false">IF(S488="","",S488*K488)</f>
        <v/>
      </c>
      <c r="U488" s="5" t="str">
        <f aca="false">IF(A488="","",IF(J488&gt;Parâmetros!$C$14,"SIM","NAO"))</f>
        <v/>
      </c>
      <c r="V488" s="5" t="str">
        <f aca="false">IF(B488="","",TRIM(LEFT(B488,IFERROR(FIND(" ",B488)-1,LEN(B488)))))</f>
        <v/>
      </c>
      <c r="W488" s="22"/>
      <c r="X488" s="5" t="str">
        <f aca="false">IF(A488="","",IF(W488&lt;&gt;"",W488,V488))</f>
        <v/>
      </c>
      <c r="Y488" s="5" t="str">
        <f aca="false">IF(A488="","",IF(COUNTIFS($X$2:$X$2001,X488,$D$2:$D$2001,"&lt;&gt;"&amp;D488,$C$2:$C$2001,C488)&gt;0,"SIM","NAO"))</f>
        <v/>
      </c>
      <c r="Z488" s="5" t="str">
        <f aca="false">IF(A488="","",IF(J488="","",IFERROR(360/J488,"")))</f>
        <v/>
      </c>
      <c r="AA488" s="5" t="str">
        <f aca="false">IF(A488="","",IF(H488=0,"Parado (sem venda 90d)",IF(Z488&gt;12,"Alto (&gt;12x/ano)",IF(Z488&gt;=4,"Medio (4-12x/ano)","Baixo (&lt;4x/ano)"))))</f>
        <v/>
      </c>
    </row>
    <row r="489" customFormat="false" ht="15" hidden="false" customHeight="true" outlineLevel="0" collapsed="false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18"/>
      <c r="L489" s="19" t="str">
        <f aca="false">IF(A489="","",G489*K489)</f>
        <v/>
      </c>
      <c r="M489" s="20"/>
      <c r="N489" s="6"/>
      <c r="O489" s="6"/>
      <c r="P489" s="5" t="str">
        <f aca="false">IF(A489="","",H489/90)</f>
        <v/>
      </c>
      <c r="Q489" s="5" t="str">
        <f aca="false">IF(A489="","",IFERROR(INDEX(Parâmetros!$C$6:$C$10,MATCH(F489,Parâmetros!$B$6:$B$10,0)),""))</f>
        <v/>
      </c>
      <c r="R489" s="5" t="str">
        <f aca="false">IF(OR(A489="",P489="",Q489=""),"",P489*Q489)</f>
        <v/>
      </c>
      <c r="S489" s="5" t="str">
        <f aca="false">IF(R489="","",MAX(0,R489-G489))</f>
        <v/>
      </c>
      <c r="T489" s="21" t="str">
        <f aca="false">IF(S489="","",S489*K489)</f>
        <v/>
      </c>
      <c r="U489" s="5" t="str">
        <f aca="false">IF(A489="","",IF(J489&gt;Parâmetros!$C$14,"SIM","NAO"))</f>
        <v/>
      </c>
      <c r="V489" s="5" t="str">
        <f aca="false">IF(B489="","",TRIM(LEFT(B489,IFERROR(FIND(" ",B489)-1,LEN(B489)))))</f>
        <v/>
      </c>
      <c r="W489" s="22"/>
      <c r="X489" s="5" t="str">
        <f aca="false">IF(A489="","",IF(W489&lt;&gt;"",W489,V489))</f>
        <v/>
      </c>
      <c r="Y489" s="5" t="str">
        <f aca="false">IF(A489="","",IF(COUNTIFS($X$2:$X$2001,X489,$D$2:$D$2001,"&lt;&gt;"&amp;D489,$C$2:$C$2001,C489)&gt;0,"SIM","NAO"))</f>
        <v/>
      </c>
      <c r="Z489" s="5" t="str">
        <f aca="false">IF(A489="","",IF(J489="","",IFERROR(360/J489,"")))</f>
        <v/>
      </c>
      <c r="AA489" s="5" t="str">
        <f aca="false">IF(A489="","",IF(H489=0,"Parado (sem venda 90d)",IF(Z489&gt;12,"Alto (&gt;12x/ano)",IF(Z489&gt;=4,"Medio (4-12x/ano)","Baixo (&lt;4x/ano)"))))</f>
        <v/>
      </c>
    </row>
    <row r="490" customFormat="false" ht="15" hidden="false" customHeight="true" outlineLevel="0" collapsed="false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18"/>
      <c r="L490" s="19" t="str">
        <f aca="false">IF(A490="","",G490*K490)</f>
        <v/>
      </c>
      <c r="M490" s="20"/>
      <c r="N490" s="6"/>
      <c r="O490" s="6"/>
      <c r="P490" s="5" t="str">
        <f aca="false">IF(A490="","",H490/90)</f>
        <v/>
      </c>
      <c r="Q490" s="5" t="str">
        <f aca="false">IF(A490="","",IFERROR(INDEX(Parâmetros!$C$6:$C$10,MATCH(F490,Parâmetros!$B$6:$B$10,0)),""))</f>
        <v/>
      </c>
      <c r="R490" s="5" t="str">
        <f aca="false">IF(OR(A490="",P490="",Q490=""),"",P490*Q490)</f>
        <v/>
      </c>
      <c r="S490" s="5" t="str">
        <f aca="false">IF(R490="","",MAX(0,R490-G490))</f>
        <v/>
      </c>
      <c r="T490" s="21" t="str">
        <f aca="false">IF(S490="","",S490*K490)</f>
        <v/>
      </c>
      <c r="U490" s="5" t="str">
        <f aca="false">IF(A490="","",IF(J490&gt;Parâmetros!$C$14,"SIM","NAO"))</f>
        <v/>
      </c>
      <c r="V490" s="5" t="str">
        <f aca="false">IF(B490="","",TRIM(LEFT(B490,IFERROR(FIND(" ",B490)-1,LEN(B490)))))</f>
        <v/>
      </c>
      <c r="W490" s="22"/>
      <c r="X490" s="5" t="str">
        <f aca="false">IF(A490="","",IF(W490&lt;&gt;"",W490,V490))</f>
        <v/>
      </c>
      <c r="Y490" s="5" t="str">
        <f aca="false">IF(A490="","",IF(COUNTIFS($X$2:$X$2001,X490,$D$2:$D$2001,"&lt;&gt;"&amp;D490,$C$2:$C$2001,C490)&gt;0,"SIM","NAO"))</f>
        <v/>
      </c>
      <c r="Z490" s="5" t="str">
        <f aca="false">IF(A490="","",IF(J490="","",IFERROR(360/J490,"")))</f>
        <v/>
      </c>
      <c r="AA490" s="5" t="str">
        <f aca="false">IF(A490="","",IF(H490=0,"Parado (sem venda 90d)",IF(Z490&gt;12,"Alto (&gt;12x/ano)",IF(Z490&gt;=4,"Medio (4-12x/ano)","Baixo (&lt;4x/ano)"))))</f>
        <v/>
      </c>
    </row>
    <row r="491" customFormat="false" ht="15" hidden="false" customHeight="true" outlineLevel="0" collapsed="false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18"/>
      <c r="L491" s="19" t="str">
        <f aca="false">IF(A491="","",G491*K491)</f>
        <v/>
      </c>
      <c r="M491" s="20"/>
      <c r="N491" s="6"/>
      <c r="O491" s="6"/>
      <c r="P491" s="5" t="str">
        <f aca="false">IF(A491="","",H491/90)</f>
        <v/>
      </c>
      <c r="Q491" s="5" t="str">
        <f aca="false">IF(A491="","",IFERROR(INDEX(Parâmetros!$C$6:$C$10,MATCH(F491,Parâmetros!$B$6:$B$10,0)),""))</f>
        <v/>
      </c>
      <c r="R491" s="5" t="str">
        <f aca="false">IF(OR(A491="",P491="",Q491=""),"",P491*Q491)</f>
        <v/>
      </c>
      <c r="S491" s="5" t="str">
        <f aca="false">IF(R491="","",MAX(0,R491-G491))</f>
        <v/>
      </c>
      <c r="T491" s="21" t="str">
        <f aca="false">IF(S491="","",S491*K491)</f>
        <v/>
      </c>
      <c r="U491" s="5" t="str">
        <f aca="false">IF(A491="","",IF(J491&gt;Parâmetros!$C$14,"SIM","NAO"))</f>
        <v/>
      </c>
      <c r="V491" s="5" t="str">
        <f aca="false">IF(B491="","",TRIM(LEFT(B491,IFERROR(FIND(" ",B491)-1,LEN(B491)))))</f>
        <v/>
      </c>
      <c r="W491" s="22"/>
      <c r="X491" s="5" t="str">
        <f aca="false">IF(A491="","",IF(W491&lt;&gt;"",W491,V491))</f>
        <v/>
      </c>
      <c r="Y491" s="5" t="str">
        <f aca="false">IF(A491="","",IF(COUNTIFS($X$2:$X$2001,X491,$D$2:$D$2001,"&lt;&gt;"&amp;D491,$C$2:$C$2001,C491)&gt;0,"SIM","NAO"))</f>
        <v/>
      </c>
      <c r="Z491" s="5" t="str">
        <f aca="false">IF(A491="","",IF(J491="","",IFERROR(360/J491,"")))</f>
        <v/>
      </c>
      <c r="AA491" s="5" t="str">
        <f aca="false">IF(A491="","",IF(H491=0,"Parado (sem venda 90d)",IF(Z491&gt;12,"Alto (&gt;12x/ano)",IF(Z491&gt;=4,"Medio (4-12x/ano)","Baixo (&lt;4x/ano)"))))</f>
        <v/>
      </c>
    </row>
    <row r="492" customFormat="false" ht="15" hidden="false" customHeight="true" outlineLevel="0" collapsed="false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18"/>
      <c r="L492" s="19" t="str">
        <f aca="false">IF(A492="","",G492*K492)</f>
        <v/>
      </c>
      <c r="M492" s="20"/>
      <c r="N492" s="6"/>
      <c r="O492" s="6"/>
      <c r="P492" s="5" t="str">
        <f aca="false">IF(A492="","",H492/90)</f>
        <v/>
      </c>
      <c r="Q492" s="5" t="str">
        <f aca="false">IF(A492="","",IFERROR(INDEX(Parâmetros!$C$6:$C$10,MATCH(F492,Parâmetros!$B$6:$B$10,0)),""))</f>
        <v/>
      </c>
      <c r="R492" s="5" t="str">
        <f aca="false">IF(OR(A492="",P492="",Q492=""),"",P492*Q492)</f>
        <v/>
      </c>
      <c r="S492" s="5" t="str">
        <f aca="false">IF(R492="","",MAX(0,R492-G492))</f>
        <v/>
      </c>
      <c r="T492" s="21" t="str">
        <f aca="false">IF(S492="","",S492*K492)</f>
        <v/>
      </c>
      <c r="U492" s="5" t="str">
        <f aca="false">IF(A492="","",IF(J492&gt;Parâmetros!$C$14,"SIM","NAO"))</f>
        <v/>
      </c>
      <c r="V492" s="5" t="str">
        <f aca="false">IF(B492="","",TRIM(LEFT(B492,IFERROR(FIND(" ",B492)-1,LEN(B492)))))</f>
        <v/>
      </c>
      <c r="W492" s="22"/>
      <c r="X492" s="5" t="str">
        <f aca="false">IF(A492="","",IF(W492&lt;&gt;"",W492,V492))</f>
        <v/>
      </c>
      <c r="Y492" s="5" t="str">
        <f aca="false">IF(A492="","",IF(COUNTIFS($X$2:$X$2001,X492,$D$2:$D$2001,"&lt;&gt;"&amp;D492,$C$2:$C$2001,C492)&gt;0,"SIM","NAO"))</f>
        <v/>
      </c>
      <c r="Z492" s="5" t="str">
        <f aca="false">IF(A492="","",IF(J492="","",IFERROR(360/J492,"")))</f>
        <v/>
      </c>
      <c r="AA492" s="5" t="str">
        <f aca="false">IF(A492="","",IF(H492=0,"Parado (sem venda 90d)",IF(Z492&gt;12,"Alto (&gt;12x/ano)",IF(Z492&gt;=4,"Medio (4-12x/ano)","Baixo (&lt;4x/ano)"))))</f>
        <v/>
      </c>
    </row>
    <row r="493" customFormat="false" ht="15" hidden="false" customHeight="true" outlineLevel="0" collapsed="false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18"/>
      <c r="L493" s="19" t="str">
        <f aca="false">IF(A493="","",G493*K493)</f>
        <v/>
      </c>
      <c r="M493" s="20"/>
      <c r="N493" s="6"/>
      <c r="O493" s="6"/>
      <c r="P493" s="5" t="str">
        <f aca="false">IF(A493="","",H493/90)</f>
        <v/>
      </c>
      <c r="Q493" s="5" t="str">
        <f aca="false">IF(A493="","",IFERROR(INDEX(Parâmetros!$C$6:$C$10,MATCH(F493,Parâmetros!$B$6:$B$10,0)),""))</f>
        <v/>
      </c>
      <c r="R493" s="5" t="str">
        <f aca="false">IF(OR(A493="",P493="",Q493=""),"",P493*Q493)</f>
        <v/>
      </c>
      <c r="S493" s="5" t="str">
        <f aca="false">IF(R493="","",MAX(0,R493-G493))</f>
        <v/>
      </c>
      <c r="T493" s="21" t="str">
        <f aca="false">IF(S493="","",S493*K493)</f>
        <v/>
      </c>
      <c r="U493" s="5" t="str">
        <f aca="false">IF(A493="","",IF(J493&gt;Parâmetros!$C$14,"SIM","NAO"))</f>
        <v/>
      </c>
      <c r="V493" s="5" t="str">
        <f aca="false">IF(B493="","",TRIM(LEFT(B493,IFERROR(FIND(" ",B493)-1,LEN(B493)))))</f>
        <v/>
      </c>
      <c r="W493" s="22"/>
      <c r="X493" s="5" t="str">
        <f aca="false">IF(A493="","",IF(W493&lt;&gt;"",W493,V493))</f>
        <v/>
      </c>
      <c r="Y493" s="5" t="str">
        <f aca="false">IF(A493="","",IF(COUNTIFS($X$2:$X$2001,X493,$D$2:$D$2001,"&lt;&gt;"&amp;D493,$C$2:$C$2001,C493)&gt;0,"SIM","NAO"))</f>
        <v/>
      </c>
      <c r="Z493" s="5" t="str">
        <f aca="false">IF(A493="","",IF(J493="","",IFERROR(360/J493,"")))</f>
        <v/>
      </c>
      <c r="AA493" s="5" t="str">
        <f aca="false">IF(A493="","",IF(H493=0,"Parado (sem venda 90d)",IF(Z493&gt;12,"Alto (&gt;12x/ano)",IF(Z493&gt;=4,"Medio (4-12x/ano)","Baixo (&lt;4x/ano)"))))</f>
        <v/>
      </c>
    </row>
    <row r="494" customFormat="false" ht="15" hidden="false" customHeight="true" outlineLevel="0" collapsed="false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18"/>
      <c r="L494" s="19" t="str">
        <f aca="false">IF(A494="","",G494*K494)</f>
        <v/>
      </c>
      <c r="M494" s="20"/>
      <c r="N494" s="6"/>
      <c r="O494" s="6"/>
      <c r="P494" s="5" t="str">
        <f aca="false">IF(A494="","",H494/90)</f>
        <v/>
      </c>
      <c r="Q494" s="5" t="str">
        <f aca="false">IF(A494="","",IFERROR(INDEX(Parâmetros!$C$6:$C$10,MATCH(F494,Parâmetros!$B$6:$B$10,0)),""))</f>
        <v/>
      </c>
      <c r="R494" s="5" t="str">
        <f aca="false">IF(OR(A494="",P494="",Q494=""),"",P494*Q494)</f>
        <v/>
      </c>
      <c r="S494" s="5" t="str">
        <f aca="false">IF(R494="","",MAX(0,R494-G494))</f>
        <v/>
      </c>
      <c r="T494" s="21" t="str">
        <f aca="false">IF(S494="","",S494*K494)</f>
        <v/>
      </c>
      <c r="U494" s="5" t="str">
        <f aca="false">IF(A494="","",IF(J494&gt;Parâmetros!$C$14,"SIM","NAO"))</f>
        <v/>
      </c>
      <c r="V494" s="5" t="str">
        <f aca="false">IF(B494="","",TRIM(LEFT(B494,IFERROR(FIND(" ",B494)-1,LEN(B494)))))</f>
        <v/>
      </c>
      <c r="W494" s="22"/>
      <c r="X494" s="5" t="str">
        <f aca="false">IF(A494="","",IF(W494&lt;&gt;"",W494,V494))</f>
        <v/>
      </c>
      <c r="Y494" s="5" t="str">
        <f aca="false">IF(A494="","",IF(COUNTIFS($X$2:$X$2001,X494,$D$2:$D$2001,"&lt;&gt;"&amp;D494,$C$2:$C$2001,C494)&gt;0,"SIM","NAO"))</f>
        <v/>
      </c>
      <c r="Z494" s="5" t="str">
        <f aca="false">IF(A494="","",IF(J494="","",IFERROR(360/J494,"")))</f>
        <v/>
      </c>
      <c r="AA494" s="5" t="str">
        <f aca="false">IF(A494="","",IF(H494=0,"Parado (sem venda 90d)",IF(Z494&gt;12,"Alto (&gt;12x/ano)",IF(Z494&gt;=4,"Medio (4-12x/ano)","Baixo (&lt;4x/ano)"))))</f>
        <v/>
      </c>
    </row>
    <row r="495" customFormat="false" ht="15" hidden="false" customHeight="true" outlineLevel="0" collapsed="false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18"/>
      <c r="L495" s="19" t="str">
        <f aca="false">IF(A495="","",G495*K495)</f>
        <v/>
      </c>
      <c r="M495" s="20"/>
      <c r="N495" s="6"/>
      <c r="O495" s="6"/>
      <c r="P495" s="5" t="str">
        <f aca="false">IF(A495="","",H495/90)</f>
        <v/>
      </c>
      <c r="Q495" s="5" t="str">
        <f aca="false">IF(A495="","",IFERROR(INDEX(Parâmetros!$C$6:$C$10,MATCH(F495,Parâmetros!$B$6:$B$10,0)),""))</f>
        <v/>
      </c>
      <c r="R495" s="5" t="str">
        <f aca="false">IF(OR(A495="",P495="",Q495=""),"",P495*Q495)</f>
        <v/>
      </c>
      <c r="S495" s="5" t="str">
        <f aca="false">IF(R495="","",MAX(0,R495-G495))</f>
        <v/>
      </c>
      <c r="T495" s="21" t="str">
        <f aca="false">IF(S495="","",S495*K495)</f>
        <v/>
      </c>
      <c r="U495" s="5" t="str">
        <f aca="false">IF(A495="","",IF(J495&gt;Parâmetros!$C$14,"SIM","NAO"))</f>
        <v/>
      </c>
      <c r="V495" s="5" t="str">
        <f aca="false">IF(B495="","",TRIM(LEFT(B495,IFERROR(FIND(" ",B495)-1,LEN(B495)))))</f>
        <v/>
      </c>
      <c r="W495" s="22"/>
      <c r="X495" s="5" t="str">
        <f aca="false">IF(A495="","",IF(W495&lt;&gt;"",W495,V495))</f>
        <v/>
      </c>
      <c r="Y495" s="5" t="str">
        <f aca="false">IF(A495="","",IF(COUNTIFS($X$2:$X$2001,X495,$D$2:$D$2001,"&lt;&gt;"&amp;D495,$C$2:$C$2001,C495)&gt;0,"SIM","NAO"))</f>
        <v/>
      </c>
      <c r="Z495" s="5" t="str">
        <f aca="false">IF(A495="","",IF(J495="","",IFERROR(360/J495,"")))</f>
        <v/>
      </c>
      <c r="AA495" s="5" t="str">
        <f aca="false">IF(A495="","",IF(H495=0,"Parado (sem venda 90d)",IF(Z495&gt;12,"Alto (&gt;12x/ano)",IF(Z495&gt;=4,"Medio (4-12x/ano)","Baixo (&lt;4x/ano)"))))</f>
        <v/>
      </c>
    </row>
    <row r="496" customFormat="false" ht="15" hidden="false" customHeight="true" outlineLevel="0" collapsed="false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18"/>
      <c r="L496" s="19" t="str">
        <f aca="false">IF(A496="","",G496*K496)</f>
        <v/>
      </c>
      <c r="M496" s="20"/>
      <c r="N496" s="6"/>
      <c r="O496" s="6"/>
      <c r="P496" s="5" t="str">
        <f aca="false">IF(A496="","",H496/90)</f>
        <v/>
      </c>
      <c r="Q496" s="5" t="str">
        <f aca="false">IF(A496="","",IFERROR(INDEX(Parâmetros!$C$6:$C$10,MATCH(F496,Parâmetros!$B$6:$B$10,0)),""))</f>
        <v/>
      </c>
      <c r="R496" s="5" t="str">
        <f aca="false">IF(OR(A496="",P496="",Q496=""),"",P496*Q496)</f>
        <v/>
      </c>
      <c r="S496" s="5" t="str">
        <f aca="false">IF(R496="","",MAX(0,R496-G496))</f>
        <v/>
      </c>
      <c r="T496" s="21" t="str">
        <f aca="false">IF(S496="","",S496*K496)</f>
        <v/>
      </c>
      <c r="U496" s="5" t="str">
        <f aca="false">IF(A496="","",IF(J496&gt;Parâmetros!$C$14,"SIM","NAO"))</f>
        <v/>
      </c>
      <c r="V496" s="5" t="str">
        <f aca="false">IF(B496="","",TRIM(LEFT(B496,IFERROR(FIND(" ",B496)-1,LEN(B496)))))</f>
        <v/>
      </c>
      <c r="W496" s="22"/>
      <c r="X496" s="5" t="str">
        <f aca="false">IF(A496="","",IF(W496&lt;&gt;"",W496,V496))</f>
        <v/>
      </c>
      <c r="Y496" s="5" t="str">
        <f aca="false">IF(A496="","",IF(COUNTIFS($X$2:$X$2001,X496,$D$2:$D$2001,"&lt;&gt;"&amp;D496,$C$2:$C$2001,C496)&gt;0,"SIM","NAO"))</f>
        <v/>
      </c>
      <c r="Z496" s="5" t="str">
        <f aca="false">IF(A496="","",IF(J496="","",IFERROR(360/J496,"")))</f>
        <v/>
      </c>
      <c r="AA496" s="5" t="str">
        <f aca="false">IF(A496="","",IF(H496=0,"Parado (sem venda 90d)",IF(Z496&gt;12,"Alto (&gt;12x/ano)",IF(Z496&gt;=4,"Medio (4-12x/ano)","Baixo (&lt;4x/ano)"))))</f>
        <v/>
      </c>
    </row>
    <row r="497" customFormat="false" ht="15" hidden="false" customHeight="true" outlineLevel="0" collapsed="false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18"/>
      <c r="L497" s="19" t="str">
        <f aca="false">IF(A497="","",G497*K497)</f>
        <v/>
      </c>
      <c r="M497" s="20"/>
      <c r="N497" s="6"/>
      <c r="O497" s="6"/>
      <c r="P497" s="5" t="str">
        <f aca="false">IF(A497="","",H497/90)</f>
        <v/>
      </c>
      <c r="Q497" s="5" t="str">
        <f aca="false">IF(A497="","",IFERROR(INDEX(Parâmetros!$C$6:$C$10,MATCH(F497,Parâmetros!$B$6:$B$10,0)),""))</f>
        <v/>
      </c>
      <c r="R497" s="5" t="str">
        <f aca="false">IF(OR(A497="",P497="",Q497=""),"",P497*Q497)</f>
        <v/>
      </c>
      <c r="S497" s="5" t="str">
        <f aca="false">IF(R497="","",MAX(0,R497-G497))</f>
        <v/>
      </c>
      <c r="T497" s="21" t="str">
        <f aca="false">IF(S497="","",S497*K497)</f>
        <v/>
      </c>
      <c r="U497" s="5" t="str">
        <f aca="false">IF(A497="","",IF(J497&gt;Parâmetros!$C$14,"SIM","NAO"))</f>
        <v/>
      </c>
      <c r="V497" s="5" t="str">
        <f aca="false">IF(B497="","",TRIM(LEFT(B497,IFERROR(FIND(" ",B497)-1,LEN(B497)))))</f>
        <v/>
      </c>
      <c r="W497" s="22"/>
      <c r="X497" s="5" t="str">
        <f aca="false">IF(A497="","",IF(W497&lt;&gt;"",W497,V497))</f>
        <v/>
      </c>
      <c r="Y497" s="5" t="str">
        <f aca="false">IF(A497="","",IF(COUNTIFS($X$2:$X$2001,X497,$D$2:$D$2001,"&lt;&gt;"&amp;D497,$C$2:$C$2001,C497)&gt;0,"SIM","NAO"))</f>
        <v/>
      </c>
      <c r="Z497" s="5" t="str">
        <f aca="false">IF(A497="","",IF(J497="","",IFERROR(360/J497,"")))</f>
        <v/>
      </c>
      <c r="AA497" s="5" t="str">
        <f aca="false">IF(A497="","",IF(H497=0,"Parado (sem venda 90d)",IF(Z497&gt;12,"Alto (&gt;12x/ano)",IF(Z497&gt;=4,"Medio (4-12x/ano)","Baixo (&lt;4x/ano)"))))</f>
        <v/>
      </c>
    </row>
    <row r="498" customFormat="false" ht="15" hidden="false" customHeight="true" outlineLevel="0" collapsed="false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18"/>
      <c r="L498" s="19" t="str">
        <f aca="false">IF(A498="","",G498*K498)</f>
        <v/>
      </c>
      <c r="M498" s="20"/>
      <c r="N498" s="6"/>
      <c r="O498" s="6"/>
      <c r="P498" s="5" t="str">
        <f aca="false">IF(A498="","",H498/90)</f>
        <v/>
      </c>
      <c r="Q498" s="5" t="str">
        <f aca="false">IF(A498="","",IFERROR(INDEX(Parâmetros!$C$6:$C$10,MATCH(F498,Parâmetros!$B$6:$B$10,0)),""))</f>
        <v/>
      </c>
      <c r="R498" s="5" t="str">
        <f aca="false">IF(OR(A498="",P498="",Q498=""),"",P498*Q498)</f>
        <v/>
      </c>
      <c r="S498" s="5" t="str">
        <f aca="false">IF(R498="","",MAX(0,R498-G498))</f>
        <v/>
      </c>
      <c r="T498" s="21" t="str">
        <f aca="false">IF(S498="","",S498*K498)</f>
        <v/>
      </c>
      <c r="U498" s="5" t="str">
        <f aca="false">IF(A498="","",IF(J498&gt;Parâmetros!$C$14,"SIM","NAO"))</f>
        <v/>
      </c>
      <c r="V498" s="5" t="str">
        <f aca="false">IF(B498="","",TRIM(LEFT(B498,IFERROR(FIND(" ",B498)-1,LEN(B498)))))</f>
        <v/>
      </c>
      <c r="W498" s="22"/>
      <c r="X498" s="5" t="str">
        <f aca="false">IF(A498="","",IF(W498&lt;&gt;"",W498,V498))</f>
        <v/>
      </c>
      <c r="Y498" s="5" t="str">
        <f aca="false">IF(A498="","",IF(COUNTIFS($X$2:$X$2001,X498,$D$2:$D$2001,"&lt;&gt;"&amp;D498,$C$2:$C$2001,C498)&gt;0,"SIM","NAO"))</f>
        <v/>
      </c>
      <c r="Z498" s="5" t="str">
        <f aca="false">IF(A498="","",IF(J498="","",IFERROR(360/J498,"")))</f>
        <v/>
      </c>
      <c r="AA498" s="5" t="str">
        <f aca="false">IF(A498="","",IF(H498=0,"Parado (sem venda 90d)",IF(Z498&gt;12,"Alto (&gt;12x/ano)",IF(Z498&gt;=4,"Medio (4-12x/ano)","Baixo (&lt;4x/ano)"))))</f>
        <v/>
      </c>
    </row>
    <row r="499" customFormat="false" ht="15" hidden="false" customHeight="true" outlineLevel="0" collapsed="false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18"/>
      <c r="L499" s="19" t="str">
        <f aca="false">IF(A499="","",G499*K499)</f>
        <v/>
      </c>
      <c r="M499" s="20"/>
      <c r="N499" s="6"/>
      <c r="O499" s="6"/>
      <c r="P499" s="5" t="str">
        <f aca="false">IF(A499="","",H499/90)</f>
        <v/>
      </c>
      <c r="Q499" s="5" t="str">
        <f aca="false">IF(A499="","",IFERROR(INDEX(Parâmetros!$C$6:$C$10,MATCH(F499,Parâmetros!$B$6:$B$10,0)),""))</f>
        <v/>
      </c>
      <c r="R499" s="5" t="str">
        <f aca="false">IF(OR(A499="",P499="",Q499=""),"",P499*Q499)</f>
        <v/>
      </c>
      <c r="S499" s="5" t="str">
        <f aca="false">IF(R499="","",MAX(0,R499-G499))</f>
        <v/>
      </c>
      <c r="T499" s="21" t="str">
        <f aca="false">IF(S499="","",S499*K499)</f>
        <v/>
      </c>
      <c r="U499" s="5" t="str">
        <f aca="false">IF(A499="","",IF(J499&gt;Parâmetros!$C$14,"SIM","NAO"))</f>
        <v/>
      </c>
      <c r="V499" s="5" t="str">
        <f aca="false">IF(B499="","",TRIM(LEFT(B499,IFERROR(FIND(" ",B499)-1,LEN(B499)))))</f>
        <v/>
      </c>
      <c r="W499" s="22"/>
      <c r="X499" s="5" t="str">
        <f aca="false">IF(A499="","",IF(W499&lt;&gt;"",W499,V499))</f>
        <v/>
      </c>
      <c r="Y499" s="5" t="str">
        <f aca="false">IF(A499="","",IF(COUNTIFS($X$2:$X$2001,X499,$D$2:$D$2001,"&lt;&gt;"&amp;D499,$C$2:$C$2001,C499)&gt;0,"SIM","NAO"))</f>
        <v/>
      </c>
      <c r="Z499" s="5" t="str">
        <f aca="false">IF(A499="","",IF(J499="","",IFERROR(360/J499,"")))</f>
        <v/>
      </c>
      <c r="AA499" s="5" t="str">
        <f aca="false">IF(A499="","",IF(H499=0,"Parado (sem venda 90d)",IF(Z499&gt;12,"Alto (&gt;12x/ano)",IF(Z499&gt;=4,"Medio (4-12x/ano)","Baixo (&lt;4x/ano)"))))</f>
        <v/>
      </c>
    </row>
    <row r="500" customFormat="false" ht="15" hidden="false" customHeight="true" outlineLevel="0" collapsed="false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18"/>
      <c r="L500" s="19" t="str">
        <f aca="false">IF(A500="","",G500*K500)</f>
        <v/>
      </c>
      <c r="M500" s="20"/>
      <c r="N500" s="6"/>
      <c r="O500" s="6"/>
      <c r="P500" s="5" t="str">
        <f aca="false">IF(A500="","",H500/90)</f>
        <v/>
      </c>
      <c r="Q500" s="5" t="str">
        <f aca="false">IF(A500="","",IFERROR(INDEX(Parâmetros!$C$6:$C$10,MATCH(F500,Parâmetros!$B$6:$B$10,0)),""))</f>
        <v/>
      </c>
      <c r="R500" s="5" t="str">
        <f aca="false">IF(OR(A500="",P500="",Q500=""),"",P500*Q500)</f>
        <v/>
      </c>
      <c r="S500" s="5" t="str">
        <f aca="false">IF(R500="","",MAX(0,R500-G500))</f>
        <v/>
      </c>
      <c r="T500" s="21" t="str">
        <f aca="false">IF(S500="","",S500*K500)</f>
        <v/>
      </c>
      <c r="U500" s="5" t="str">
        <f aca="false">IF(A500="","",IF(J500&gt;Parâmetros!$C$14,"SIM","NAO"))</f>
        <v/>
      </c>
      <c r="V500" s="5" t="str">
        <f aca="false">IF(B500="","",TRIM(LEFT(B500,IFERROR(FIND(" ",B500)-1,LEN(B500)))))</f>
        <v/>
      </c>
      <c r="W500" s="22"/>
      <c r="X500" s="5" t="str">
        <f aca="false">IF(A500="","",IF(W500&lt;&gt;"",W500,V500))</f>
        <v/>
      </c>
      <c r="Y500" s="5" t="str">
        <f aca="false">IF(A500="","",IF(COUNTIFS($X$2:$X$2001,X500,$D$2:$D$2001,"&lt;&gt;"&amp;D500,$C$2:$C$2001,C500)&gt;0,"SIM","NAO"))</f>
        <v/>
      </c>
      <c r="Z500" s="5" t="str">
        <f aca="false">IF(A500="","",IF(J500="","",IFERROR(360/J500,"")))</f>
        <v/>
      </c>
      <c r="AA500" s="5" t="str">
        <f aca="false">IF(A500="","",IF(H500=0,"Parado (sem venda 90d)",IF(Z500&gt;12,"Alto (&gt;12x/ano)",IF(Z500&gt;=4,"Medio (4-12x/ano)","Baixo (&lt;4x/ano)"))))</f>
        <v/>
      </c>
    </row>
    <row r="501" customFormat="false" ht="15" hidden="false" customHeight="true" outlineLevel="0" collapsed="false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18"/>
      <c r="L501" s="19" t="str">
        <f aca="false">IF(A501="","",G501*K501)</f>
        <v/>
      </c>
      <c r="M501" s="20"/>
      <c r="N501" s="6"/>
      <c r="O501" s="6"/>
      <c r="P501" s="5" t="str">
        <f aca="false">IF(A501="","",H501/90)</f>
        <v/>
      </c>
      <c r="Q501" s="5" t="str">
        <f aca="false">IF(A501="","",IFERROR(INDEX(Parâmetros!$C$6:$C$10,MATCH(F501,Parâmetros!$B$6:$B$10,0)),""))</f>
        <v/>
      </c>
      <c r="R501" s="5" t="str">
        <f aca="false">IF(OR(A501="",P501="",Q501=""),"",P501*Q501)</f>
        <v/>
      </c>
      <c r="S501" s="5" t="str">
        <f aca="false">IF(R501="","",MAX(0,R501-G501))</f>
        <v/>
      </c>
      <c r="T501" s="21" t="str">
        <f aca="false">IF(S501="","",S501*K501)</f>
        <v/>
      </c>
      <c r="U501" s="5" t="str">
        <f aca="false">IF(A501="","",IF(J501&gt;Parâmetros!$C$14,"SIM","NAO"))</f>
        <v/>
      </c>
      <c r="V501" s="5" t="str">
        <f aca="false">IF(B501="","",TRIM(LEFT(B501,IFERROR(FIND(" ",B501)-1,LEN(B501)))))</f>
        <v/>
      </c>
      <c r="W501" s="22"/>
      <c r="X501" s="5" t="str">
        <f aca="false">IF(A501="","",IF(W501&lt;&gt;"",W501,V501))</f>
        <v/>
      </c>
      <c r="Y501" s="5" t="str">
        <f aca="false">IF(A501="","",IF(COUNTIFS($X$2:$X$2001,X501,$D$2:$D$2001,"&lt;&gt;"&amp;D501,$C$2:$C$2001,C501)&gt;0,"SIM","NAO"))</f>
        <v/>
      </c>
      <c r="Z501" s="5" t="str">
        <f aca="false">IF(A501="","",IF(J501="","",IFERROR(360/J501,"")))</f>
        <v/>
      </c>
      <c r="AA501" s="5" t="str">
        <f aca="false">IF(A501="","",IF(H501=0,"Parado (sem venda 90d)",IF(Z501&gt;12,"Alto (&gt;12x/ano)",IF(Z501&gt;=4,"Medio (4-12x/ano)","Baixo (&lt;4x/ano)"))))</f>
        <v/>
      </c>
    </row>
    <row r="502" customFormat="false" ht="15" hidden="false" customHeight="true" outlineLevel="0" collapsed="false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18"/>
      <c r="L502" s="19" t="str">
        <f aca="false">IF(A502="","",G502*K502)</f>
        <v/>
      </c>
      <c r="M502" s="20"/>
      <c r="N502" s="6"/>
      <c r="O502" s="6"/>
      <c r="P502" s="5" t="str">
        <f aca="false">IF(A502="","",H502/90)</f>
        <v/>
      </c>
      <c r="Q502" s="5" t="str">
        <f aca="false">IF(A502="","",IFERROR(INDEX(Parâmetros!$C$6:$C$10,MATCH(F502,Parâmetros!$B$6:$B$10,0)),""))</f>
        <v/>
      </c>
      <c r="R502" s="5" t="str">
        <f aca="false">IF(OR(A502="",P502="",Q502=""),"",P502*Q502)</f>
        <v/>
      </c>
      <c r="S502" s="5" t="str">
        <f aca="false">IF(R502="","",MAX(0,R502-G502))</f>
        <v/>
      </c>
      <c r="T502" s="21" t="str">
        <f aca="false">IF(S502="","",S502*K502)</f>
        <v/>
      </c>
      <c r="U502" s="5" t="str">
        <f aca="false">IF(A502="","",IF(J502&gt;Parâmetros!$C$14,"SIM","NAO"))</f>
        <v/>
      </c>
      <c r="V502" s="5" t="str">
        <f aca="false">IF(B502="","",TRIM(LEFT(B502,IFERROR(FIND(" ",B502)-1,LEN(B502)))))</f>
        <v/>
      </c>
      <c r="W502" s="22"/>
      <c r="X502" s="5" t="str">
        <f aca="false">IF(A502="","",IF(W502&lt;&gt;"",W502,V502))</f>
        <v/>
      </c>
      <c r="Y502" s="5" t="str">
        <f aca="false">IF(A502="","",IF(COUNTIFS($X$2:$X$2001,X502,$D$2:$D$2001,"&lt;&gt;"&amp;D502,$C$2:$C$2001,C502)&gt;0,"SIM","NAO"))</f>
        <v/>
      </c>
      <c r="Z502" s="5" t="str">
        <f aca="false">IF(A502="","",IF(J502="","",IFERROR(360/J502,"")))</f>
        <v/>
      </c>
      <c r="AA502" s="5" t="str">
        <f aca="false">IF(A502="","",IF(H502=0,"Parado (sem venda 90d)",IF(Z502&gt;12,"Alto (&gt;12x/ano)",IF(Z502&gt;=4,"Medio (4-12x/ano)","Baixo (&lt;4x/ano)"))))</f>
        <v/>
      </c>
    </row>
    <row r="503" customFormat="false" ht="15" hidden="false" customHeight="true" outlineLevel="0" collapsed="false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18"/>
      <c r="L503" s="19" t="str">
        <f aca="false">IF(A503="","",G503*K503)</f>
        <v/>
      </c>
      <c r="M503" s="20"/>
      <c r="N503" s="6"/>
      <c r="O503" s="6"/>
      <c r="P503" s="5" t="str">
        <f aca="false">IF(A503="","",H503/90)</f>
        <v/>
      </c>
      <c r="Q503" s="5" t="str">
        <f aca="false">IF(A503="","",IFERROR(INDEX(Parâmetros!$C$6:$C$10,MATCH(F503,Parâmetros!$B$6:$B$10,0)),""))</f>
        <v/>
      </c>
      <c r="R503" s="5" t="str">
        <f aca="false">IF(OR(A503="",P503="",Q503=""),"",P503*Q503)</f>
        <v/>
      </c>
      <c r="S503" s="5" t="str">
        <f aca="false">IF(R503="","",MAX(0,R503-G503))</f>
        <v/>
      </c>
      <c r="T503" s="21" t="str">
        <f aca="false">IF(S503="","",S503*K503)</f>
        <v/>
      </c>
      <c r="U503" s="5" t="str">
        <f aca="false">IF(A503="","",IF(J503&gt;Parâmetros!$C$14,"SIM","NAO"))</f>
        <v/>
      </c>
      <c r="V503" s="5" t="str">
        <f aca="false">IF(B503="","",TRIM(LEFT(B503,IFERROR(FIND(" ",B503)-1,LEN(B503)))))</f>
        <v/>
      </c>
      <c r="W503" s="22"/>
      <c r="X503" s="5" t="str">
        <f aca="false">IF(A503="","",IF(W503&lt;&gt;"",W503,V503))</f>
        <v/>
      </c>
      <c r="Y503" s="5" t="str">
        <f aca="false">IF(A503="","",IF(COUNTIFS($X$2:$X$2001,X503,$D$2:$D$2001,"&lt;&gt;"&amp;D503,$C$2:$C$2001,C503)&gt;0,"SIM","NAO"))</f>
        <v/>
      </c>
      <c r="Z503" s="5" t="str">
        <f aca="false">IF(A503="","",IF(J503="","",IFERROR(360/J503,"")))</f>
        <v/>
      </c>
      <c r="AA503" s="5" t="str">
        <f aca="false">IF(A503="","",IF(H503=0,"Parado (sem venda 90d)",IF(Z503&gt;12,"Alto (&gt;12x/ano)",IF(Z503&gt;=4,"Medio (4-12x/ano)","Baixo (&lt;4x/ano)"))))</f>
        <v/>
      </c>
    </row>
    <row r="504" customFormat="false" ht="15" hidden="false" customHeight="true" outlineLevel="0" collapsed="false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18"/>
      <c r="L504" s="19" t="str">
        <f aca="false">IF(A504="","",G504*K504)</f>
        <v/>
      </c>
      <c r="M504" s="20"/>
      <c r="N504" s="6"/>
      <c r="O504" s="6"/>
      <c r="P504" s="5" t="str">
        <f aca="false">IF(A504="","",H504/90)</f>
        <v/>
      </c>
      <c r="Q504" s="5" t="str">
        <f aca="false">IF(A504="","",IFERROR(INDEX(Parâmetros!$C$6:$C$10,MATCH(F504,Parâmetros!$B$6:$B$10,0)),""))</f>
        <v/>
      </c>
      <c r="R504" s="5" t="str">
        <f aca="false">IF(OR(A504="",P504="",Q504=""),"",P504*Q504)</f>
        <v/>
      </c>
      <c r="S504" s="5" t="str">
        <f aca="false">IF(R504="","",MAX(0,R504-G504))</f>
        <v/>
      </c>
      <c r="T504" s="21" t="str">
        <f aca="false">IF(S504="","",S504*K504)</f>
        <v/>
      </c>
      <c r="U504" s="5" t="str">
        <f aca="false">IF(A504="","",IF(J504&gt;Parâmetros!$C$14,"SIM","NAO"))</f>
        <v/>
      </c>
      <c r="V504" s="5" t="str">
        <f aca="false">IF(B504="","",TRIM(LEFT(B504,IFERROR(FIND(" ",B504)-1,LEN(B504)))))</f>
        <v/>
      </c>
      <c r="W504" s="22"/>
      <c r="X504" s="5" t="str">
        <f aca="false">IF(A504="","",IF(W504&lt;&gt;"",W504,V504))</f>
        <v/>
      </c>
      <c r="Y504" s="5" t="str">
        <f aca="false">IF(A504="","",IF(COUNTIFS($X$2:$X$2001,X504,$D$2:$D$2001,"&lt;&gt;"&amp;D504,$C$2:$C$2001,C504)&gt;0,"SIM","NAO"))</f>
        <v/>
      </c>
      <c r="Z504" s="5" t="str">
        <f aca="false">IF(A504="","",IF(J504="","",IFERROR(360/J504,"")))</f>
        <v/>
      </c>
      <c r="AA504" s="5" t="str">
        <f aca="false">IF(A504="","",IF(H504=0,"Parado (sem venda 90d)",IF(Z504&gt;12,"Alto (&gt;12x/ano)",IF(Z504&gt;=4,"Medio (4-12x/ano)","Baixo (&lt;4x/ano)"))))</f>
        <v/>
      </c>
    </row>
    <row r="505" customFormat="false" ht="15" hidden="false" customHeight="true" outlineLevel="0" collapsed="false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18"/>
      <c r="L505" s="19" t="str">
        <f aca="false">IF(A505="","",G505*K505)</f>
        <v/>
      </c>
      <c r="M505" s="20"/>
      <c r="N505" s="6"/>
      <c r="O505" s="6"/>
      <c r="P505" s="5" t="str">
        <f aca="false">IF(A505="","",H505/90)</f>
        <v/>
      </c>
      <c r="Q505" s="5" t="str">
        <f aca="false">IF(A505="","",IFERROR(INDEX(Parâmetros!$C$6:$C$10,MATCH(F505,Parâmetros!$B$6:$B$10,0)),""))</f>
        <v/>
      </c>
      <c r="R505" s="5" t="str">
        <f aca="false">IF(OR(A505="",P505="",Q505=""),"",P505*Q505)</f>
        <v/>
      </c>
      <c r="S505" s="5" t="str">
        <f aca="false">IF(R505="","",MAX(0,R505-G505))</f>
        <v/>
      </c>
      <c r="T505" s="21" t="str">
        <f aca="false">IF(S505="","",S505*K505)</f>
        <v/>
      </c>
      <c r="U505" s="5" t="str">
        <f aca="false">IF(A505="","",IF(J505&gt;Parâmetros!$C$14,"SIM","NAO"))</f>
        <v/>
      </c>
      <c r="V505" s="5" t="str">
        <f aca="false">IF(B505="","",TRIM(LEFT(B505,IFERROR(FIND(" ",B505)-1,LEN(B505)))))</f>
        <v/>
      </c>
      <c r="W505" s="22"/>
      <c r="X505" s="5" t="str">
        <f aca="false">IF(A505="","",IF(W505&lt;&gt;"",W505,V505))</f>
        <v/>
      </c>
      <c r="Y505" s="5" t="str">
        <f aca="false">IF(A505="","",IF(COUNTIFS($X$2:$X$2001,X505,$D$2:$D$2001,"&lt;&gt;"&amp;D505,$C$2:$C$2001,C505)&gt;0,"SIM","NAO"))</f>
        <v/>
      </c>
      <c r="Z505" s="5" t="str">
        <f aca="false">IF(A505="","",IF(J505="","",IFERROR(360/J505,"")))</f>
        <v/>
      </c>
      <c r="AA505" s="5" t="str">
        <f aca="false">IF(A505="","",IF(H505=0,"Parado (sem venda 90d)",IF(Z505&gt;12,"Alto (&gt;12x/ano)",IF(Z505&gt;=4,"Medio (4-12x/ano)","Baixo (&lt;4x/ano)"))))</f>
        <v/>
      </c>
    </row>
    <row r="506" customFormat="false" ht="15" hidden="false" customHeight="true" outlineLevel="0" collapsed="false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18"/>
      <c r="L506" s="19" t="str">
        <f aca="false">IF(A506="","",G506*K506)</f>
        <v/>
      </c>
      <c r="M506" s="20"/>
      <c r="N506" s="6"/>
      <c r="O506" s="6"/>
      <c r="P506" s="5" t="str">
        <f aca="false">IF(A506="","",H506/90)</f>
        <v/>
      </c>
      <c r="Q506" s="5" t="str">
        <f aca="false">IF(A506="","",IFERROR(INDEX(Parâmetros!$C$6:$C$10,MATCH(F506,Parâmetros!$B$6:$B$10,0)),""))</f>
        <v/>
      </c>
      <c r="R506" s="5" t="str">
        <f aca="false">IF(OR(A506="",P506="",Q506=""),"",P506*Q506)</f>
        <v/>
      </c>
      <c r="S506" s="5" t="str">
        <f aca="false">IF(R506="","",MAX(0,R506-G506))</f>
        <v/>
      </c>
      <c r="T506" s="21" t="str">
        <f aca="false">IF(S506="","",S506*K506)</f>
        <v/>
      </c>
      <c r="U506" s="5" t="str">
        <f aca="false">IF(A506="","",IF(J506&gt;Parâmetros!$C$14,"SIM","NAO"))</f>
        <v/>
      </c>
      <c r="V506" s="5" t="str">
        <f aca="false">IF(B506="","",TRIM(LEFT(B506,IFERROR(FIND(" ",B506)-1,LEN(B506)))))</f>
        <v/>
      </c>
      <c r="W506" s="22"/>
      <c r="X506" s="5" t="str">
        <f aca="false">IF(A506="","",IF(W506&lt;&gt;"",W506,V506))</f>
        <v/>
      </c>
      <c r="Y506" s="5" t="str">
        <f aca="false">IF(A506="","",IF(COUNTIFS($X$2:$X$2001,X506,$D$2:$D$2001,"&lt;&gt;"&amp;D506,$C$2:$C$2001,C506)&gt;0,"SIM","NAO"))</f>
        <v/>
      </c>
      <c r="Z506" s="5" t="str">
        <f aca="false">IF(A506="","",IF(J506="","",IFERROR(360/J506,"")))</f>
        <v/>
      </c>
      <c r="AA506" s="5" t="str">
        <f aca="false">IF(A506="","",IF(H506=0,"Parado (sem venda 90d)",IF(Z506&gt;12,"Alto (&gt;12x/ano)",IF(Z506&gt;=4,"Medio (4-12x/ano)","Baixo (&lt;4x/ano)"))))</f>
        <v/>
      </c>
    </row>
    <row r="507" customFormat="false" ht="15" hidden="false" customHeight="true" outlineLevel="0" collapsed="false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18"/>
      <c r="L507" s="19" t="str">
        <f aca="false">IF(A507="","",G507*K507)</f>
        <v/>
      </c>
      <c r="M507" s="20"/>
      <c r="N507" s="6"/>
      <c r="O507" s="6"/>
      <c r="P507" s="5" t="str">
        <f aca="false">IF(A507="","",H507/90)</f>
        <v/>
      </c>
      <c r="Q507" s="5" t="str">
        <f aca="false">IF(A507="","",IFERROR(INDEX(Parâmetros!$C$6:$C$10,MATCH(F507,Parâmetros!$B$6:$B$10,0)),""))</f>
        <v/>
      </c>
      <c r="R507" s="5" t="str">
        <f aca="false">IF(OR(A507="",P507="",Q507=""),"",P507*Q507)</f>
        <v/>
      </c>
      <c r="S507" s="5" t="str">
        <f aca="false">IF(R507="","",MAX(0,R507-G507))</f>
        <v/>
      </c>
      <c r="T507" s="21" t="str">
        <f aca="false">IF(S507="","",S507*K507)</f>
        <v/>
      </c>
      <c r="U507" s="5" t="str">
        <f aca="false">IF(A507="","",IF(J507&gt;Parâmetros!$C$14,"SIM","NAO"))</f>
        <v/>
      </c>
      <c r="V507" s="5" t="str">
        <f aca="false">IF(B507="","",TRIM(LEFT(B507,IFERROR(FIND(" ",B507)-1,LEN(B507)))))</f>
        <v/>
      </c>
      <c r="W507" s="22"/>
      <c r="X507" s="5" t="str">
        <f aca="false">IF(A507="","",IF(W507&lt;&gt;"",W507,V507))</f>
        <v/>
      </c>
      <c r="Y507" s="5" t="str">
        <f aca="false">IF(A507="","",IF(COUNTIFS($X$2:$X$2001,X507,$D$2:$D$2001,"&lt;&gt;"&amp;D507,$C$2:$C$2001,C507)&gt;0,"SIM","NAO"))</f>
        <v/>
      </c>
      <c r="Z507" s="5" t="str">
        <f aca="false">IF(A507="","",IF(J507="","",IFERROR(360/J507,"")))</f>
        <v/>
      </c>
      <c r="AA507" s="5" t="str">
        <f aca="false">IF(A507="","",IF(H507=0,"Parado (sem venda 90d)",IF(Z507&gt;12,"Alto (&gt;12x/ano)",IF(Z507&gt;=4,"Medio (4-12x/ano)","Baixo (&lt;4x/ano)"))))</f>
        <v/>
      </c>
    </row>
    <row r="508" customFormat="false" ht="15" hidden="false" customHeight="true" outlineLevel="0" collapsed="false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18"/>
      <c r="L508" s="19" t="str">
        <f aca="false">IF(A508="","",G508*K508)</f>
        <v/>
      </c>
      <c r="M508" s="20"/>
      <c r="N508" s="6"/>
      <c r="O508" s="6"/>
      <c r="P508" s="5" t="str">
        <f aca="false">IF(A508="","",H508/90)</f>
        <v/>
      </c>
      <c r="Q508" s="5" t="str">
        <f aca="false">IF(A508="","",IFERROR(INDEX(Parâmetros!$C$6:$C$10,MATCH(F508,Parâmetros!$B$6:$B$10,0)),""))</f>
        <v/>
      </c>
      <c r="R508" s="5" t="str">
        <f aca="false">IF(OR(A508="",P508="",Q508=""),"",P508*Q508)</f>
        <v/>
      </c>
      <c r="S508" s="5" t="str">
        <f aca="false">IF(R508="","",MAX(0,R508-G508))</f>
        <v/>
      </c>
      <c r="T508" s="21" t="str">
        <f aca="false">IF(S508="","",S508*K508)</f>
        <v/>
      </c>
      <c r="U508" s="5" t="str">
        <f aca="false">IF(A508="","",IF(J508&gt;Parâmetros!$C$14,"SIM","NAO"))</f>
        <v/>
      </c>
      <c r="V508" s="5" t="str">
        <f aca="false">IF(B508="","",TRIM(LEFT(B508,IFERROR(FIND(" ",B508)-1,LEN(B508)))))</f>
        <v/>
      </c>
      <c r="W508" s="22"/>
      <c r="X508" s="5" t="str">
        <f aca="false">IF(A508="","",IF(W508&lt;&gt;"",W508,V508))</f>
        <v/>
      </c>
      <c r="Y508" s="5" t="str">
        <f aca="false">IF(A508="","",IF(COUNTIFS($X$2:$X$2001,X508,$D$2:$D$2001,"&lt;&gt;"&amp;D508,$C$2:$C$2001,C508)&gt;0,"SIM","NAO"))</f>
        <v/>
      </c>
      <c r="Z508" s="5" t="str">
        <f aca="false">IF(A508="","",IF(J508="","",IFERROR(360/J508,"")))</f>
        <v/>
      </c>
      <c r="AA508" s="5" t="str">
        <f aca="false">IF(A508="","",IF(H508=0,"Parado (sem venda 90d)",IF(Z508&gt;12,"Alto (&gt;12x/ano)",IF(Z508&gt;=4,"Medio (4-12x/ano)","Baixo (&lt;4x/ano)"))))</f>
        <v/>
      </c>
    </row>
    <row r="509" customFormat="false" ht="15" hidden="false" customHeight="true" outlineLevel="0" collapsed="false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18"/>
      <c r="L509" s="19" t="str">
        <f aca="false">IF(A509="","",G509*K509)</f>
        <v/>
      </c>
      <c r="M509" s="20"/>
      <c r="N509" s="6"/>
      <c r="O509" s="6"/>
      <c r="P509" s="5" t="str">
        <f aca="false">IF(A509="","",H509/90)</f>
        <v/>
      </c>
      <c r="Q509" s="5" t="str">
        <f aca="false">IF(A509="","",IFERROR(INDEX(Parâmetros!$C$6:$C$10,MATCH(F509,Parâmetros!$B$6:$B$10,0)),""))</f>
        <v/>
      </c>
      <c r="R509" s="5" t="str">
        <f aca="false">IF(OR(A509="",P509="",Q509=""),"",P509*Q509)</f>
        <v/>
      </c>
      <c r="S509" s="5" t="str">
        <f aca="false">IF(R509="","",MAX(0,R509-G509))</f>
        <v/>
      </c>
      <c r="T509" s="21" t="str">
        <f aca="false">IF(S509="","",S509*K509)</f>
        <v/>
      </c>
      <c r="U509" s="5" t="str">
        <f aca="false">IF(A509="","",IF(J509&gt;Parâmetros!$C$14,"SIM","NAO"))</f>
        <v/>
      </c>
      <c r="V509" s="5" t="str">
        <f aca="false">IF(B509="","",TRIM(LEFT(B509,IFERROR(FIND(" ",B509)-1,LEN(B509)))))</f>
        <v/>
      </c>
      <c r="W509" s="22"/>
      <c r="X509" s="5" t="str">
        <f aca="false">IF(A509="","",IF(W509&lt;&gt;"",W509,V509))</f>
        <v/>
      </c>
      <c r="Y509" s="5" t="str">
        <f aca="false">IF(A509="","",IF(COUNTIFS($X$2:$X$2001,X509,$D$2:$D$2001,"&lt;&gt;"&amp;D509,$C$2:$C$2001,C509)&gt;0,"SIM","NAO"))</f>
        <v/>
      </c>
      <c r="Z509" s="5" t="str">
        <f aca="false">IF(A509="","",IF(J509="","",IFERROR(360/J509,"")))</f>
        <v/>
      </c>
      <c r="AA509" s="5" t="str">
        <f aca="false">IF(A509="","",IF(H509=0,"Parado (sem venda 90d)",IF(Z509&gt;12,"Alto (&gt;12x/ano)",IF(Z509&gt;=4,"Medio (4-12x/ano)","Baixo (&lt;4x/ano)"))))</f>
        <v/>
      </c>
    </row>
    <row r="510" customFormat="false" ht="15" hidden="false" customHeight="true" outlineLevel="0" collapsed="false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18"/>
      <c r="L510" s="19" t="str">
        <f aca="false">IF(A510="","",G510*K510)</f>
        <v/>
      </c>
      <c r="M510" s="20"/>
      <c r="N510" s="6"/>
      <c r="O510" s="6"/>
      <c r="P510" s="5" t="str">
        <f aca="false">IF(A510="","",H510/90)</f>
        <v/>
      </c>
      <c r="Q510" s="5" t="str">
        <f aca="false">IF(A510="","",IFERROR(INDEX(Parâmetros!$C$6:$C$10,MATCH(F510,Parâmetros!$B$6:$B$10,0)),""))</f>
        <v/>
      </c>
      <c r="R510" s="5" t="str">
        <f aca="false">IF(OR(A510="",P510="",Q510=""),"",P510*Q510)</f>
        <v/>
      </c>
      <c r="S510" s="5" t="str">
        <f aca="false">IF(R510="","",MAX(0,R510-G510))</f>
        <v/>
      </c>
      <c r="T510" s="21" t="str">
        <f aca="false">IF(S510="","",S510*K510)</f>
        <v/>
      </c>
      <c r="U510" s="5" t="str">
        <f aca="false">IF(A510="","",IF(J510&gt;Parâmetros!$C$14,"SIM","NAO"))</f>
        <v/>
      </c>
      <c r="V510" s="5" t="str">
        <f aca="false">IF(B510="","",TRIM(LEFT(B510,IFERROR(FIND(" ",B510)-1,LEN(B510)))))</f>
        <v/>
      </c>
      <c r="W510" s="22"/>
      <c r="X510" s="5" t="str">
        <f aca="false">IF(A510="","",IF(W510&lt;&gt;"",W510,V510))</f>
        <v/>
      </c>
      <c r="Y510" s="5" t="str">
        <f aca="false">IF(A510="","",IF(COUNTIFS($X$2:$X$2001,X510,$D$2:$D$2001,"&lt;&gt;"&amp;D510,$C$2:$C$2001,C510)&gt;0,"SIM","NAO"))</f>
        <v/>
      </c>
      <c r="Z510" s="5" t="str">
        <f aca="false">IF(A510="","",IF(J510="","",IFERROR(360/J510,"")))</f>
        <v/>
      </c>
      <c r="AA510" s="5" t="str">
        <f aca="false">IF(A510="","",IF(H510=0,"Parado (sem venda 90d)",IF(Z510&gt;12,"Alto (&gt;12x/ano)",IF(Z510&gt;=4,"Medio (4-12x/ano)","Baixo (&lt;4x/ano)"))))</f>
        <v/>
      </c>
    </row>
    <row r="511" customFormat="false" ht="15" hidden="false" customHeight="true" outlineLevel="0" collapsed="false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18"/>
      <c r="L511" s="19" t="str">
        <f aca="false">IF(A511="","",G511*K511)</f>
        <v/>
      </c>
      <c r="M511" s="20"/>
      <c r="N511" s="6"/>
      <c r="O511" s="6"/>
      <c r="P511" s="5" t="str">
        <f aca="false">IF(A511="","",H511/90)</f>
        <v/>
      </c>
      <c r="Q511" s="5" t="str">
        <f aca="false">IF(A511="","",IFERROR(INDEX(Parâmetros!$C$6:$C$10,MATCH(F511,Parâmetros!$B$6:$B$10,0)),""))</f>
        <v/>
      </c>
      <c r="R511" s="5" t="str">
        <f aca="false">IF(OR(A511="",P511="",Q511=""),"",P511*Q511)</f>
        <v/>
      </c>
      <c r="S511" s="5" t="str">
        <f aca="false">IF(R511="","",MAX(0,R511-G511))</f>
        <v/>
      </c>
      <c r="T511" s="21" t="str">
        <f aca="false">IF(S511="","",S511*K511)</f>
        <v/>
      </c>
      <c r="U511" s="5" t="str">
        <f aca="false">IF(A511="","",IF(J511&gt;Parâmetros!$C$14,"SIM","NAO"))</f>
        <v/>
      </c>
      <c r="V511" s="5" t="str">
        <f aca="false">IF(B511="","",TRIM(LEFT(B511,IFERROR(FIND(" ",B511)-1,LEN(B511)))))</f>
        <v/>
      </c>
      <c r="W511" s="22"/>
      <c r="X511" s="5" t="str">
        <f aca="false">IF(A511="","",IF(W511&lt;&gt;"",W511,V511))</f>
        <v/>
      </c>
      <c r="Y511" s="5" t="str">
        <f aca="false">IF(A511="","",IF(COUNTIFS($X$2:$X$2001,X511,$D$2:$D$2001,"&lt;&gt;"&amp;D511,$C$2:$C$2001,C511)&gt;0,"SIM","NAO"))</f>
        <v/>
      </c>
      <c r="Z511" s="5" t="str">
        <f aca="false">IF(A511="","",IF(J511="","",IFERROR(360/J511,"")))</f>
        <v/>
      </c>
      <c r="AA511" s="5" t="str">
        <f aca="false">IF(A511="","",IF(H511=0,"Parado (sem venda 90d)",IF(Z511&gt;12,"Alto (&gt;12x/ano)",IF(Z511&gt;=4,"Medio (4-12x/ano)","Baixo (&lt;4x/ano)"))))</f>
        <v/>
      </c>
    </row>
    <row r="512" customFormat="false" ht="15" hidden="false" customHeight="true" outlineLevel="0" collapsed="false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18"/>
      <c r="L512" s="19" t="str">
        <f aca="false">IF(A512="","",G512*K512)</f>
        <v/>
      </c>
      <c r="M512" s="20"/>
      <c r="N512" s="6"/>
      <c r="O512" s="6"/>
      <c r="P512" s="5" t="str">
        <f aca="false">IF(A512="","",H512/90)</f>
        <v/>
      </c>
      <c r="Q512" s="5" t="str">
        <f aca="false">IF(A512="","",IFERROR(INDEX(Parâmetros!$C$6:$C$10,MATCH(F512,Parâmetros!$B$6:$B$10,0)),""))</f>
        <v/>
      </c>
      <c r="R512" s="5" t="str">
        <f aca="false">IF(OR(A512="",P512="",Q512=""),"",P512*Q512)</f>
        <v/>
      </c>
      <c r="S512" s="5" t="str">
        <f aca="false">IF(R512="","",MAX(0,R512-G512))</f>
        <v/>
      </c>
      <c r="T512" s="21" t="str">
        <f aca="false">IF(S512="","",S512*K512)</f>
        <v/>
      </c>
      <c r="U512" s="5" t="str">
        <f aca="false">IF(A512="","",IF(J512&gt;Parâmetros!$C$14,"SIM","NAO"))</f>
        <v/>
      </c>
      <c r="V512" s="5" t="str">
        <f aca="false">IF(B512="","",TRIM(LEFT(B512,IFERROR(FIND(" ",B512)-1,LEN(B512)))))</f>
        <v/>
      </c>
      <c r="W512" s="22"/>
      <c r="X512" s="5" t="str">
        <f aca="false">IF(A512="","",IF(W512&lt;&gt;"",W512,V512))</f>
        <v/>
      </c>
      <c r="Y512" s="5" t="str">
        <f aca="false">IF(A512="","",IF(COUNTIFS($X$2:$X$2001,X512,$D$2:$D$2001,"&lt;&gt;"&amp;D512,$C$2:$C$2001,C512)&gt;0,"SIM","NAO"))</f>
        <v/>
      </c>
      <c r="Z512" s="5" t="str">
        <f aca="false">IF(A512="","",IF(J512="","",IFERROR(360/J512,"")))</f>
        <v/>
      </c>
      <c r="AA512" s="5" t="str">
        <f aca="false">IF(A512="","",IF(H512=0,"Parado (sem venda 90d)",IF(Z512&gt;12,"Alto (&gt;12x/ano)",IF(Z512&gt;=4,"Medio (4-12x/ano)","Baixo (&lt;4x/ano)"))))</f>
        <v/>
      </c>
    </row>
    <row r="513" customFormat="false" ht="15" hidden="false" customHeight="true" outlineLevel="0" collapsed="false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18"/>
      <c r="L513" s="19" t="str">
        <f aca="false">IF(A513="","",G513*K513)</f>
        <v/>
      </c>
      <c r="M513" s="20"/>
      <c r="N513" s="6"/>
      <c r="O513" s="6"/>
      <c r="P513" s="5" t="str">
        <f aca="false">IF(A513="","",H513/90)</f>
        <v/>
      </c>
      <c r="Q513" s="5" t="str">
        <f aca="false">IF(A513="","",IFERROR(INDEX(Parâmetros!$C$6:$C$10,MATCH(F513,Parâmetros!$B$6:$B$10,0)),""))</f>
        <v/>
      </c>
      <c r="R513" s="5" t="str">
        <f aca="false">IF(OR(A513="",P513="",Q513=""),"",P513*Q513)</f>
        <v/>
      </c>
      <c r="S513" s="5" t="str">
        <f aca="false">IF(R513="","",MAX(0,R513-G513))</f>
        <v/>
      </c>
      <c r="T513" s="21" t="str">
        <f aca="false">IF(S513="","",S513*K513)</f>
        <v/>
      </c>
      <c r="U513" s="5" t="str">
        <f aca="false">IF(A513="","",IF(J513&gt;Parâmetros!$C$14,"SIM","NAO"))</f>
        <v/>
      </c>
      <c r="V513" s="5" t="str">
        <f aca="false">IF(B513="","",TRIM(LEFT(B513,IFERROR(FIND(" ",B513)-1,LEN(B513)))))</f>
        <v/>
      </c>
      <c r="W513" s="22"/>
      <c r="X513" s="5" t="str">
        <f aca="false">IF(A513="","",IF(W513&lt;&gt;"",W513,V513))</f>
        <v/>
      </c>
      <c r="Y513" s="5" t="str">
        <f aca="false">IF(A513="","",IF(COUNTIFS($X$2:$X$2001,X513,$D$2:$D$2001,"&lt;&gt;"&amp;D513,$C$2:$C$2001,C513)&gt;0,"SIM","NAO"))</f>
        <v/>
      </c>
      <c r="Z513" s="5" t="str">
        <f aca="false">IF(A513="","",IF(J513="","",IFERROR(360/J513,"")))</f>
        <v/>
      </c>
      <c r="AA513" s="5" t="str">
        <f aca="false">IF(A513="","",IF(H513=0,"Parado (sem venda 90d)",IF(Z513&gt;12,"Alto (&gt;12x/ano)",IF(Z513&gt;=4,"Medio (4-12x/ano)","Baixo (&lt;4x/ano)"))))</f>
        <v/>
      </c>
    </row>
    <row r="514" customFormat="false" ht="15" hidden="false" customHeight="true" outlineLevel="0" collapsed="false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18"/>
      <c r="L514" s="19" t="str">
        <f aca="false">IF(A514="","",G514*K514)</f>
        <v/>
      </c>
      <c r="M514" s="20"/>
      <c r="N514" s="6"/>
      <c r="O514" s="6"/>
      <c r="P514" s="5" t="str">
        <f aca="false">IF(A514="","",H514/90)</f>
        <v/>
      </c>
      <c r="Q514" s="5" t="str">
        <f aca="false">IF(A514="","",IFERROR(INDEX(Parâmetros!$C$6:$C$10,MATCH(F514,Parâmetros!$B$6:$B$10,0)),""))</f>
        <v/>
      </c>
      <c r="R514" s="5" t="str">
        <f aca="false">IF(OR(A514="",P514="",Q514=""),"",P514*Q514)</f>
        <v/>
      </c>
      <c r="S514" s="5" t="str">
        <f aca="false">IF(R514="","",MAX(0,R514-G514))</f>
        <v/>
      </c>
      <c r="T514" s="21" t="str">
        <f aca="false">IF(S514="","",S514*K514)</f>
        <v/>
      </c>
      <c r="U514" s="5" t="str">
        <f aca="false">IF(A514="","",IF(J514&gt;Parâmetros!$C$14,"SIM","NAO"))</f>
        <v/>
      </c>
      <c r="V514" s="5" t="str">
        <f aca="false">IF(B514="","",TRIM(LEFT(B514,IFERROR(FIND(" ",B514)-1,LEN(B514)))))</f>
        <v/>
      </c>
      <c r="W514" s="22"/>
      <c r="X514" s="5" t="str">
        <f aca="false">IF(A514="","",IF(W514&lt;&gt;"",W514,V514))</f>
        <v/>
      </c>
      <c r="Y514" s="5" t="str">
        <f aca="false">IF(A514="","",IF(COUNTIFS($X$2:$X$2001,X514,$D$2:$D$2001,"&lt;&gt;"&amp;D514,$C$2:$C$2001,C514)&gt;0,"SIM","NAO"))</f>
        <v/>
      </c>
      <c r="Z514" s="5" t="str">
        <f aca="false">IF(A514="","",IF(J514="","",IFERROR(360/J514,"")))</f>
        <v/>
      </c>
      <c r="AA514" s="5" t="str">
        <f aca="false">IF(A514="","",IF(H514=0,"Parado (sem venda 90d)",IF(Z514&gt;12,"Alto (&gt;12x/ano)",IF(Z514&gt;=4,"Medio (4-12x/ano)","Baixo (&lt;4x/ano)"))))</f>
        <v/>
      </c>
    </row>
    <row r="515" customFormat="false" ht="15" hidden="false" customHeight="true" outlineLevel="0" collapsed="false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18"/>
      <c r="L515" s="19" t="str">
        <f aca="false">IF(A515="","",G515*K515)</f>
        <v/>
      </c>
      <c r="M515" s="20"/>
      <c r="N515" s="6"/>
      <c r="O515" s="6"/>
      <c r="P515" s="5" t="str">
        <f aca="false">IF(A515="","",H515/90)</f>
        <v/>
      </c>
      <c r="Q515" s="5" t="str">
        <f aca="false">IF(A515="","",IFERROR(INDEX(Parâmetros!$C$6:$C$10,MATCH(F515,Parâmetros!$B$6:$B$10,0)),""))</f>
        <v/>
      </c>
      <c r="R515" s="5" t="str">
        <f aca="false">IF(OR(A515="",P515="",Q515=""),"",P515*Q515)</f>
        <v/>
      </c>
      <c r="S515" s="5" t="str">
        <f aca="false">IF(R515="","",MAX(0,R515-G515))</f>
        <v/>
      </c>
      <c r="T515" s="21" t="str">
        <f aca="false">IF(S515="","",S515*K515)</f>
        <v/>
      </c>
      <c r="U515" s="5" t="str">
        <f aca="false">IF(A515="","",IF(J515&gt;Parâmetros!$C$14,"SIM","NAO"))</f>
        <v/>
      </c>
      <c r="V515" s="5" t="str">
        <f aca="false">IF(B515="","",TRIM(LEFT(B515,IFERROR(FIND(" ",B515)-1,LEN(B515)))))</f>
        <v/>
      </c>
      <c r="W515" s="22"/>
      <c r="X515" s="5" t="str">
        <f aca="false">IF(A515="","",IF(W515&lt;&gt;"",W515,V515))</f>
        <v/>
      </c>
      <c r="Y515" s="5" t="str">
        <f aca="false">IF(A515="","",IF(COUNTIFS($X$2:$X$2001,X515,$D$2:$D$2001,"&lt;&gt;"&amp;D515,$C$2:$C$2001,C515)&gt;0,"SIM","NAO"))</f>
        <v/>
      </c>
      <c r="Z515" s="5" t="str">
        <f aca="false">IF(A515="","",IF(J515="","",IFERROR(360/J515,"")))</f>
        <v/>
      </c>
      <c r="AA515" s="5" t="str">
        <f aca="false">IF(A515="","",IF(H515=0,"Parado (sem venda 90d)",IF(Z515&gt;12,"Alto (&gt;12x/ano)",IF(Z515&gt;=4,"Medio (4-12x/ano)","Baixo (&lt;4x/ano)"))))</f>
        <v/>
      </c>
    </row>
    <row r="516" customFormat="false" ht="15" hidden="false" customHeight="true" outlineLevel="0" collapsed="false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18"/>
      <c r="L516" s="19" t="str">
        <f aca="false">IF(A516="","",G516*K516)</f>
        <v/>
      </c>
      <c r="M516" s="20"/>
      <c r="N516" s="6"/>
      <c r="O516" s="6"/>
      <c r="P516" s="5" t="str">
        <f aca="false">IF(A516="","",H516/90)</f>
        <v/>
      </c>
      <c r="Q516" s="5" t="str">
        <f aca="false">IF(A516="","",IFERROR(INDEX(Parâmetros!$C$6:$C$10,MATCH(F516,Parâmetros!$B$6:$B$10,0)),""))</f>
        <v/>
      </c>
      <c r="R516" s="5" t="str">
        <f aca="false">IF(OR(A516="",P516="",Q516=""),"",P516*Q516)</f>
        <v/>
      </c>
      <c r="S516" s="5" t="str">
        <f aca="false">IF(R516="","",MAX(0,R516-G516))</f>
        <v/>
      </c>
      <c r="T516" s="21" t="str">
        <f aca="false">IF(S516="","",S516*K516)</f>
        <v/>
      </c>
      <c r="U516" s="5" t="str">
        <f aca="false">IF(A516="","",IF(J516&gt;Parâmetros!$C$14,"SIM","NAO"))</f>
        <v/>
      </c>
      <c r="V516" s="5" t="str">
        <f aca="false">IF(B516="","",TRIM(LEFT(B516,IFERROR(FIND(" ",B516)-1,LEN(B516)))))</f>
        <v/>
      </c>
      <c r="W516" s="22"/>
      <c r="X516" s="5" t="str">
        <f aca="false">IF(A516="","",IF(W516&lt;&gt;"",W516,V516))</f>
        <v/>
      </c>
      <c r="Y516" s="5" t="str">
        <f aca="false">IF(A516="","",IF(COUNTIFS($X$2:$X$2001,X516,$D$2:$D$2001,"&lt;&gt;"&amp;D516,$C$2:$C$2001,C516)&gt;0,"SIM","NAO"))</f>
        <v/>
      </c>
      <c r="Z516" s="5" t="str">
        <f aca="false">IF(A516="","",IF(J516="","",IFERROR(360/J516,"")))</f>
        <v/>
      </c>
      <c r="AA516" s="5" t="str">
        <f aca="false">IF(A516="","",IF(H516=0,"Parado (sem venda 90d)",IF(Z516&gt;12,"Alto (&gt;12x/ano)",IF(Z516&gt;=4,"Medio (4-12x/ano)","Baixo (&lt;4x/ano)"))))</f>
        <v/>
      </c>
    </row>
    <row r="517" customFormat="false" ht="15" hidden="false" customHeight="true" outlineLevel="0" collapsed="false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18"/>
      <c r="L517" s="19" t="str">
        <f aca="false">IF(A517="","",G517*K517)</f>
        <v/>
      </c>
      <c r="M517" s="20"/>
      <c r="N517" s="6"/>
      <c r="O517" s="6"/>
      <c r="P517" s="5" t="str">
        <f aca="false">IF(A517="","",H517/90)</f>
        <v/>
      </c>
      <c r="Q517" s="5" t="str">
        <f aca="false">IF(A517="","",IFERROR(INDEX(Parâmetros!$C$6:$C$10,MATCH(F517,Parâmetros!$B$6:$B$10,0)),""))</f>
        <v/>
      </c>
      <c r="R517" s="5" t="str">
        <f aca="false">IF(OR(A517="",P517="",Q517=""),"",P517*Q517)</f>
        <v/>
      </c>
      <c r="S517" s="5" t="str">
        <f aca="false">IF(R517="","",MAX(0,R517-G517))</f>
        <v/>
      </c>
      <c r="T517" s="21" t="str">
        <f aca="false">IF(S517="","",S517*K517)</f>
        <v/>
      </c>
      <c r="U517" s="5" t="str">
        <f aca="false">IF(A517="","",IF(J517&gt;Parâmetros!$C$14,"SIM","NAO"))</f>
        <v/>
      </c>
      <c r="V517" s="5" t="str">
        <f aca="false">IF(B517="","",TRIM(LEFT(B517,IFERROR(FIND(" ",B517)-1,LEN(B517)))))</f>
        <v/>
      </c>
      <c r="W517" s="22"/>
      <c r="X517" s="5" t="str">
        <f aca="false">IF(A517="","",IF(W517&lt;&gt;"",W517,V517))</f>
        <v/>
      </c>
      <c r="Y517" s="5" t="str">
        <f aca="false">IF(A517="","",IF(COUNTIFS($X$2:$X$2001,X517,$D$2:$D$2001,"&lt;&gt;"&amp;D517,$C$2:$C$2001,C517)&gt;0,"SIM","NAO"))</f>
        <v/>
      </c>
      <c r="Z517" s="5" t="str">
        <f aca="false">IF(A517="","",IF(J517="","",IFERROR(360/J517,"")))</f>
        <v/>
      </c>
      <c r="AA517" s="5" t="str">
        <f aca="false">IF(A517="","",IF(H517=0,"Parado (sem venda 90d)",IF(Z517&gt;12,"Alto (&gt;12x/ano)",IF(Z517&gt;=4,"Medio (4-12x/ano)","Baixo (&lt;4x/ano)"))))</f>
        <v/>
      </c>
    </row>
    <row r="518" customFormat="false" ht="15" hidden="false" customHeight="true" outlineLevel="0" collapsed="false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18"/>
      <c r="L518" s="19" t="str">
        <f aca="false">IF(A518="","",G518*K518)</f>
        <v/>
      </c>
      <c r="M518" s="20"/>
      <c r="N518" s="6"/>
      <c r="O518" s="6"/>
      <c r="P518" s="5" t="str">
        <f aca="false">IF(A518="","",H518/90)</f>
        <v/>
      </c>
      <c r="Q518" s="5" t="str">
        <f aca="false">IF(A518="","",IFERROR(INDEX(Parâmetros!$C$6:$C$10,MATCH(F518,Parâmetros!$B$6:$B$10,0)),""))</f>
        <v/>
      </c>
      <c r="R518" s="5" t="str">
        <f aca="false">IF(OR(A518="",P518="",Q518=""),"",P518*Q518)</f>
        <v/>
      </c>
      <c r="S518" s="5" t="str">
        <f aca="false">IF(R518="","",MAX(0,R518-G518))</f>
        <v/>
      </c>
      <c r="T518" s="21" t="str">
        <f aca="false">IF(S518="","",S518*K518)</f>
        <v/>
      </c>
      <c r="U518" s="5" t="str">
        <f aca="false">IF(A518="","",IF(J518&gt;Parâmetros!$C$14,"SIM","NAO"))</f>
        <v/>
      </c>
      <c r="V518" s="5" t="str">
        <f aca="false">IF(B518="","",TRIM(LEFT(B518,IFERROR(FIND(" ",B518)-1,LEN(B518)))))</f>
        <v/>
      </c>
      <c r="W518" s="22"/>
      <c r="X518" s="5" t="str">
        <f aca="false">IF(A518="","",IF(W518&lt;&gt;"",W518,V518))</f>
        <v/>
      </c>
      <c r="Y518" s="5" t="str">
        <f aca="false">IF(A518="","",IF(COUNTIFS($X$2:$X$2001,X518,$D$2:$D$2001,"&lt;&gt;"&amp;D518,$C$2:$C$2001,C518)&gt;0,"SIM","NAO"))</f>
        <v/>
      </c>
      <c r="Z518" s="5" t="str">
        <f aca="false">IF(A518="","",IF(J518="","",IFERROR(360/J518,"")))</f>
        <v/>
      </c>
      <c r="AA518" s="5" t="str">
        <f aca="false">IF(A518="","",IF(H518=0,"Parado (sem venda 90d)",IF(Z518&gt;12,"Alto (&gt;12x/ano)",IF(Z518&gt;=4,"Medio (4-12x/ano)","Baixo (&lt;4x/ano)"))))</f>
        <v/>
      </c>
    </row>
    <row r="519" customFormat="false" ht="15" hidden="false" customHeight="true" outlineLevel="0" collapsed="false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18"/>
      <c r="L519" s="19" t="str">
        <f aca="false">IF(A519="","",G519*K519)</f>
        <v/>
      </c>
      <c r="M519" s="20"/>
      <c r="N519" s="6"/>
      <c r="O519" s="6"/>
      <c r="P519" s="5" t="str">
        <f aca="false">IF(A519="","",H519/90)</f>
        <v/>
      </c>
      <c r="Q519" s="5" t="str">
        <f aca="false">IF(A519="","",IFERROR(INDEX(Parâmetros!$C$6:$C$10,MATCH(F519,Parâmetros!$B$6:$B$10,0)),""))</f>
        <v/>
      </c>
      <c r="R519" s="5" t="str">
        <f aca="false">IF(OR(A519="",P519="",Q519=""),"",P519*Q519)</f>
        <v/>
      </c>
      <c r="S519" s="5" t="str">
        <f aca="false">IF(R519="","",MAX(0,R519-G519))</f>
        <v/>
      </c>
      <c r="T519" s="21" t="str">
        <f aca="false">IF(S519="","",S519*K519)</f>
        <v/>
      </c>
      <c r="U519" s="5" t="str">
        <f aca="false">IF(A519="","",IF(J519&gt;Parâmetros!$C$14,"SIM","NAO"))</f>
        <v/>
      </c>
      <c r="V519" s="5" t="str">
        <f aca="false">IF(B519="","",TRIM(LEFT(B519,IFERROR(FIND(" ",B519)-1,LEN(B519)))))</f>
        <v/>
      </c>
      <c r="W519" s="22"/>
      <c r="X519" s="5" t="str">
        <f aca="false">IF(A519="","",IF(W519&lt;&gt;"",W519,V519))</f>
        <v/>
      </c>
      <c r="Y519" s="5" t="str">
        <f aca="false">IF(A519="","",IF(COUNTIFS($X$2:$X$2001,X519,$D$2:$D$2001,"&lt;&gt;"&amp;D519,$C$2:$C$2001,C519)&gt;0,"SIM","NAO"))</f>
        <v/>
      </c>
      <c r="Z519" s="5" t="str">
        <f aca="false">IF(A519="","",IF(J519="","",IFERROR(360/J519,"")))</f>
        <v/>
      </c>
      <c r="AA519" s="5" t="str">
        <f aca="false">IF(A519="","",IF(H519=0,"Parado (sem venda 90d)",IF(Z519&gt;12,"Alto (&gt;12x/ano)",IF(Z519&gt;=4,"Medio (4-12x/ano)","Baixo (&lt;4x/ano)"))))</f>
        <v/>
      </c>
    </row>
    <row r="520" customFormat="false" ht="15" hidden="false" customHeight="true" outlineLevel="0" collapsed="false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18"/>
      <c r="L520" s="19" t="str">
        <f aca="false">IF(A520="","",G520*K520)</f>
        <v/>
      </c>
      <c r="M520" s="20"/>
      <c r="N520" s="6"/>
      <c r="O520" s="6"/>
      <c r="P520" s="5" t="str">
        <f aca="false">IF(A520="","",H520/90)</f>
        <v/>
      </c>
      <c r="Q520" s="5" t="str">
        <f aca="false">IF(A520="","",IFERROR(INDEX(Parâmetros!$C$6:$C$10,MATCH(F520,Parâmetros!$B$6:$B$10,0)),""))</f>
        <v/>
      </c>
      <c r="R520" s="5" t="str">
        <f aca="false">IF(OR(A520="",P520="",Q520=""),"",P520*Q520)</f>
        <v/>
      </c>
      <c r="S520" s="5" t="str">
        <f aca="false">IF(R520="","",MAX(0,R520-G520))</f>
        <v/>
      </c>
      <c r="T520" s="21" t="str">
        <f aca="false">IF(S520="","",S520*K520)</f>
        <v/>
      </c>
      <c r="U520" s="5" t="str">
        <f aca="false">IF(A520="","",IF(J520&gt;Parâmetros!$C$14,"SIM","NAO"))</f>
        <v/>
      </c>
      <c r="V520" s="5" t="str">
        <f aca="false">IF(B520="","",TRIM(LEFT(B520,IFERROR(FIND(" ",B520)-1,LEN(B520)))))</f>
        <v/>
      </c>
      <c r="W520" s="22"/>
      <c r="X520" s="5" t="str">
        <f aca="false">IF(A520="","",IF(W520&lt;&gt;"",W520,V520))</f>
        <v/>
      </c>
      <c r="Y520" s="5" t="str">
        <f aca="false">IF(A520="","",IF(COUNTIFS($X$2:$X$2001,X520,$D$2:$D$2001,"&lt;&gt;"&amp;D520,$C$2:$C$2001,C520)&gt;0,"SIM","NAO"))</f>
        <v/>
      </c>
      <c r="Z520" s="5" t="str">
        <f aca="false">IF(A520="","",IF(J520="","",IFERROR(360/J520,"")))</f>
        <v/>
      </c>
      <c r="AA520" s="5" t="str">
        <f aca="false">IF(A520="","",IF(H520=0,"Parado (sem venda 90d)",IF(Z520&gt;12,"Alto (&gt;12x/ano)",IF(Z520&gt;=4,"Medio (4-12x/ano)","Baixo (&lt;4x/ano)"))))</f>
        <v/>
      </c>
    </row>
    <row r="521" customFormat="false" ht="15" hidden="false" customHeight="true" outlineLevel="0" collapsed="false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18"/>
      <c r="L521" s="19" t="str">
        <f aca="false">IF(A521="","",G521*K521)</f>
        <v/>
      </c>
      <c r="M521" s="20"/>
      <c r="N521" s="6"/>
      <c r="O521" s="6"/>
      <c r="P521" s="5" t="str">
        <f aca="false">IF(A521="","",H521/90)</f>
        <v/>
      </c>
      <c r="Q521" s="5" t="str">
        <f aca="false">IF(A521="","",IFERROR(INDEX(Parâmetros!$C$6:$C$10,MATCH(F521,Parâmetros!$B$6:$B$10,0)),""))</f>
        <v/>
      </c>
      <c r="R521" s="5" t="str">
        <f aca="false">IF(OR(A521="",P521="",Q521=""),"",P521*Q521)</f>
        <v/>
      </c>
      <c r="S521" s="5" t="str">
        <f aca="false">IF(R521="","",MAX(0,R521-G521))</f>
        <v/>
      </c>
      <c r="T521" s="21" t="str">
        <f aca="false">IF(S521="","",S521*K521)</f>
        <v/>
      </c>
      <c r="U521" s="5" t="str">
        <f aca="false">IF(A521="","",IF(J521&gt;Parâmetros!$C$14,"SIM","NAO"))</f>
        <v/>
      </c>
      <c r="V521" s="5" t="str">
        <f aca="false">IF(B521="","",TRIM(LEFT(B521,IFERROR(FIND(" ",B521)-1,LEN(B521)))))</f>
        <v/>
      </c>
      <c r="W521" s="22"/>
      <c r="X521" s="5" t="str">
        <f aca="false">IF(A521="","",IF(W521&lt;&gt;"",W521,V521))</f>
        <v/>
      </c>
      <c r="Y521" s="5" t="str">
        <f aca="false">IF(A521="","",IF(COUNTIFS($X$2:$X$2001,X521,$D$2:$D$2001,"&lt;&gt;"&amp;D521,$C$2:$C$2001,C521)&gt;0,"SIM","NAO"))</f>
        <v/>
      </c>
      <c r="Z521" s="5" t="str">
        <f aca="false">IF(A521="","",IF(J521="","",IFERROR(360/J521,"")))</f>
        <v/>
      </c>
      <c r="AA521" s="5" t="str">
        <f aca="false">IF(A521="","",IF(H521=0,"Parado (sem venda 90d)",IF(Z521&gt;12,"Alto (&gt;12x/ano)",IF(Z521&gt;=4,"Medio (4-12x/ano)","Baixo (&lt;4x/ano)"))))</f>
        <v/>
      </c>
    </row>
    <row r="522" customFormat="false" ht="15" hidden="false" customHeight="true" outlineLevel="0" collapsed="false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18"/>
      <c r="L522" s="19" t="str">
        <f aca="false">IF(A522="","",G522*K522)</f>
        <v/>
      </c>
      <c r="M522" s="20"/>
      <c r="N522" s="6"/>
      <c r="O522" s="6"/>
      <c r="P522" s="5" t="str">
        <f aca="false">IF(A522="","",H522/90)</f>
        <v/>
      </c>
      <c r="Q522" s="5" t="str">
        <f aca="false">IF(A522="","",IFERROR(INDEX(Parâmetros!$C$6:$C$10,MATCH(F522,Parâmetros!$B$6:$B$10,0)),""))</f>
        <v/>
      </c>
      <c r="R522" s="5" t="str">
        <f aca="false">IF(OR(A522="",P522="",Q522=""),"",P522*Q522)</f>
        <v/>
      </c>
      <c r="S522" s="5" t="str">
        <f aca="false">IF(R522="","",MAX(0,R522-G522))</f>
        <v/>
      </c>
      <c r="T522" s="21" t="str">
        <f aca="false">IF(S522="","",S522*K522)</f>
        <v/>
      </c>
      <c r="U522" s="5" t="str">
        <f aca="false">IF(A522="","",IF(J522&gt;Parâmetros!$C$14,"SIM","NAO"))</f>
        <v/>
      </c>
      <c r="V522" s="5" t="str">
        <f aca="false">IF(B522="","",TRIM(LEFT(B522,IFERROR(FIND(" ",B522)-1,LEN(B522)))))</f>
        <v/>
      </c>
      <c r="W522" s="22"/>
      <c r="X522" s="5" t="str">
        <f aca="false">IF(A522="","",IF(W522&lt;&gt;"",W522,V522))</f>
        <v/>
      </c>
      <c r="Y522" s="5" t="str">
        <f aca="false">IF(A522="","",IF(COUNTIFS($X$2:$X$2001,X522,$D$2:$D$2001,"&lt;&gt;"&amp;D522,$C$2:$C$2001,C522)&gt;0,"SIM","NAO"))</f>
        <v/>
      </c>
      <c r="Z522" s="5" t="str">
        <f aca="false">IF(A522="","",IF(J522="","",IFERROR(360/J522,"")))</f>
        <v/>
      </c>
      <c r="AA522" s="5" t="str">
        <f aca="false">IF(A522="","",IF(H522=0,"Parado (sem venda 90d)",IF(Z522&gt;12,"Alto (&gt;12x/ano)",IF(Z522&gt;=4,"Medio (4-12x/ano)","Baixo (&lt;4x/ano)"))))</f>
        <v/>
      </c>
    </row>
    <row r="523" customFormat="false" ht="15" hidden="false" customHeight="true" outlineLevel="0" collapsed="false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18"/>
      <c r="L523" s="19" t="str">
        <f aca="false">IF(A523="","",G523*K523)</f>
        <v/>
      </c>
      <c r="M523" s="20"/>
      <c r="N523" s="6"/>
      <c r="O523" s="6"/>
      <c r="P523" s="5" t="str">
        <f aca="false">IF(A523="","",H523/90)</f>
        <v/>
      </c>
      <c r="Q523" s="5" t="str">
        <f aca="false">IF(A523="","",IFERROR(INDEX(Parâmetros!$C$6:$C$10,MATCH(F523,Parâmetros!$B$6:$B$10,0)),""))</f>
        <v/>
      </c>
      <c r="R523" s="5" t="str">
        <f aca="false">IF(OR(A523="",P523="",Q523=""),"",P523*Q523)</f>
        <v/>
      </c>
      <c r="S523" s="5" t="str">
        <f aca="false">IF(R523="","",MAX(0,R523-G523))</f>
        <v/>
      </c>
      <c r="T523" s="21" t="str">
        <f aca="false">IF(S523="","",S523*K523)</f>
        <v/>
      </c>
      <c r="U523" s="5" t="str">
        <f aca="false">IF(A523="","",IF(J523&gt;Parâmetros!$C$14,"SIM","NAO"))</f>
        <v/>
      </c>
      <c r="V523" s="5" t="str">
        <f aca="false">IF(B523="","",TRIM(LEFT(B523,IFERROR(FIND(" ",B523)-1,LEN(B523)))))</f>
        <v/>
      </c>
      <c r="W523" s="22"/>
      <c r="X523" s="5" t="str">
        <f aca="false">IF(A523="","",IF(W523&lt;&gt;"",W523,V523))</f>
        <v/>
      </c>
      <c r="Y523" s="5" t="str">
        <f aca="false">IF(A523="","",IF(COUNTIFS($X$2:$X$2001,X523,$D$2:$D$2001,"&lt;&gt;"&amp;D523,$C$2:$C$2001,C523)&gt;0,"SIM","NAO"))</f>
        <v/>
      </c>
      <c r="Z523" s="5" t="str">
        <f aca="false">IF(A523="","",IF(J523="","",IFERROR(360/J523,"")))</f>
        <v/>
      </c>
      <c r="AA523" s="5" t="str">
        <f aca="false">IF(A523="","",IF(H523=0,"Parado (sem venda 90d)",IF(Z523&gt;12,"Alto (&gt;12x/ano)",IF(Z523&gt;=4,"Medio (4-12x/ano)","Baixo (&lt;4x/ano)"))))</f>
        <v/>
      </c>
    </row>
    <row r="524" customFormat="false" ht="15" hidden="false" customHeight="true" outlineLevel="0" collapsed="false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18"/>
      <c r="L524" s="19" t="str">
        <f aca="false">IF(A524="","",G524*K524)</f>
        <v/>
      </c>
      <c r="M524" s="20"/>
      <c r="N524" s="6"/>
      <c r="O524" s="6"/>
      <c r="P524" s="5" t="str">
        <f aca="false">IF(A524="","",H524/90)</f>
        <v/>
      </c>
      <c r="Q524" s="5" t="str">
        <f aca="false">IF(A524="","",IFERROR(INDEX(Parâmetros!$C$6:$C$10,MATCH(F524,Parâmetros!$B$6:$B$10,0)),""))</f>
        <v/>
      </c>
      <c r="R524" s="5" t="str">
        <f aca="false">IF(OR(A524="",P524="",Q524=""),"",P524*Q524)</f>
        <v/>
      </c>
      <c r="S524" s="5" t="str">
        <f aca="false">IF(R524="","",MAX(0,R524-G524))</f>
        <v/>
      </c>
      <c r="T524" s="21" t="str">
        <f aca="false">IF(S524="","",S524*K524)</f>
        <v/>
      </c>
      <c r="U524" s="5" t="str">
        <f aca="false">IF(A524="","",IF(J524&gt;Parâmetros!$C$14,"SIM","NAO"))</f>
        <v/>
      </c>
      <c r="V524" s="5" t="str">
        <f aca="false">IF(B524="","",TRIM(LEFT(B524,IFERROR(FIND(" ",B524)-1,LEN(B524)))))</f>
        <v/>
      </c>
      <c r="W524" s="22"/>
      <c r="X524" s="5" t="str">
        <f aca="false">IF(A524="","",IF(W524&lt;&gt;"",W524,V524))</f>
        <v/>
      </c>
      <c r="Y524" s="5" t="str">
        <f aca="false">IF(A524="","",IF(COUNTIFS($X$2:$X$2001,X524,$D$2:$D$2001,"&lt;&gt;"&amp;D524,$C$2:$C$2001,C524)&gt;0,"SIM","NAO"))</f>
        <v/>
      </c>
      <c r="Z524" s="5" t="str">
        <f aca="false">IF(A524="","",IF(J524="","",IFERROR(360/J524,"")))</f>
        <v/>
      </c>
      <c r="AA524" s="5" t="str">
        <f aca="false">IF(A524="","",IF(H524=0,"Parado (sem venda 90d)",IF(Z524&gt;12,"Alto (&gt;12x/ano)",IF(Z524&gt;=4,"Medio (4-12x/ano)","Baixo (&lt;4x/ano)"))))</f>
        <v/>
      </c>
    </row>
    <row r="525" customFormat="false" ht="15" hidden="false" customHeight="true" outlineLevel="0" collapsed="false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18"/>
      <c r="L525" s="19" t="str">
        <f aca="false">IF(A525="","",G525*K525)</f>
        <v/>
      </c>
      <c r="M525" s="20"/>
      <c r="N525" s="6"/>
      <c r="O525" s="6"/>
      <c r="P525" s="5" t="str">
        <f aca="false">IF(A525="","",H525/90)</f>
        <v/>
      </c>
      <c r="Q525" s="5" t="str">
        <f aca="false">IF(A525="","",IFERROR(INDEX(Parâmetros!$C$6:$C$10,MATCH(F525,Parâmetros!$B$6:$B$10,0)),""))</f>
        <v/>
      </c>
      <c r="R525" s="5" t="str">
        <f aca="false">IF(OR(A525="",P525="",Q525=""),"",P525*Q525)</f>
        <v/>
      </c>
      <c r="S525" s="5" t="str">
        <f aca="false">IF(R525="","",MAX(0,R525-G525))</f>
        <v/>
      </c>
      <c r="T525" s="21" t="str">
        <f aca="false">IF(S525="","",S525*K525)</f>
        <v/>
      </c>
      <c r="U525" s="5" t="str">
        <f aca="false">IF(A525="","",IF(J525&gt;Parâmetros!$C$14,"SIM","NAO"))</f>
        <v/>
      </c>
      <c r="V525" s="5" t="str">
        <f aca="false">IF(B525="","",TRIM(LEFT(B525,IFERROR(FIND(" ",B525)-1,LEN(B525)))))</f>
        <v/>
      </c>
      <c r="W525" s="22"/>
      <c r="X525" s="5" t="str">
        <f aca="false">IF(A525="","",IF(W525&lt;&gt;"",W525,V525))</f>
        <v/>
      </c>
      <c r="Y525" s="5" t="str">
        <f aca="false">IF(A525="","",IF(COUNTIFS($X$2:$X$2001,X525,$D$2:$D$2001,"&lt;&gt;"&amp;D525,$C$2:$C$2001,C525)&gt;0,"SIM","NAO"))</f>
        <v/>
      </c>
      <c r="Z525" s="5" t="str">
        <f aca="false">IF(A525="","",IF(J525="","",IFERROR(360/J525,"")))</f>
        <v/>
      </c>
      <c r="AA525" s="5" t="str">
        <f aca="false">IF(A525="","",IF(H525=0,"Parado (sem venda 90d)",IF(Z525&gt;12,"Alto (&gt;12x/ano)",IF(Z525&gt;=4,"Medio (4-12x/ano)","Baixo (&lt;4x/ano)"))))</f>
        <v/>
      </c>
    </row>
    <row r="526" customFormat="false" ht="15" hidden="false" customHeight="true" outlineLevel="0" collapsed="false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18"/>
      <c r="L526" s="19" t="str">
        <f aca="false">IF(A526="","",G526*K526)</f>
        <v/>
      </c>
      <c r="M526" s="20"/>
      <c r="N526" s="6"/>
      <c r="O526" s="6"/>
      <c r="P526" s="5" t="str">
        <f aca="false">IF(A526="","",H526/90)</f>
        <v/>
      </c>
      <c r="Q526" s="5" t="str">
        <f aca="false">IF(A526="","",IFERROR(INDEX(Parâmetros!$C$6:$C$10,MATCH(F526,Parâmetros!$B$6:$B$10,0)),""))</f>
        <v/>
      </c>
      <c r="R526" s="5" t="str">
        <f aca="false">IF(OR(A526="",P526="",Q526=""),"",P526*Q526)</f>
        <v/>
      </c>
      <c r="S526" s="5" t="str">
        <f aca="false">IF(R526="","",MAX(0,R526-G526))</f>
        <v/>
      </c>
      <c r="T526" s="21" t="str">
        <f aca="false">IF(S526="","",S526*K526)</f>
        <v/>
      </c>
      <c r="U526" s="5" t="str">
        <f aca="false">IF(A526="","",IF(J526&gt;Parâmetros!$C$14,"SIM","NAO"))</f>
        <v/>
      </c>
      <c r="V526" s="5" t="str">
        <f aca="false">IF(B526="","",TRIM(LEFT(B526,IFERROR(FIND(" ",B526)-1,LEN(B526)))))</f>
        <v/>
      </c>
      <c r="W526" s="22"/>
      <c r="X526" s="5" t="str">
        <f aca="false">IF(A526="","",IF(W526&lt;&gt;"",W526,V526))</f>
        <v/>
      </c>
      <c r="Y526" s="5" t="str">
        <f aca="false">IF(A526="","",IF(COUNTIFS($X$2:$X$2001,X526,$D$2:$D$2001,"&lt;&gt;"&amp;D526,$C$2:$C$2001,C526)&gt;0,"SIM","NAO"))</f>
        <v/>
      </c>
      <c r="Z526" s="5" t="str">
        <f aca="false">IF(A526="","",IF(J526="","",IFERROR(360/J526,"")))</f>
        <v/>
      </c>
      <c r="AA526" s="5" t="str">
        <f aca="false">IF(A526="","",IF(H526=0,"Parado (sem venda 90d)",IF(Z526&gt;12,"Alto (&gt;12x/ano)",IF(Z526&gt;=4,"Medio (4-12x/ano)","Baixo (&lt;4x/ano)"))))</f>
        <v/>
      </c>
    </row>
    <row r="527" customFormat="false" ht="15" hidden="false" customHeight="true" outlineLevel="0" collapsed="false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18"/>
      <c r="L527" s="19" t="str">
        <f aca="false">IF(A527="","",G527*K527)</f>
        <v/>
      </c>
      <c r="M527" s="20"/>
      <c r="N527" s="6"/>
      <c r="O527" s="6"/>
      <c r="P527" s="5" t="str">
        <f aca="false">IF(A527="","",H527/90)</f>
        <v/>
      </c>
      <c r="Q527" s="5" t="str">
        <f aca="false">IF(A527="","",IFERROR(INDEX(Parâmetros!$C$6:$C$10,MATCH(F527,Parâmetros!$B$6:$B$10,0)),""))</f>
        <v/>
      </c>
      <c r="R527" s="5" t="str">
        <f aca="false">IF(OR(A527="",P527="",Q527=""),"",P527*Q527)</f>
        <v/>
      </c>
      <c r="S527" s="5" t="str">
        <f aca="false">IF(R527="","",MAX(0,R527-G527))</f>
        <v/>
      </c>
      <c r="T527" s="21" t="str">
        <f aca="false">IF(S527="","",S527*K527)</f>
        <v/>
      </c>
      <c r="U527" s="5" t="str">
        <f aca="false">IF(A527="","",IF(J527&gt;Parâmetros!$C$14,"SIM","NAO"))</f>
        <v/>
      </c>
      <c r="V527" s="5" t="str">
        <f aca="false">IF(B527="","",TRIM(LEFT(B527,IFERROR(FIND(" ",B527)-1,LEN(B527)))))</f>
        <v/>
      </c>
      <c r="W527" s="22"/>
      <c r="X527" s="5" t="str">
        <f aca="false">IF(A527="","",IF(W527&lt;&gt;"",W527,V527))</f>
        <v/>
      </c>
      <c r="Y527" s="5" t="str">
        <f aca="false">IF(A527="","",IF(COUNTIFS($X$2:$X$2001,X527,$D$2:$D$2001,"&lt;&gt;"&amp;D527,$C$2:$C$2001,C527)&gt;0,"SIM","NAO"))</f>
        <v/>
      </c>
      <c r="Z527" s="5" t="str">
        <f aca="false">IF(A527="","",IF(J527="","",IFERROR(360/J527,"")))</f>
        <v/>
      </c>
      <c r="AA527" s="5" t="str">
        <f aca="false">IF(A527="","",IF(H527=0,"Parado (sem venda 90d)",IF(Z527&gt;12,"Alto (&gt;12x/ano)",IF(Z527&gt;=4,"Medio (4-12x/ano)","Baixo (&lt;4x/ano)"))))</f>
        <v/>
      </c>
    </row>
    <row r="528" customFormat="false" ht="15" hidden="false" customHeight="true" outlineLevel="0" collapsed="false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18"/>
      <c r="L528" s="19" t="str">
        <f aca="false">IF(A528="","",G528*K528)</f>
        <v/>
      </c>
      <c r="M528" s="20"/>
      <c r="N528" s="6"/>
      <c r="O528" s="6"/>
      <c r="P528" s="5" t="str">
        <f aca="false">IF(A528="","",H528/90)</f>
        <v/>
      </c>
      <c r="Q528" s="5" t="str">
        <f aca="false">IF(A528="","",IFERROR(INDEX(Parâmetros!$C$6:$C$10,MATCH(F528,Parâmetros!$B$6:$B$10,0)),""))</f>
        <v/>
      </c>
      <c r="R528" s="5" t="str">
        <f aca="false">IF(OR(A528="",P528="",Q528=""),"",P528*Q528)</f>
        <v/>
      </c>
      <c r="S528" s="5" t="str">
        <f aca="false">IF(R528="","",MAX(0,R528-G528))</f>
        <v/>
      </c>
      <c r="T528" s="21" t="str">
        <f aca="false">IF(S528="","",S528*K528)</f>
        <v/>
      </c>
      <c r="U528" s="5" t="str">
        <f aca="false">IF(A528="","",IF(J528&gt;Parâmetros!$C$14,"SIM","NAO"))</f>
        <v/>
      </c>
      <c r="V528" s="5" t="str">
        <f aca="false">IF(B528="","",TRIM(LEFT(B528,IFERROR(FIND(" ",B528)-1,LEN(B528)))))</f>
        <v/>
      </c>
      <c r="W528" s="22"/>
      <c r="X528" s="5" t="str">
        <f aca="false">IF(A528="","",IF(W528&lt;&gt;"",W528,V528))</f>
        <v/>
      </c>
      <c r="Y528" s="5" t="str">
        <f aca="false">IF(A528="","",IF(COUNTIFS($X$2:$X$2001,X528,$D$2:$D$2001,"&lt;&gt;"&amp;D528,$C$2:$C$2001,C528)&gt;0,"SIM","NAO"))</f>
        <v/>
      </c>
      <c r="Z528" s="5" t="str">
        <f aca="false">IF(A528="","",IF(J528="","",IFERROR(360/J528,"")))</f>
        <v/>
      </c>
      <c r="AA528" s="5" t="str">
        <f aca="false">IF(A528="","",IF(H528=0,"Parado (sem venda 90d)",IF(Z528&gt;12,"Alto (&gt;12x/ano)",IF(Z528&gt;=4,"Medio (4-12x/ano)","Baixo (&lt;4x/ano)"))))</f>
        <v/>
      </c>
    </row>
    <row r="529" customFormat="false" ht="15" hidden="false" customHeight="true" outlineLevel="0" collapsed="false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18"/>
      <c r="L529" s="19" t="str">
        <f aca="false">IF(A529="","",G529*K529)</f>
        <v/>
      </c>
      <c r="M529" s="20"/>
      <c r="N529" s="6"/>
      <c r="O529" s="6"/>
      <c r="P529" s="5" t="str">
        <f aca="false">IF(A529="","",H529/90)</f>
        <v/>
      </c>
      <c r="Q529" s="5" t="str">
        <f aca="false">IF(A529="","",IFERROR(INDEX(Parâmetros!$C$6:$C$10,MATCH(F529,Parâmetros!$B$6:$B$10,0)),""))</f>
        <v/>
      </c>
      <c r="R529" s="5" t="str">
        <f aca="false">IF(OR(A529="",P529="",Q529=""),"",P529*Q529)</f>
        <v/>
      </c>
      <c r="S529" s="5" t="str">
        <f aca="false">IF(R529="","",MAX(0,R529-G529))</f>
        <v/>
      </c>
      <c r="T529" s="21" t="str">
        <f aca="false">IF(S529="","",S529*K529)</f>
        <v/>
      </c>
      <c r="U529" s="5" t="str">
        <f aca="false">IF(A529="","",IF(J529&gt;Parâmetros!$C$14,"SIM","NAO"))</f>
        <v/>
      </c>
      <c r="V529" s="5" t="str">
        <f aca="false">IF(B529="","",TRIM(LEFT(B529,IFERROR(FIND(" ",B529)-1,LEN(B529)))))</f>
        <v/>
      </c>
      <c r="W529" s="22"/>
      <c r="X529" s="5" t="str">
        <f aca="false">IF(A529="","",IF(W529&lt;&gt;"",W529,V529))</f>
        <v/>
      </c>
      <c r="Y529" s="5" t="str">
        <f aca="false">IF(A529="","",IF(COUNTIFS($X$2:$X$2001,X529,$D$2:$D$2001,"&lt;&gt;"&amp;D529,$C$2:$C$2001,C529)&gt;0,"SIM","NAO"))</f>
        <v/>
      </c>
      <c r="Z529" s="5" t="str">
        <f aca="false">IF(A529="","",IF(J529="","",IFERROR(360/J529,"")))</f>
        <v/>
      </c>
      <c r="AA529" s="5" t="str">
        <f aca="false">IF(A529="","",IF(H529=0,"Parado (sem venda 90d)",IF(Z529&gt;12,"Alto (&gt;12x/ano)",IF(Z529&gt;=4,"Medio (4-12x/ano)","Baixo (&lt;4x/ano)"))))</f>
        <v/>
      </c>
    </row>
    <row r="530" customFormat="false" ht="15" hidden="false" customHeight="true" outlineLevel="0" collapsed="false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18"/>
      <c r="L530" s="19" t="str">
        <f aca="false">IF(A530="","",G530*K530)</f>
        <v/>
      </c>
      <c r="M530" s="20"/>
      <c r="N530" s="6"/>
      <c r="O530" s="6"/>
      <c r="P530" s="5" t="str">
        <f aca="false">IF(A530="","",H530/90)</f>
        <v/>
      </c>
      <c r="Q530" s="5" t="str">
        <f aca="false">IF(A530="","",IFERROR(INDEX(Parâmetros!$C$6:$C$10,MATCH(F530,Parâmetros!$B$6:$B$10,0)),""))</f>
        <v/>
      </c>
      <c r="R530" s="5" t="str">
        <f aca="false">IF(OR(A530="",P530="",Q530=""),"",P530*Q530)</f>
        <v/>
      </c>
      <c r="S530" s="5" t="str">
        <f aca="false">IF(R530="","",MAX(0,R530-G530))</f>
        <v/>
      </c>
      <c r="T530" s="21" t="str">
        <f aca="false">IF(S530="","",S530*K530)</f>
        <v/>
      </c>
      <c r="U530" s="5" t="str">
        <f aca="false">IF(A530="","",IF(J530&gt;Parâmetros!$C$14,"SIM","NAO"))</f>
        <v/>
      </c>
      <c r="V530" s="5" t="str">
        <f aca="false">IF(B530="","",TRIM(LEFT(B530,IFERROR(FIND(" ",B530)-1,LEN(B530)))))</f>
        <v/>
      </c>
      <c r="W530" s="22"/>
      <c r="X530" s="5" t="str">
        <f aca="false">IF(A530="","",IF(W530&lt;&gt;"",W530,V530))</f>
        <v/>
      </c>
      <c r="Y530" s="5" t="str">
        <f aca="false">IF(A530="","",IF(COUNTIFS($X$2:$X$2001,X530,$D$2:$D$2001,"&lt;&gt;"&amp;D530,$C$2:$C$2001,C530)&gt;0,"SIM","NAO"))</f>
        <v/>
      </c>
      <c r="Z530" s="5" t="str">
        <f aca="false">IF(A530="","",IF(J530="","",IFERROR(360/J530,"")))</f>
        <v/>
      </c>
      <c r="AA530" s="5" t="str">
        <f aca="false">IF(A530="","",IF(H530=0,"Parado (sem venda 90d)",IF(Z530&gt;12,"Alto (&gt;12x/ano)",IF(Z530&gt;=4,"Medio (4-12x/ano)","Baixo (&lt;4x/ano)"))))</f>
        <v/>
      </c>
    </row>
    <row r="531" customFormat="false" ht="15" hidden="false" customHeight="true" outlineLevel="0" collapsed="false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18"/>
      <c r="L531" s="19" t="str">
        <f aca="false">IF(A531="","",G531*K531)</f>
        <v/>
      </c>
      <c r="M531" s="20"/>
      <c r="N531" s="6"/>
      <c r="O531" s="6"/>
      <c r="P531" s="5" t="str">
        <f aca="false">IF(A531="","",H531/90)</f>
        <v/>
      </c>
      <c r="Q531" s="5" t="str">
        <f aca="false">IF(A531="","",IFERROR(INDEX(Parâmetros!$C$6:$C$10,MATCH(F531,Parâmetros!$B$6:$B$10,0)),""))</f>
        <v/>
      </c>
      <c r="R531" s="5" t="str">
        <f aca="false">IF(OR(A531="",P531="",Q531=""),"",P531*Q531)</f>
        <v/>
      </c>
      <c r="S531" s="5" t="str">
        <f aca="false">IF(R531="","",MAX(0,R531-G531))</f>
        <v/>
      </c>
      <c r="T531" s="21" t="str">
        <f aca="false">IF(S531="","",S531*K531)</f>
        <v/>
      </c>
      <c r="U531" s="5" t="str">
        <f aca="false">IF(A531="","",IF(J531&gt;Parâmetros!$C$14,"SIM","NAO"))</f>
        <v/>
      </c>
      <c r="V531" s="5" t="str">
        <f aca="false">IF(B531="","",TRIM(LEFT(B531,IFERROR(FIND(" ",B531)-1,LEN(B531)))))</f>
        <v/>
      </c>
      <c r="W531" s="22"/>
      <c r="X531" s="5" t="str">
        <f aca="false">IF(A531="","",IF(W531&lt;&gt;"",W531,V531))</f>
        <v/>
      </c>
      <c r="Y531" s="5" t="str">
        <f aca="false">IF(A531="","",IF(COUNTIFS($X$2:$X$2001,X531,$D$2:$D$2001,"&lt;&gt;"&amp;D531,$C$2:$C$2001,C531)&gt;0,"SIM","NAO"))</f>
        <v/>
      </c>
      <c r="Z531" s="5" t="str">
        <f aca="false">IF(A531="","",IF(J531="","",IFERROR(360/J531,"")))</f>
        <v/>
      </c>
      <c r="AA531" s="5" t="str">
        <f aca="false">IF(A531="","",IF(H531=0,"Parado (sem venda 90d)",IF(Z531&gt;12,"Alto (&gt;12x/ano)",IF(Z531&gt;=4,"Medio (4-12x/ano)","Baixo (&lt;4x/ano)"))))</f>
        <v/>
      </c>
    </row>
    <row r="532" customFormat="false" ht="15" hidden="false" customHeight="true" outlineLevel="0" collapsed="false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18"/>
      <c r="L532" s="19" t="str">
        <f aca="false">IF(A532="","",G532*K532)</f>
        <v/>
      </c>
      <c r="M532" s="20"/>
      <c r="N532" s="6"/>
      <c r="O532" s="6"/>
      <c r="P532" s="5" t="str">
        <f aca="false">IF(A532="","",H532/90)</f>
        <v/>
      </c>
      <c r="Q532" s="5" t="str">
        <f aca="false">IF(A532="","",IFERROR(INDEX(Parâmetros!$C$6:$C$10,MATCH(F532,Parâmetros!$B$6:$B$10,0)),""))</f>
        <v/>
      </c>
      <c r="R532" s="5" t="str">
        <f aca="false">IF(OR(A532="",P532="",Q532=""),"",P532*Q532)</f>
        <v/>
      </c>
      <c r="S532" s="5" t="str">
        <f aca="false">IF(R532="","",MAX(0,R532-G532))</f>
        <v/>
      </c>
      <c r="T532" s="21" t="str">
        <f aca="false">IF(S532="","",S532*K532)</f>
        <v/>
      </c>
      <c r="U532" s="5" t="str">
        <f aca="false">IF(A532="","",IF(J532&gt;Parâmetros!$C$14,"SIM","NAO"))</f>
        <v/>
      </c>
      <c r="V532" s="5" t="str">
        <f aca="false">IF(B532="","",TRIM(LEFT(B532,IFERROR(FIND(" ",B532)-1,LEN(B532)))))</f>
        <v/>
      </c>
      <c r="W532" s="22"/>
      <c r="X532" s="5" t="str">
        <f aca="false">IF(A532="","",IF(W532&lt;&gt;"",W532,V532))</f>
        <v/>
      </c>
      <c r="Y532" s="5" t="str">
        <f aca="false">IF(A532="","",IF(COUNTIFS($X$2:$X$2001,X532,$D$2:$D$2001,"&lt;&gt;"&amp;D532,$C$2:$C$2001,C532)&gt;0,"SIM","NAO"))</f>
        <v/>
      </c>
      <c r="Z532" s="5" t="str">
        <f aca="false">IF(A532="","",IF(J532="","",IFERROR(360/J532,"")))</f>
        <v/>
      </c>
      <c r="AA532" s="5" t="str">
        <f aca="false">IF(A532="","",IF(H532=0,"Parado (sem venda 90d)",IF(Z532&gt;12,"Alto (&gt;12x/ano)",IF(Z532&gt;=4,"Medio (4-12x/ano)","Baixo (&lt;4x/ano)"))))</f>
        <v/>
      </c>
    </row>
    <row r="533" customFormat="false" ht="15" hidden="false" customHeight="true" outlineLevel="0" collapsed="false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18"/>
      <c r="L533" s="19" t="str">
        <f aca="false">IF(A533="","",G533*K533)</f>
        <v/>
      </c>
      <c r="M533" s="20"/>
      <c r="N533" s="6"/>
      <c r="O533" s="6"/>
      <c r="P533" s="5" t="str">
        <f aca="false">IF(A533="","",H533/90)</f>
        <v/>
      </c>
      <c r="Q533" s="5" t="str">
        <f aca="false">IF(A533="","",IFERROR(INDEX(Parâmetros!$C$6:$C$10,MATCH(F533,Parâmetros!$B$6:$B$10,0)),""))</f>
        <v/>
      </c>
      <c r="R533" s="5" t="str">
        <f aca="false">IF(OR(A533="",P533="",Q533=""),"",P533*Q533)</f>
        <v/>
      </c>
      <c r="S533" s="5" t="str">
        <f aca="false">IF(R533="","",MAX(0,R533-G533))</f>
        <v/>
      </c>
      <c r="T533" s="21" t="str">
        <f aca="false">IF(S533="","",S533*K533)</f>
        <v/>
      </c>
      <c r="U533" s="5" t="str">
        <f aca="false">IF(A533="","",IF(J533&gt;Parâmetros!$C$14,"SIM","NAO"))</f>
        <v/>
      </c>
      <c r="V533" s="5" t="str">
        <f aca="false">IF(B533="","",TRIM(LEFT(B533,IFERROR(FIND(" ",B533)-1,LEN(B533)))))</f>
        <v/>
      </c>
      <c r="W533" s="22"/>
      <c r="X533" s="5" t="str">
        <f aca="false">IF(A533="","",IF(W533&lt;&gt;"",W533,V533))</f>
        <v/>
      </c>
      <c r="Y533" s="5" t="str">
        <f aca="false">IF(A533="","",IF(COUNTIFS($X$2:$X$2001,X533,$D$2:$D$2001,"&lt;&gt;"&amp;D533,$C$2:$C$2001,C533)&gt;0,"SIM","NAO"))</f>
        <v/>
      </c>
      <c r="Z533" s="5" t="str">
        <f aca="false">IF(A533="","",IF(J533="","",IFERROR(360/J533,"")))</f>
        <v/>
      </c>
      <c r="AA533" s="5" t="str">
        <f aca="false">IF(A533="","",IF(H533=0,"Parado (sem venda 90d)",IF(Z533&gt;12,"Alto (&gt;12x/ano)",IF(Z533&gt;=4,"Medio (4-12x/ano)","Baixo (&lt;4x/ano)"))))</f>
        <v/>
      </c>
    </row>
    <row r="534" customFormat="false" ht="15" hidden="false" customHeight="true" outlineLevel="0" collapsed="false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18"/>
      <c r="L534" s="19" t="str">
        <f aca="false">IF(A534="","",G534*K534)</f>
        <v/>
      </c>
      <c r="M534" s="20"/>
      <c r="N534" s="6"/>
      <c r="O534" s="6"/>
      <c r="P534" s="5" t="str">
        <f aca="false">IF(A534="","",H534/90)</f>
        <v/>
      </c>
      <c r="Q534" s="5" t="str">
        <f aca="false">IF(A534="","",IFERROR(INDEX(Parâmetros!$C$6:$C$10,MATCH(F534,Parâmetros!$B$6:$B$10,0)),""))</f>
        <v/>
      </c>
      <c r="R534" s="5" t="str">
        <f aca="false">IF(OR(A534="",P534="",Q534=""),"",P534*Q534)</f>
        <v/>
      </c>
      <c r="S534" s="5" t="str">
        <f aca="false">IF(R534="","",MAX(0,R534-G534))</f>
        <v/>
      </c>
      <c r="T534" s="21" t="str">
        <f aca="false">IF(S534="","",S534*K534)</f>
        <v/>
      </c>
      <c r="U534" s="5" t="str">
        <f aca="false">IF(A534="","",IF(J534&gt;Parâmetros!$C$14,"SIM","NAO"))</f>
        <v/>
      </c>
      <c r="V534" s="5" t="str">
        <f aca="false">IF(B534="","",TRIM(LEFT(B534,IFERROR(FIND(" ",B534)-1,LEN(B534)))))</f>
        <v/>
      </c>
      <c r="W534" s="22"/>
      <c r="X534" s="5" t="str">
        <f aca="false">IF(A534="","",IF(W534&lt;&gt;"",W534,V534))</f>
        <v/>
      </c>
      <c r="Y534" s="5" t="str">
        <f aca="false">IF(A534="","",IF(COUNTIFS($X$2:$X$2001,X534,$D$2:$D$2001,"&lt;&gt;"&amp;D534,$C$2:$C$2001,C534)&gt;0,"SIM","NAO"))</f>
        <v/>
      </c>
      <c r="Z534" s="5" t="str">
        <f aca="false">IF(A534="","",IF(J534="","",IFERROR(360/J534,"")))</f>
        <v/>
      </c>
      <c r="AA534" s="5" t="str">
        <f aca="false">IF(A534="","",IF(H534=0,"Parado (sem venda 90d)",IF(Z534&gt;12,"Alto (&gt;12x/ano)",IF(Z534&gt;=4,"Medio (4-12x/ano)","Baixo (&lt;4x/ano)"))))</f>
        <v/>
      </c>
    </row>
    <row r="535" customFormat="false" ht="15" hidden="false" customHeight="true" outlineLevel="0" collapsed="false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18"/>
      <c r="L535" s="19" t="str">
        <f aca="false">IF(A535="","",G535*K535)</f>
        <v/>
      </c>
      <c r="M535" s="20"/>
      <c r="N535" s="6"/>
      <c r="O535" s="6"/>
      <c r="P535" s="5" t="str">
        <f aca="false">IF(A535="","",H535/90)</f>
        <v/>
      </c>
      <c r="Q535" s="5" t="str">
        <f aca="false">IF(A535="","",IFERROR(INDEX(Parâmetros!$C$6:$C$10,MATCH(F535,Parâmetros!$B$6:$B$10,0)),""))</f>
        <v/>
      </c>
      <c r="R535" s="5" t="str">
        <f aca="false">IF(OR(A535="",P535="",Q535=""),"",P535*Q535)</f>
        <v/>
      </c>
      <c r="S535" s="5" t="str">
        <f aca="false">IF(R535="","",MAX(0,R535-G535))</f>
        <v/>
      </c>
      <c r="T535" s="21" t="str">
        <f aca="false">IF(S535="","",S535*K535)</f>
        <v/>
      </c>
      <c r="U535" s="5" t="str">
        <f aca="false">IF(A535="","",IF(J535&gt;Parâmetros!$C$14,"SIM","NAO"))</f>
        <v/>
      </c>
      <c r="V535" s="5" t="str">
        <f aca="false">IF(B535="","",TRIM(LEFT(B535,IFERROR(FIND(" ",B535)-1,LEN(B535)))))</f>
        <v/>
      </c>
      <c r="W535" s="22"/>
      <c r="X535" s="5" t="str">
        <f aca="false">IF(A535="","",IF(W535&lt;&gt;"",W535,V535))</f>
        <v/>
      </c>
      <c r="Y535" s="5" t="str">
        <f aca="false">IF(A535="","",IF(COUNTIFS($X$2:$X$2001,X535,$D$2:$D$2001,"&lt;&gt;"&amp;D535,$C$2:$C$2001,C535)&gt;0,"SIM","NAO"))</f>
        <v/>
      </c>
      <c r="Z535" s="5" t="str">
        <f aca="false">IF(A535="","",IF(J535="","",IFERROR(360/J535,"")))</f>
        <v/>
      </c>
      <c r="AA535" s="5" t="str">
        <f aca="false">IF(A535="","",IF(H535=0,"Parado (sem venda 90d)",IF(Z535&gt;12,"Alto (&gt;12x/ano)",IF(Z535&gt;=4,"Medio (4-12x/ano)","Baixo (&lt;4x/ano)"))))</f>
        <v/>
      </c>
    </row>
    <row r="536" customFormat="false" ht="15" hidden="false" customHeight="true" outlineLevel="0" collapsed="false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18"/>
      <c r="L536" s="19" t="str">
        <f aca="false">IF(A536="","",G536*K536)</f>
        <v/>
      </c>
      <c r="M536" s="20"/>
      <c r="N536" s="6"/>
      <c r="O536" s="6"/>
      <c r="P536" s="5" t="str">
        <f aca="false">IF(A536="","",H536/90)</f>
        <v/>
      </c>
      <c r="Q536" s="5" t="str">
        <f aca="false">IF(A536="","",IFERROR(INDEX(Parâmetros!$C$6:$C$10,MATCH(F536,Parâmetros!$B$6:$B$10,0)),""))</f>
        <v/>
      </c>
      <c r="R536" s="5" t="str">
        <f aca="false">IF(OR(A536="",P536="",Q536=""),"",P536*Q536)</f>
        <v/>
      </c>
      <c r="S536" s="5" t="str">
        <f aca="false">IF(R536="","",MAX(0,R536-G536))</f>
        <v/>
      </c>
      <c r="T536" s="21" t="str">
        <f aca="false">IF(S536="","",S536*K536)</f>
        <v/>
      </c>
      <c r="U536" s="5" t="str">
        <f aca="false">IF(A536="","",IF(J536&gt;Parâmetros!$C$14,"SIM","NAO"))</f>
        <v/>
      </c>
      <c r="V536" s="5" t="str">
        <f aca="false">IF(B536="","",TRIM(LEFT(B536,IFERROR(FIND(" ",B536)-1,LEN(B536)))))</f>
        <v/>
      </c>
      <c r="W536" s="22"/>
      <c r="X536" s="5" t="str">
        <f aca="false">IF(A536="","",IF(W536&lt;&gt;"",W536,V536))</f>
        <v/>
      </c>
      <c r="Y536" s="5" t="str">
        <f aca="false">IF(A536="","",IF(COUNTIFS($X$2:$X$2001,X536,$D$2:$D$2001,"&lt;&gt;"&amp;D536,$C$2:$C$2001,C536)&gt;0,"SIM","NAO"))</f>
        <v/>
      </c>
      <c r="Z536" s="5" t="str">
        <f aca="false">IF(A536="","",IF(J536="","",IFERROR(360/J536,"")))</f>
        <v/>
      </c>
      <c r="AA536" s="5" t="str">
        <f aca="false">IF(A536="","",IF(H536=0,"Parado (sem venda 90d)",IF(Z536&gt;12,"Alto (&gt;12x/ano)",IF(Z536&gt;=4,"Medio (4-12x/ano)","Baixo (&lt;4x/ano)"))))</f>
        <v/>
      </c>
    </row>
    <row r="537" customFormat="false" ht="15" hidden="false" customHeight="true" outlineLevel="0" collapsed="false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18"/>
      <c r="L537" s="19" t="str">
        <f aca="false">IF(A537="","",G537*K537)</f>
        <v/>
      </c>
      <c r="M537" s="20"/>
      <c r="N537" s="6"/>
      <c r="O537" s="6"/>
      <c r="P537" s="5" t="str">
        <f aca="false">IF(A537="","",H537/90)</f>
        <v/>
      </c>
      <c r="Q537" s="5" t="str">
        <f aca="false">IF(A537="","",IFERROR(INDEX(Parâmetros!$C$6:$C$10,MATCH(F537,Parâmetros!$B$6:$B$10,0)),""))</f>
        <v/>
      </c>
      <c r="R537" s="5" t="str">
        <f aca="false">IF(OR(A537="",P537="",Q537=""),"",P537*Q537)</f>
        <v/>
      </c>
      <c r="S537" s="5" t="str">
        <f aca="false">IF(R537="","",MAX(0,R537-G537))</f>
        <v/>
      </c>
      <c r="T537" s="21" t="str">
        <f aca="false">IF(S537="","",S537*K537)</f>
        <v/>
      </c>
      <c r="U537" s="5" t="str">
        <f aca="false">IF(A537="","",IF(J537&gt;Parâmetros!$C$14,"SIM","NAO"))</f>
        <v/>
      </c>
      <c r="V537" s="5" t="str">
        <f aca="false">IF(B537="","",TRIM(LEFT(B537,IFERROR(FIND(" ",B537)-1,LEN(B537)))))</f>
        <v/>
      </c>
      <c r="W537" s="22"/>
      <c r="X537" s="5" t="str">
        <f aca="false">IF(A537="","",IF(W537&lt;&gt;"",W537,V537))</f>
        <v/>
      </c>
      <c r="Y537" s="5" t="str">
        <f aca="false">IF(A537="","",IF(COUNTIFS($X$2:$X$2001,X537,$D$2:$D$2001,"&lt;&gt;"&amp;D537,$C$2:$C$2001,C537)&gt;0,"SIM","NAO"))</f>
        <v/>
      </c>
      <c r="Z537" s="5" t="str">
        <f aca="false">IF(A537="","",IF(J537="","",IFERROR(360/J537,"")))</f>
        <v/>
      </c>
      <c r="AA537" s="5" t="str">
        <f aca="false">IF(A537="","",IF(H537=0,"Parado (sem venda 90d)",IF(Z537&gt;12,"Alto (&gt;12x/ano)",IF(Z537&gt;=4,"Medio (4-12x/ano)","Baixo (&lt;4x/ano)"))))</f>
        <v/>
      </c>
    </row>
    <row r="538" customFormat="false" ht="15" hidden="false" customHeight="true" outlineLevel="0" collapsed="false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18"/>
      <c r="L538" s="19" t="str">
        <f aca="false">IF(A538="","",G538*K538)</f>
        <v/>
      </c>
      <c r="M538" s="20"/>
      <c r="N538" s="6"/>
      <c r="O538" s="6"/>
      <c r="P538" s="5" t="str">
        <f aca="false">IF(A538="","",H538/90)</f>
        <v/>
      </c>
      <c r="Q538" s="5" t="str">
        <f aca="false">IF(A538="","",IFERROR(INDEX(Parâmetros!$C$6:$C$10,MATCH(F538,Parâmetros!$B$6:$B$10,0)),""))</f>
        <v/>
      </c>
      <c r="R538" s="5" t="str">
        <f aca="false">IF(OR(A538="",P538="",Q538=""),"",P538*Q538)</f>
        <v/>
      </c>
      <c r="S538" s="5" t="str">
        <f aca="false">IF(R538="","",MAX(0,R538-G538))</f>
        <v/>
      </c>
      <c r="T538" s="21" t="str">
        <f aca="false">IF(S538="","",S538*K538)</f>
        <v/>
      </c>
      <c r="U538" s="5" t="str">
        <f aca="false">IF(A538="","",IF(J538&gt;Parâmetros!$C$14,"SIM","NAO"))</f>
        <v/>
      </c>
      <c r="V538" s="5" t="str">
        <f aca="false">IF(B538="","",TRIM(LEFT(B538,IFERROR(FIND(" ",B538)-1,LEN(B538)))))</f>
        <v/>
      </c>
      <c r="W538" s="22"/>
      <c r="X538" s="5" t="str">
        <f aca="false">IF(A538="","",IF(W538&lt;&gt;"",W538,V538))</f>
        <v/>
      </c>
      <c r="Y538" s="5" t="str">
        <f aca="false">IF(A538="","",IF(COUNTIFS($X$2:$X$2001,X538,$D$2:$D$2001,"&lt;&gt;"&amp;D538,$C$2:$C$2001,C538)&gt;0,"SIM","NAO"))</f>
        <v/>
      </c>
      <c r="Z538" s="5" t="str">
        <f aca="false">IF(A538="","",IF(J538="","",IFERROR(360/J538,"")))</f>
        <v/>
      </c>
      <c r="AA538" s="5" t="str">
        <f aca="false">IF(A538="","",IF(H538=0,"Parado (sem venda 90d)",IF(Z538&gt;12,"Alto (&gt;12x/ano)",IF(Z538&gt;=4,"Medio (4-12x/ano)","Baixo (&lt;4x/ano)"))))</f>
        <v/>
      </c>
    </row>
    <row r="539" customFormat="false" ht="15" hidden="false" customHeight="true" outlineLevel="0" collapsed="false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18"/>
      <c r="L539" s="19" t="str">
        <f aca="false">IF(A539="","",G539*K539)</f>
        <v/>
      </c>
      <c r="M539" s="20"/>
      <c r="N539" s="6"/>
      <c r="O539" s="6"/>
      <c r="P539" s="5" t="str">
        <f aca="false">IF(A539="","",H539/90)</f>
        <v/>
      </c>
      <c r="Q539" s="5" t="str">
        <f aca="false">IF(A539="","",IFERROR(INDEX(Parâmetros!$C$6:$C$10,MATCH(F539,Parâmetros!$B$6:$B$10,0)),""))</f>
        <v/>
      </c>
      <c r="R539" s="5" t="str">
        <f aca="false">IF(OR(A539="",P539="",Q539=""),"",P539*Q539)</f>
        <v/>
      </c>
      <c r="S539" s="5" t="str">
        <f aca="false">IF(R539="","",MAX(0,R539-G539))</f>
        <v/>
      </c>
      <c r="T539" s="21" t="str">
        <f aca="false">IF(S539="","",S539*K539)</f>
        <v/>
      </c>
      <c r="U539" s="5" t="str">
        <f aca="false">IF(A539="","",IF(J539&gt;Parâmetros!$C$14,"SIM","NAO"))</f>
        <v/>
      </c>
      <c r="V539" s="5" t="str">
        <f aca="false">IF(B539="","",TRIM(LEFT(B539,IFERROR(FIND(" ",B539)-1,LEN(B539)))))</f>
        <v/>
      </c>
      <c r="W539" s="22"/>
      <c r="X539" s="5" t="str">
        <f aca="false">IF(A539="","",IF(W539&lt;&gt;"",W539,V539))</f>
        <v/>
      </c>
      <c r="Y539" s="5" t="str">
        <f aca="false">IF(A539="","",IF(COUNTIFS($X$2:$X$2001,X539,$D$2:$D$2001,"&lt;&gt;"&amp;D539,$C$2:$C$2001,C539)&gt;0,"SIM","NAO"))</f>
        <v/>
      </c>
      <c r="Z539" s="5" t="str">
        <f aca="false">IF(A539="","",IF(J539="","",IFERROR(360/J539,"")))</f>
        <v/>
      </c>
      <c r="AA539" s="5" t="str">
        <f aca="false">IF(A539="","",IF(H539=0,"Parado (sem venda 90d)",IF(Z539&gt;12,"Alto (&gt;12x/ano)",IF(Z539&gt;=4,"Medio (4-12x/ano)","Baixo (&lt;4x/ano)"))))</f>
        <v/>
      </c>
    </row>
    <row r="540" customFormat="false" ht="15" hidden="false" customHeight="true" outlineLevel="0" collapsed="false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18"/>
      <c r="L540" s="19" t="str">
        <f aca="false">IF(A540="","",G540*K540)</f>
        <v/>
      </c>
      <c r="M540" s="20"/>
      <c r="N540" s="6"/>
      <c r="O540" s="6"/>
      <c r="P540" s="5" t="str">
        <f aca="false">IF(A540="","",H540/90)</f>
        <v/>
      </c>
      <c r="Q540" s="5" t="str">
        <f aca="false">IF(A540="","",IFERROR(INDEX(Parâmetros!$C$6:$C$10,MATCH(F540,Parâmetros!$B$6:$B$10,0)),""))</f>
        <v/>
      </c>
      <c r="R540" s="5" t="str">
        <f aca="false">IF(OR(A540="",P540="",Q540=""),"",P540*Q540)</f>
        <v/>
      </c>
      <c r="S540" s="5" t="str">
        <f aca="false">IF(R540="","",MAX(0,R540-G540))</f>
        <v/>
      </c>
      <c r="T540" s="21" t="str">
        <f aca="false">IF(S540="","",S540*K540)</f>
        <v/>
      </c>
      <c r="U540" s="5" t="str">
        <f aca="false">IF(A540="","",IF(J540&gt;Parâmetros!$C$14,"SIM","NAO"))</f>
        <v/>
      </c>
      <c r="V540" s="5" t="str">
        <f aca="false">IF(B540="","",TRIM(LEFT(B540,IFERROR(FIND(" ",B540)-1,LEN(B540)))))</f>
        <v/>
      </c>
      <c r="W540" s="22"/>
      <c r="X540" s="5" t="str">
        <f aca="false">IF(A540="","",IF(W540&lt;&gt;"",W540,V540))</f>
        <v/>
      </c>
      <c r="Y540" s="5" t="str">
        <f aca="false">IF(A540="","",IF(COUNTIFS($X$2:$X$2001,X540,$D$2:$D$2001,"&lt;&gt;"&amp;D540,$C$2:$C$2001,C540)&gt;0,"SIM","NAO"))</f>
        <v/>
      </c>
      <c r="Z540" s="5" t="str">
        <f aca="false">IF(A540="","",IF(J540="","",IFERROR(360/J540,"")))</f>
        <v/>
      </c>
      <c r="AA540" s="5" t="str">
        <f aca="false">IF(A540="","",IF(H540=0,"Parado (sem venda 90d)",IF(Z540&gt;12,"Alto (&gt;12x/ano)",IF(Z540&gt;=4,"Medio (4-12x/ano)","Baixo (&lt;4x/ano)"))))</f>
        <v/>
      </c>
    </row>
    <row r="541" customFormat="false" ht="15" hidden="false" customHeight="true" outlineLevel="0" collapsed="false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18"/>
      <c r="L541" s="19" t="str">
        <f aca="false">IF(A541="","",G541*K541)</f>
        <v/>
      </c>
      <c r="M541" s="20"/>
      <c r="N541" s="6"/>
      <c r="O541" s="6"/>
      <c r="P541" s="5" t="str">
        <f aca="false">IF(A541="","",H541/90)</f>
        <v/>
      </c>
      <c r="Q541" s="5" t="str">
        <f aca="false">IF(A541="","",IFERROR(INDEX(Parâmetros!$C$6:$C$10,MATCH(F541,Parâmetros!$B$6:$B$10,0)),""))</f>
        <v/>
      </c>
      <c r="R541" s="5" t="str">
        <f aca="false">IF(OR(A541="",P541="",Q541=""),"",P541*Q541)</f>
        <v/>
      </c>
      <c r="S541" s="5" t="str">
        <f aca="false">IF(R541="","",MAX(0,R541-G541))</f>
        <v/>
      </c>
      <c r="T541" s="21" t="str">
        <f aca="false">IF(S541="","",S541*K541)</f>
        <v/>
      </c>
      <c r="U541" s="5" t="str">
        <f aca="false">IF(A541="","",IF(J541&gt;Parâmetros!$C$14,"SIM","NAO"))</f>
        <v/>
      </c>
      <c r="V541" s="5" t="str">
        <f aca="false">IF(B541="","",TRIM(LEFT(B541,IFERROR(FIND(" ",B541)-1,LEN(B541)))))</f>
        <v/>
      </c>
      <c r="W541" s="22"/>
      <c r="X541" s="5" t="str">
        <f aca="false">IF(A541="","",IF(W541&lt;&gt;"",W541,V541))</f>
        <v/>
      </c>
      <c r="Y541" s="5" t="str">
        <f aca="false">IF(A541="","",IF(COUNTIFS($X$2:$X$2001,X541,$D$2:$D$2001,"&lt;&gt;"&amp;D541,$C$2:$C$2001,C541)&gt;0,"SIM","NAO"))</f>
        <v/>
      </c>
      <c r="Z541" s="5" t="str">
        <f aca="false">IF(A541="","",IF(J541="","",IFERROR(360/J541,"")))</f>
        <v/>
      </c>
      <c r="AA541" s="5" t="str">
        <f aca="false">IF(A541="","",IF(H541=0,"Parado (sem venda 90d)",IF(Z541&gt;12,"Alto (&gt;12x/ano)",IF(Z541&gt;=4,"Medio (4-12x/ano)","Baixo (&lt;4x/ano)"))))</f>
        <v/>
      </c>
    </row>
    <row r="542" customFormat="false" ht="15" hidden="false" customHeight="true" outlineLevel="0" collapsed="false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18"/>
      <c r="L542" s="19" t="str">
        <f aca="false">IF(A542="","",G542*K542)</f>
        <v/>
      </c>
      <c r="M542" s="20"/>
      <c r="N542" s="6"/>
      <c r="O542" s="6"/>
      <c r="P542" s="5" t="str">
        <f aca="false">IF(A542="","",H542/90)</f>
        <v/>
      </c>
      <c r="Q542" s="5" t="str">
        <f aca="false">IF(A542="","",IFERROR(INDEX(Parâmetros!$C$6:$C$10,MATCH(F542,Parâmetros!$B$6:$B$10,0)),""))</f>
        <v/>
      </c>
      <c r="R542" s="5" t="str">
        <f aca="false">IF(OR(A542="",P542="",Q542=""),"",P542*Q542)</f>
        <v/>
      </c>
      <c r="S542" s="5" t="str">
        <f aca="false">IF(R542="","",MAX(0,R542-G542))</f>
        <v/>
      </c>
      <c r="T542" s="21" t="str">
        <f aca="false">IF(S542="","",S542*K542)</f>
        <v/>
      </c>
      <c r="U542" s="5" t="str">
        <f aca="false">IF(A542="","",IF(J542&gt;Parâmetros!$C$14,"SIM","NAO"))</f>
        <v/>
      </c>
      <c r="V542" s="5" t="str">
        <f aca="false">IF(B542="","",TRIM(LEFT(B542,IFERROR(FIND(" ",B542)-1,LEN(B542)))))</f>
        <v/>
      </c>
      <c r="W542" s="22"/>
      <c r="X542" s="5" t="str">
        <f aca="false">IF(A542="","",IF(W542&lt;&gt;"",W542,V542))</f>
        <v/>
      </c>
      <c r="Y542" s="5" t="str">
        <f aca="false">IF(A542="","",IF(COUNTIFS($X$2:$X$2001,X542,$D$2:$D$2001,"&lt;&gt;"&amp;D542,$C$2:$C$2001,C542)&gt;0,"SIM","NAO"))</f>
        <v/>
      </c>
      <c r="Z542" s="5" t="str">
        <f aca="false">IF(A542="","",IF(J542="","",IFERROR(360/J542,"")))</f>
        <v/>
      </c>
      <c r="AA542" s="5" t="str">
        <f aca="false">IF(A542="","",IF(H542=0,"Parado (sem venda 90d)",IF(Z542&gt;12,"Alto (&gt;12x/ano)",IF(Z542&gt;=4,"Medio (4-12x/ano)","Baixo (&lt;4x/ano)"))))</f>
        <v/>
      </c>
    </row>
    <row r="543" customFormat="false" ht="15" hidden="false" customHeight="true" outlineLevel="0" collapsed="false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18"/>
      <c r="L543" s="19" t="str">
        <f aca="false">IF(A543="","",G543*K543)</f>
        <v/>
      </c>
      <c r="M543" s="20"/>
      <c r="N543" s="6"/>
      <c r="O543" s="6"/>
      <c r="P543" s="5" t="str">
        <f aca="false">IF(A543="","",H543/90)</f>
        <v/>
      </c>
      <c r="Q543" s="5" t="str">
        <f aca="false">IF(A543="","",IFERROR(INDEX(Parâmetros!$C$6:$C$10,MATCH(F543,Parâmetros!$B$6:$B$10,0)),""))</f>
        <v/>
      </c>
      <c r="R543" s="5" t="str">
        <f aca="false">IF(OR(A543="",P543="",Q543=""),"",P543*Q543)</f>
        <v/>
      </c>
      <c r="S543" s="5" t="str">
        <f aca="false">IF(R543="","",MAX(0,R543-G543))</f>
        <v/>
      </c>
      <c r="T543" s="21" t="str">
        <f aca="false">IF(S543="","",S543*K543)</f>
        <v/>
      </c>
      <c r="U543" s="5" t="str">
        <f aca="false">IF(A543="","",IF(J543&gt;Parâmetros!$C$14,"SIM","NAO"))</f>
        <v/>
      </c>
      <c r="V543" s="5" t="str">
        <f aca="false">IF(B543="","",TRIM(LEFT(B543,IFERROR(FIND(" ",B543)-1,LEN(B543)))))</f>
        <v/>
      </c>
      <c r="W543" s="22"/>
      <c r="X543" s="5" t="str">
        <f aca="false">IF(A543="","",IF(W543&lt;&gt;"",W543,V543))</f>
        <v/>
      </c>
      <c r="Y543" s="5" t="str">
        <f aca="false">IF(A543="","",IF(COUNTIFS($X$2:$X$2001,X543,$D$2:$D$2001,"&lt;&gt;"&amp;D543,$C$2:$C$2001,C543)&gt;0,"SIM","NAO"))</f>
        <v/>
      </c>
      <c r="Z543" s="5" t="str">
        <f aca="false">IF(A543="","",IF(J543="","",IFERROR(360/J543,"")))</f>
        <v/>
      </c>
      <c r="AA543" s="5" t="str">
        <f aca="false">IF(A543="","",IF(H543=0,"Parado (sem venda 90d)",IF(Z543&gt;12,"Alto (&gt;12x/ano)",IF(Z543&gt;=4,"Medio (4-12x/ano)","Baixo (&lt;4x/ano)"))))</f>
        <v/>
      </c>
    </row>
    <row r="544" customFormat="false" ht="15" hidden="false" customHeight="true" outlineLevel="0" collapsed="false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18"/>
      <c r="L544" s="19" t="str">
        <f aca="false">IF(A544="","",G544*K544)</f>
        <v/>
      </c>
      <c r="M544" s="20"/>
      <c r="N544" s="6"/>
      <c r="O544" s="6"/>
      <c r="P544" s="5" t="str">
        <f aca="false">IF(A544="","",H544/90)</f>
        <v/>
      </c>
      <c r="Q544" s="5" t="str">
        <f aca="false">IF(A544="","",IFERROR(INDEX(Parâmetros!$C$6:$C$10,MATCH(F544,Parâmetros!$B$6:$B$10,0)),""))</f>
        <v/>
      </c>
      <c r="R544" s="5" t="str">
        <f aca="false">IF(OR(A544="",P544="",Q544=""),"",P544*Q544)</f>
        <v/>
      </c>
      <c r="S544" s="5" t="str">
        <f aca="false">IF(R544="","",MAX(0,R544-G544))</f>
        <v/>
      </c>
      <c r="T544" s="21" t="str">
        <f aca="false">IF(S544="","",S544*K544)</f>
        <v/>
      </c>
      <c r="U544" s="5" t="str">
        <f aca="false">IF(A544="","",IF(J544&gt;Parâmetros!$C$14,"SIM","NAO"))</f>
        <v/>
      </c>
      <c r="V544" s="5" t="str">
        <f aca="false">IF(B544="","",TRIM(LEFT(B544,IFERROR(FIND(" ",B544)-1,LEN(B544)))))</f>
        <v/>
      </c>
      <c r="W544" s="22"/>
      <c r="X544" s="5" t="str">
        <f aca="false">IF(A544="","",IF(W544&lt;&gt;"",W544,V544))</f>
        <v/>
      </c>
      <c r="Y544" s="5" t="str">
        <f aca="false">IF(A544="","",IF(COUNTIFS($X$2:$X$2001,X544,$D$2:$D$2001,"&lt;&gt;"&amp;D544,$C$2:$C$2001,C544)&gt;0,"SIM","NAO"))</f>
        <v/>
      </c>
      <c r="Z544" s="5" t="str">
        <f aca="false">IF(A544="","",IF(J544="","",IFERROR(360/J544,"")))</f>
        <v/>
      </c>
      <c r="AA544" s="5" t="str">
        <f aca="false">IF(A544="","",IF(H544=0,"Parado (sem venda 90d)",IF(Z544&gt;12,"Alto (&gt;12x/ano)",IF(Z544&gt;=4,"Medio (4-12x/ano)","Baixo (&lt;4x/ano)"))))</f>
        <v/>
      </c>
    </row>
    <row r="545" customFormat="false" ht="15" hidden="false" customHeight="true" outlineLevel="0" collapsed="false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18"/>
      <c r="L545" s="19" t="str">
        <f aca="false">IF(A545="","",G545*K545)</f>
        <v/>
      </c>
      <c r="M545" s="20"/>
      <c r="N545" s="6"/>
      <c r="O545" s="6"/>
      <c r="P545" s="5" t="str">
        <f aca="false">IF(A545="","",H545/90)</f>
        <v/>
      </c>
      <c r="Q545" s="5" t="str">
        <f aca="false">IF(A545="","",IFERROR(INDEX(Parâmetros!$C$6:$C$10,MATCH(F545,Parâmetros!$B$6:$B$10,0)),""))</f>
        <v/>
      </c>
      <c r="R545" s="5" t="str">
        <f aca="false">IF(OR(A545="",P545="",Q545=""),"",P545*Q545)</f>
        <v/>
      </c>
      <c r="S545" s="5" t="str">
        <f aca="false">IF(R545="","",MAX(0,R545-G545))</f>
        <v/>
      </c>
      <c r="T545" s="21" t="str">
        <f aca="false">IF(S545="","",S545*K545)</f>
        <v/>
      </c>
      <c r="U545" s="5" t="str">
        <f aca="false">IF(A545="","",IF(J545&gt;Parâmetros!$C$14,"SIM","NAO"))</f>
        <v/>
      </c>
      <c r="V545" s="5" t="str">
        <f aca="false">IF(B545="","",TRIM(LEFT(B545,IFERROR(FIND(" ",B545)-1,LEN(B545)))))</f>
        <v/>
      </c>
      <c r="W545" s="22"/>
      <c r="X545" s="5" t="str">
        <f aca="false">IF(A545="","",IF(W545&lt;&gt;"",W545,V545))</f>
        <v/>
      </c>
      <c r="Y545" s="5" t="str">
        <f aca="false">IF(A545="","",IF(COUNTIFS($X$2:$X$2001,X545,$D$2:$D$2001,"&lt;&gt;"&amp;D545,$C$2:$C$2001,C545)&gt;0,"SIM","NAO"))</f>
        <v/>
      </c>
      <c r="Z545" s="5" t="str">
        <f aca="false">IF(A545="","",IF(J545="","",IFERROR(360/J545,"")))</f>
        <v/>
      </c>
      <c r="AA545" s="5" t="str">
        <f aca="false">IF(A545="","",IF(H545=0,"Parado (sem venda 90d)",IF(Z545&gt;12,"Alto (&gt;12x/ano)",IF(Z545&gt;=4,"Medio (4-12x/ano)","Baixo (&lt;4x/ano)"))))</f>
        <v/>
      </c>
    </row>
    <row r="546" customFormat="false" ht="15" hidden="false" customHeight="true" outlineLevel="0" collapsed="false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18"/>
      <c r="L546" s="19" t="str">
        <f aca="false">IF(A546="","",G546*K546)</f>
        <v/>
      </c>
      <c r="M546" s="20"/>
      <c r="N546" s="6"/>
      <c r="O546" s="6"/>
      <c r="P546" s="5" t="str">
        <f aca="false">IF(A546="","",H546/90)</f>
        <v/>
      </c>
      <c r="Q546" s="5" t="str">
        <f aca="false">IF(A546="","",IFERROR(INDEX(Parâmetros!$C$6:$C$10,MATCH(F546,Parâmetros!$B$6:$B$10,0)),""))</f>
        <v/>
      </c>
      <c r="R546" s="5" t="str">
        <f aca="false">IF(OR(A546="",P546="",Q546=""),"",P546*Q546)</f>
        <v/>
      </c>
      <c r="S546" s="5" t="str">
        <f aca="false">IF(R546="","",MAX(0,R546-G546))</f>
        <v/>
      </c>
      <c r="T546" s="21" t="str">
        <f aca="false">IF(S546="","",S546*K546)</f>
        <v/>
      </c>
      <c r="U546" s="5" t="str">
        <f aca="false">IF(A546="","",IF(J546&gt;Parâmetros!$C$14,"SIM","NAO"))</f>
        <v/>
      </c>
      <c r="V546" s="5" t="str">
        <f aca="false">IF(B546="","",TRIM(LEFT(B546,IFERROR(FIND(" ",B546)-1,LEN(B546)))))</f>
        <v/>
      </c>
      <c r="W546" s="22"/>
      <c r="X546" s="5" t="str">
        <f aca="false">IF(A546="","",IF(W546&lt;&gt;"",W546,V546))</f>
        <v/>
      </c>
      <c r="Y546" s="5" t="str">
        <f aca="false">IF(A546="","",IF(COUNTIFS($X$2:$X$2001,X546,$D$2:$D$2001,"&lt;&gt;"&amp;D546,$C$2:$C$2001,C546)&gt;0,"SIM","NAO"))</f>
        <v/>
      </c>
      <c r="Z546" s="5" t="str">
        <f aca="false">IF(A546="","",IF(J546="","",IFERROR(360/J546,"")))</f>
        <v/>
      </c>
      <c r="AA546" s="5" t="str">
        <f aca="false">IF(A546="","",IF(H546=0,"Parado (sem venda 90d)",IF(Z546&gt;12,"Alto (&gt;12x/ano)",IF(Z546&gt;=4,"Medio (4-12x/ano)","Baixo (&lt;4x/ano)"))))</f>
        <v/>
      </c>
    </row>
    <row r="547" customFormat="false" ht="15" hidden="false" customHeight="true" outlineLevel="0" collapsed="false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18"/>
      <c r="L547" s="19" t="str">
        <f aca="false">IF(A547="","",G547*K547)</f>
        <v/>
      </c>
      <c r="M547" s="20"/>
      <c r="N547" s="6"/>
      <c r="O547" s="6"/>
      <c r="P547" s="5" t="str">
        <f aca="false">IF(A547="","",H547/90)</f>
        <v/>
      </c>
      <c r="Q547" s="5" t="str">
        <f aca="false">IF(A547="","",IFERROR(INDEX(Parâmetros!$C$6:$C$10,MATCH(F547,Parâmetros!$B$6:$B$10,0)),""))</f>
        <v/>
      </c>
      <c r="R547" s="5" t="str">
        <f aca="false">IF(OR(A547="",P547="",Q547=""),"",P547*Q547)</f>
        <v/>
      </c>
      <c r="S547" s="5" t="str">
        <f aca="false">IF(R547="","",MAX(0,R547-G547))</f>
        <v/>
      </c>
      <c r="T547" s="21" t="str">
        <f aca="false">IF(S547="","",S547*K547)</f>
        <v/>
      </c>
      <c r="U547" s="5" t="str">
        <f aca="false">IF(A547="","",IF(J547&gt;Parâmetros!$C$14,"SIM","NAO"))</f>
        <v/>
      </c>
      <c r="V547" s="5" t="str">
        <f aca="false">IF(B547="","",TRIM(LEFT(B547,IFERROR(FIND(" ",B547)-1,LEN(B547)))))</f>
        <v/>
      </c>
      <c r="W547" s="22"/>
      <c r="X547" s="5" t="str">
        <f aca="false">IF(A547="","",IF(W547&lt;&gt;"",W547,V547))</f>
        <v/>
      </c>
      <c r="Y547" s="5" t="str">
        <f aca="false">IF(A547="","",IF(COUNTIFS($X$2:$X$2001,X547,$D$2:$D$2001,"&lt;&gt;"&amp;D547,$C$2:$C$2001,C547)&gt;0,"SIM","NAO"))</f>
        <v/>
      </c>
      <c r="Z547" s="5" t="str">
        <f aca="false">IF(A547="","",IF(J547="","",IFERROR(360/J547,"")))</f>
        <v/>
      </c>
      <c r="AA547" s="5" t="str">
        <f aca="false">IF(A547="","",IF(H547=0,"Parado (sem venda 90d)",IF(Z547&gt;12,"Alto (&gt;12x/ano)",IF(Z547&gt;=4,"Medio (4-12x/ano)","Baixo (&lt;4x/ano)"))))</f>
        <v/>
      </c>
    </row>
    <row r="548" customFormat="false" ht="15" hidden="false" customHeight="true" outlineLevel="0" collapsed="false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18"/>
      <c r="L548" s="19" t="str">
        <f aca="false">IF(A548="","",G548*K548)</f>
        <v/>
      </c>
      <c r="M548" s="20"/>
      <c r="N548" s="6"/>
      <c r="O548" s="6"/>
      <c r="P548" s="5" t="str">
        <f aca="false">IF(A548="","",H548/90)</f>
        <v/>
      </c>
      <c r="Q548" s="5" t="str">
        <f aca="false">IF(A548="","",IFERROR(INDEX(Parâmetros!$C$6:$C$10,MATCH(F548,Parâmetros!$B$6:$B$10,0)),""))</f>
        <v/>
      </c>
      <c r="R548" s="5" t="str">
        <f aca="false">IF(OR(A548="",P548="",Q548=""),"",P548*Q548)</f>
        <v/>
      </c>
      <c r="S548" s="5" t="str">
        <f aca="false">IF(R548="","",MAX(0,R548-G548))</f>
        <v/>
      </c>
      <c r="T548" s="21" t="str">
        <f aca="false">IF(S548="","",S548*K548)</f>
        <v/>
      </c>
      <c r="U548" s="5" t="str">
        <f aca="false">IF(A548="","",IF(J548&gt;Parâmetros!$C$14,"SIM","NAO"))</f>
        <v/>
      </c>
      <c r="V548" s="5" t="str">
        <f aca="false">IF(B548="","",TRIM(LEFT(B548,IFERROR(FIND(" ",B548)-1,LEN(B548)))))</f>
        <v/>
      </c>
      <c r="W548" s="22"/>
      <c r="X548" s="5" t="str">
        <f aca="false">IF(A548="","",IF(W548&lt;&gt;"",W548,V548))</f>
        <v/>
      </c>
      <c r="Y548" s="5" t="str">
        <f aca="false">IF(A548="","",IF(COUNTIFS($X$2:$X$2001,X548,$D$2:$D$2001,"&lt;&gt;"&amp;D548,$C$2:$C$2001,C548)&gt;0,"SIM","NAO"))</f>
        <v/>
      </c>
      <c r="Z548" s="5" t="str">
        <f aca="false">IF(A548="","",IF(J548="","",IFERROR(360/J548,"")))</f>
        <v/>
      </c>
      <c r="AA548" s="5" t="str">
        <f aca="false">IF(A548="","",IF(H548=0,"Parado (sem venda 90d)",IF(Z548&gt;12,"Alto (&gt;12x/ano)",IF(Z548&gt;=4,"Medio (4-12x/ano)","Baixo (&lt;4x/ano)"))))</f>
        <v/>
      </c>
    </row>
    <row r="549" customFormat="false" ht="15" hidden="false" customHeight="true" outlineLevel="0" collapsed="false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18"/>
      <c r="L549" s="19" t="str">
        <f aca="false">IF(A549="","",G549*K549)</f>
        <v/>
      </c>
      <c r="M549" s="20"/>
      <c r="N549" s="6"/>
      <c r="O549" s="6"/>
      <c r="P549" s="5" t="str">
        <f aca="false">IF(A549="","",H549/90)</f>
        <v/>
      </c>
      <c r="Q549" s="5" t="str">
        <f aca="false">IF(A549="","",IFERROR(INDEX(Parâmetros!$C$6:$C$10,MATCH(F549,Parâmetros!$B$6:$B$10,0)),""))</f>
        <v/>
      </c>
      <c r="R549" s="5" t="str">
        <f aca="false">IF(OR(A549="",P549="",Q549=""),"",P549*Q549)</f>
        <v/>
      </c>
      <c r="S549" s="5" t="str">
        <f aca="false">IF(R549="","",MAX(0,R549-G549))</f>
        <v/>
      </c>
      <c r="T549" s="21" t="str">
        <f aca="false">IF(S549="","",S549*K549)</f>
        <v/>
      </c>
      <c r="U549" s="5" t="str">
        <f aca="false">IF(A549="","",IF(J549&gt;Parâmetros!$C$14,"SIM","NAO"))</f>
        <v/>
      </c>
      <c r="V549" s="5" t="str">
        <f aca="false">IF(B549="","",TRIM(LEFT(B549,IFERROR(FIND(" ",B549)-1,LEN(B549)))))</f>
        <v/>
      </c>
      <c r="W549" s="22"/>
      <c r="X549" s="5" t="str">
        <f aca="false">IF(A549="","",IF(W549&lt;&gt;"",W549,V549))</f>
        <v/>
      </c>
      <c r="Y549" s="5" t="str">
        <f aca="false">IF(A549="","",IF(COUNTIFS($X$2:$X$2001,X549,$D$2:$D$2001,"&lt;&gt;"&amp;D549,$C$2:$C$2001,C549)&gt;0,"SIM","NAO"))</f>
        <v/>
      </c>
      <c r="Z549" s="5" t="str">
        <f aca="false">IF(A549="","",IF(J549="","",IFERROR(360/J549,"")))</f>
        <v/>
      </c>
      <c r="AA549" s="5" t="str">
        <f aca="false">IF(A549="","",IF(H549=0,"Parado (sem venda 90d)",IF(Z549&gt;12,"Alto (&gt;12x/ano)",IF(Z549&gt;=4,"Medio (4-12x/ano)","Baixo (&lt;4x/ano)"))))</f>
        <v/>
      </c>
    </row>
    <row r="550" customFormat="false" ht="15" hidden="false" customHeight="true" outlineLevel="0" collapsed="false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18"/>
      <c r="L550" s="19" t="str">
        <f aca="false">IF(A550="","",G550*K550)</f>
        <v/>
      </c>
      <c r="M550" s="20"/>
      <c r="N550" s="6"/>
      <c r="O550" s="6"/>
      <c r="P550" s="5" t="str">
        <f aca="false">IF(A550="","",H550/90)</f>
        <v/>
      </c>
      <c r="Q550" s="5" t="str">
        <f aca="false">IF(A550="","",IFERROR(INDEX(Parâmetros!$C$6:$C$10,MATCH(F550,Parâmetros!$B$6:$B$10,0)),""))</f>
        <v/>
      </c>
      <c r="R550" s="5" t="str">
        <f aca="false">IF(OR(A550="",P550="",Q550=""),"",P550*Q550)</f>
        <v/>
      </c>
      <c r="S550" s="5" t="str">
        <f aca="false">IF(R550="","",MAX(0,R550-G550))</f>
        <v/>
      </c>
      <c r="T550" s="21" t="str">
        <f aca="false">IF(S550="","",S550*K550)</f>
        <v/>
      </c>
      <c r="U550" s="5" t="str">
        <f aca="false">IF(A550="","",IF(J550&gt;Parâmetros!$C$14,"SIM","NAO"))</f>
        <v/>
      </c>
      <c r="V550" s="5" t="str">
        <f aca="false">IF(B550="","",TRIM(LEFT(B550,IFERROR(FIND(" ",B550)-1,LEN(B550)))))</f>
        <v/>
      </c>
      <c r="W550" s="22"/>
      <c r="X550" s="5" t="str">
        <f aca="false">IF(A550="","",IF(W550&lt;&gt;"",W550,V550))</f>
        <v/>
      </c>
      <c r="Y550" s="5" t="str">
        <f aca="false">IF(A550="","",IF(COUNTIFS($X$2:$X$2001,X550,$D$2:$D$2001,"&lt;&gt;"&amp;D550,$C$2:$C$2001,C550)&gt;0,"SIM","NAO"))</f>
        <v/>
      </c>
      <c r="Z550" s="5" t="str">
        <f aca="false">IF(A550="","",IF(J550="","",IFERROR(360/J550,"")))</f>
        <v/>
      </c>
      <c r="AA550" s="5" t="str">
        <f aca="false">IF(A550="","",IF(H550=0,"Parado (sem venda 90d)",IF(Z550&gt;12,"Alto (&gt;12x/ano)",IF(Z550&gt;=4,"Medio (4-12x/ano)","Baixo (&lt;4x/ano)"))))</f>
        <v/>
      </c>
    </row>
    <row r="551" customFormat="false" ht="15" hidden="false" customHeight="true" outlineLevel="0" collapsed="false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18"/>
      <c r="L551" s="19" t="str">
        <f aca="false">IF(A551="","",G551*K551)</f>
        <v/>
      </c>
      <c r="M551" s="20"/>
      <c r="N551" s="6"/>
      <c r="O551" s="6"/>
      <c r="P551" s="5" t="str">
        <f aca="false">IF(A551="","",H551/90)</f>
        <v/>
      </c>
      <c r="Q551" s="5" t="str">
        <f aca="false">IF(A551="","",IFERROR(INDEX(Parâmetros!$C$6:$C$10,MATCH(F551,Parâmetros!$B$6:$B$10,0)),""))</f>
        <v/>
      </c>
      <c r="R551" s="5" t="str">
        <f aca="false">IF(OR(A551="",P551="",Q551=""),"",P551*Q551)</f>
        <v/>
      </c>
      <c r="S551" s="5" t="str">
        <f aca="false">IF(R551="","",MAX(0,R551-G551))</f>
        <v/>
      </c>
      <c r="T551" s="21" t="str">
        <f aca="false">IF(S551="","",S551*K551)</f>
        <v/>
      </c>
      <c r="U551" s="5" t="str">
        <f aca="false">IF(A551="","",IF(J551&gt;Parâmetros!$C$14,"SIM","NAO"))</f>
        <v/>
      </c>
      <c r="V551" s="5" t="str">
        <f aca="false">IF(B551="","",TRIM(LEFT(B551,IFERROR(FIND(" ",B551)-1,LEN(B551)))))</f>
        <v/>
      </c>
      <c r="W551" s="22"/>
      <c r="X551" s="5" t="str">
        <f aca="false">IF(A551="","",IF(W551&lt;&gt;"",W551,V551))</f>
        <v/>
      </c>
      <c r="Y551" s="5" t="str">
        <f aca="false">IF(A551="","",IF(COUNTIFS($X$2:$X$2001,X551,$D$2:$D$2001,"&lt;&gt;"&amp;D551,$C$2:$C$2001,C551)&gt;0,"SIM","NAO"))</f>
        <v/>
      </c>
      <c r="Z551" s="5" t="str">
        <f aca="false">IF(A551="","",IF(J551="","",IFERROR(360/J551,"")))</f>
        <v/>
      </c>
      <c r="AA551" s="5" t="str">
        <f aca="false">IF(A551="","",IF(H551=0,"Parado (sem venda 90d)",IF(Z551&gt;12,"Alto (&gt;12x/ano)",IF(Z551&gt;=4,"Medio (4-12x/ano)","Baixo (&lt;4x/ano)"))))</f>
        <v/>
      </c>
    </row>
    <row r="552" customFormat="false" ht="15" hidden="false" customHeight="true" outlineLevel="0" collapsed="false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18"/>
      <c r="L552" s="19" t="str">
        <f aca="false">IF(A552="","",G552*K552)</f>
        <v/>
      </c>
      <c r="M552" s="20"/>
      <c r="N552" s="6"/>
      <c r="O552" s="6"/>
      <c r="P552" s="5" t="str">
        <f aca="false">IF(A552="","",H552/90)</f>
        <v/>
      </c>
      <c r="Q552" s="5" t="str">
        <f aca="false">IF(A552="","",IFERROR(INDEX(Parâmetros!$C$6:$C$10,MATCH(F552,Parâmetros!$B$6:$B$10,0)),""))</f>
        <v/>
      </c>
      <c r="R552" s="5" t="str">
        <f aca="false">IF(OR(A552="",P552="",Q552=""),"",P552*Q552)</f>
        <v/>
      </c>
      <c r="S552" s="5" t="str">
        <f aca="false">IF(R552="","",MAX(0,R552-G552))</f>
        <v/>
      </c>
      <c r="T552" s="21" t="str">
        <f aca="false">IF(S552="","",S552*K552)</f>
        <v/>
      </c>
      <c r="U552" s="5" t="str">
        <f aca="false">IF(A552="","",IF(J552&gt;Parâmetros!$C$14,"SIM","NAO"))</f>
        <v/>
      </c>
      <c r="V552" s="5" t="str">
        <f aca="false">IF(B552="","",TRIM(LEFT(B552,IFERROR(FIND(" ",B552)-1,LEN(B552)))))</f>
        <v/>
      </c>
      <c r="W552" s="22"/>
      <c r="X552" s="5" t="str">
        <f aca="false">IF(A552="","",IF(W552&lt;&gt;"",W552,V552))</f>
        <v/>
      </c>
      <c r="Y552" s="5" t="str">
        <f aca="false">IF(A552="","",IF(COUNTIFS($X$2:$X$2001,X552,$D$2:$D$2001,"&lt;&gt;"&amp;D552,$C$2:$C$2001,C552)&gt;0,"SIM","NAO"))</f>
        <v/>
      </c>
      <c r="Z552" s="5" t="str">
        <f aca="false">IF(A552="","",IF(J552="","",IFERROR(360/J552,"")))</f>
        <v/>
      </c>
      <c r="AA552" s="5" t="str">
        <f aca="false">IF(A552="","",IF(H552=0,"Parado (sem venda 90d)",IF(Z552&gt;12,"Alto (&gt;12x/ano)",IF(Z552&gt;=4,"Medio (4-12x/ano)","Baixo (&lt;4x/ano)"))))</f>
        <v/>
      </c>
    </row>
    <row r="553" customFormat="false" ht="15" hidden="false" customHeight="true" outlineLevel="0" collapsed="false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18"/>
      <c r="L553" s="19" t="str">
        <f aca="false">IF(A553="","",G553*K553)</f>
        <v/>
      </c>
      <c r="M553" s="20"/>
      <c r="N553" s="6"/>
      <c r="O553" s="6"/>
      <c r="P553" s="5" t="str">
        <f aca="false">IF(A553="","",H553/90)</f>
        <v/>
      </c>
      <c r="Q553" s="5" t="str">
        <f aca="false">IF(A553="","",IFERROR(INDEX(Parâmetros!$C$6:$C$10,MATCH(F553,Parâmetros!$B$6:$B$10,0)),""))</f>
        <v/>
      </c>
      <c r="R553" s="5" t="str">
        <f aca="false">IF(OR(A553="",P553="",Q553=""),"",P553*Q553)</f>
        <v/>
      </c>
      <c r="S553" s="5" t="str">
        <f aca="false">IF(R553="","",MAX(0,R553-G553))</f>
        <v/>
      </c>
      <c r="T553" s="21" t="str">
        <f aca="false">IF(S553="","",S553*K553)</f>
        <v/>
      </c>
      <c r="U553" s="5" t="str">
        <f aca="false">IF(A553="","",IF(J553&gt;Parâmetros!$C$14,"SIM","NAO"))</f>
        <v/>
      </c>
      <c r="V553" s="5" t="str">
        <f aca="false">IF(B553="","",TRIM(LEFT(B553,IFERROR(FIND(" ",B553)-1,LEN(B553)))))</f>
        <v/>
      </c>
      <c r="W553" s="22"/>
      <c r="X553" s="5" t="str">
        <f aca="false">IF(A553="","",IF(W553&lt;&gt;"",W553,V553))</f>
        <v/>
      </c>
      <c r="Y553" s="5" t="str">
        <f aca="false">IF(A553="","",IF(COUNTIFS($X$2:$X$2001,X553,$D$2:$D$2001,"&lt;&gt;"&amp;D553,$C$2:$C$2001,C553)&gt;0,"SIM","NAO"))</f>
        <v/>
      </c>
      <c r="Z553" s="5" t="str">
        <f aca="false">IF(A553="","",IF(J553="","",IFERROR(360/J553,"")))</f>
        <v/>
      </c>
      <c r="AA553" s="5" t="str">
        <f aca="false">IF(A553="","",IF(H553=0,"Parado (sem venda 90d)",IF(Z553&gt;12,"Alto (&gt;12x/ano)",IF(Z553&gt;=4,"Medio (4-12x/ano)","Baixo (&lt;4x/ano)"))))</f>
        <v/>
      </c>
    </row>
    <row r="554" customFormat="false" ht="15" hidden="false" customHeight="true" outlineLevel="0" collapsed="false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18"/>
      <c r="L554" s="19" t="str">
        <f aca="false">IF(A554="","",G554*K554)</f>
        <v/>
      </c>
      <c r="M554" s="20"/>
      <c r="N554" s="6"/>
      <c r="O554" s="6"/>
      <c r="P554" s="5" t="str">
        <f aca="false">IF(A554="","",H554/90)</f>
        <v/>
      </c>
      <c r="Q554" s="5" t="str">
        <f aca="false">IF(A554="","",IFERROR(INDEX(Parâmetros!$C$6:$C$10,MATCH(F554,Parâmetros!$B$6:$B$10,0)),""))</f>
        <v/>
      </c>
      <c r="R554" s="5" t="str">
        <f aca="false">IF(OR(A554="",P554="",Q554=""),"",P554*Q554)</f>
        <v/>
      </c>
      <c r="S554" s="5" t="str">
        <f aca="false">IF(R554="","",MAX(0,R554-G554))</f>
        <v/>
      </c>
      <c r="T554" s="21" t="str">
        <f aca="false">IF(S554="","",S554*K554)</f>
        <v/>
      </c>
      <c r="U554" s="5" t="str">
        <f aca="false">IF(A554="","",IF(J554&gt;Parâmetros!$C$14,"SIM","NAO"))</f>
        <v/>
      </c>
      <c r="V554" s="5" t="str">
        <f aca="false">IF(B554="","",TRIM(LEFT(B554,IFERROR(FIND(" ",B554)-1,LEN(B554)))))</f>
        <v/>
      </c>
      <c r="W554" s="22"/>
      <c r="X554" s="5" t="str">
        <f aca="false">IF(A554="","",IF(W554&lt;&gt;"",W554,V554))</f>
        <v/>
      </c>
      <c r="Y554" s="5" t="str">
        <f aca="false">IF(A554="","",IF(COUNTIFS($X$2:$X$2001,X554,$D$2:$D$2001,"&lt;&gt;"&amp;D554,$C$2:$C$2001,C554)&gt;0,"SIM","NAO"))</f>
        <v/>
      </c>
      <c r="Z554" s="5" t="str">
        <f aca="false">IF(A554="","",IF(J554="","",IFERROR(360/J554,"")))</f>
        <v/>
      </c>
      <c r="AA554" s="5" t="str">
        <f aca="false">IF(A554="","",IF(H554=0,"Parado (sem venda 90d)",IF(Z554&gt;12,"Alto (&gt;12x/ano)",IF(Z554&gt;=4,"Medio (4-12x/ano)","Baixo (&lt;4x/ano)"))))</f>
        <v/>
      </c>
    </row>
    <row r="555" customFormat="false" ht="15" hidden="false" customHeight="true" outlineLevel="0" collapsed="false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18"/>
      <c r="L555" s="19" t="str">
        <f aca="false">IF(A555="","",G555*K555)</f>
        <v/>
      </c>
      <c r="M555" s="20"/>
      <c r="N555" s="6"/>
      <c r="O555" s="6"/>
      <c r="P555" s="5" t="str">
        <f aca="false">IF(A555="","",H555/90)</f>
        <v/>
      </c>
      <c r="Q555" s="5" t="str">
        <f aca="false">IF(A555="","",IFERROR(INDEX(Parâmetros!$C$6:$C$10,MATCH(F555,Parâmetros!$B$6:$B$10,0)),""))</f>
        <v/>
      </c>
      <c r="R555" s="5" t="str">
        <f aca="false">IF(OR(A555="",P555="",Q555=""),"",P555*Q555)</f>
        <v/>
      </c>
      <c r="S555" s="5" t="str">
        <f aca="false">IF(R555="","",MAX(0,R555-G555))</f>
        <v/>
      </c>
      <c r="T555" s="21" t="str">
        <f aca="false">IF(S555="","",S555*K555)</f>
        <v/>
      </c>
      <c r="U555" s="5" t="str">
        <f aca="false">IF(A555="","",IF(J555&gt;Parâmetros!$C$14,"SIM","NAO"))</f>
        <v/>
      </c>
      <c r="V555" s="5" t="str">
        <f aca="false">IF(B555="","",TRIM(LEFT(B555,IFERROR(FIND(" ",B555)-1,LEN(B555)))))</f>
        <v/>
      </c>
      <c r="W555" s="22"/>
      <c r="X555" s="5" t="str">
        <f aca="false">IF(A555="","",IF(W555&lt;&gt;"",W555,V555))</f>
        <v/>
      </c>
      <c r="Y555" s="5" t="str">
        <f aca="false">IF(A555="","",IF(COUNTIFS($X$2:$X$2001,X555,$D$2:$D$2001,"&lt;&gt;"&amp;D555,$C$2:$C$2001,C555)&gt;0,"SIM","NAO"))</f>
        <v/>
      </c>
      <c r="Z555" s="5" t="str">
        <f aca="false">IF(A555="","",IF(J555="","",IFERROR(360/J555,"")))</f>
        <v/>
      </c>
      <c r="AA555" s="5" t="str">
        <f aca="false">IF(A555="","",IF(H555=0,"Parado (sem venda 90d)",IF(Z555&gt;12,"Alto (&gt;12x/ano)",IF(Z555&gt;=4,"Medio (4-12x/ano)","Baixo (&lt;4x/ano)"))))</f>
        <v/>
      </c>
    </row>
    <row r="556" customFormat="false" ht="15" hidden="false" customHeight="true" outlineLevel="0" collapsed="false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18"/>
      <c r="L556" s="19" t="str">
        <f aca="false">IF(A556="","",G556*K556)</f>
        <v/>
      </c>
      <c r="M556" s="20"/>
      <c r="N556" s="6"/>
      <c r="O556" s="6"/>
      <c r="P556" s="5" t="str">
        <f aca="false">IF(A556="","",H556/90)</f>
        <v/>
      </c>
      <c r="Q556" s="5" t="str">
        <f aca="false">IF(A556="","",IFERROR(INDEX(Parâmetros!$C$6:$C$10,MATCH(F556,Parâmetros!$B$6:$B$10,0)),""))</f>
        <v/>
      </c>
      <c r="R556" s="5" t="str">
        <f aca="false">IF(OR(A556="",P556="",Q556=""),"",P556*Q556)</f>
        <v/>
      </c>
      <c r="S556" s="5" t="str">
        <f aca="false">IF(R556="","",MAX(0,R556-G556))</f>
        <v/>
      </c>
      <c r="T556" s="21" t="str">
        <f aca="false">IF(S556="","",S556*K556)</f>
        <v/>
      </c>
      <c r="U556" s="5" t="str">
        <f aca="false">IF(A556="","",IF(J556&gt;Parâmetros!$C$14,"SIM","NAO"))</f>
        <v/>
      </c>
      <c r="V556" s="5" t="str">
        <f aca="false">IF(B556="","",TRIM(LEFT(B556,IFERROR(FIND(" ",B556)-1,LEN(B556)))))</f>
        <v/>
      </c>
      <c r="W556" s="22"/>
      <c r="X556" s="5" t="str">
        <f aca="false">IF(A556="","",IF(W556&lt;&gt;"",W556,V556))</f>
        <v/>
      </c>
      <c r="Y556" s="5" t="str">
        <f aca="false">IF(A556="","",IF(COUNTIFS($X$2:$X$2001,X556,$D$2:$D$2001,"&lt;&gt;"&amp;D556,$C$2:$C$2001,C556)&gt;0,"SIM","NAO"))</f>
        <v/>
      </c>
      <c r="Z556" s="5" t="str">
        <f aca="false">IF(A556="","",IF(J556="","",IFERROR(360/J556,"")))</f>
        <v/>
      </c>
      <c r="AA556" s="5" t="str">
        <f aca="false">IF(A556="","",IF(H556=0,"Parado (sem venda 90d)",IF(Z556&gt;12,"Alto (&gt;12x/ano)",IF(Z556&gt;=4,"Medio (4-12x/ano)","Baixo (&lt;4x/ano)"))))</f>
        <v/>
      </c>
    </row>
    <row r="557" customFormat="false" ht="15" hidden="false" customHeight="true" outlineLevel="0" collapsed="false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18"/>
      <c r="L557" s="19" t="str">
        <f aca="false">IF(A557="","",G557*K557)</f>
        <v/>
      </c>
      <c r="M557" s="20"/>
      <c r="N557" s="6"/>
      <c r="O557" s="6"/>
      <c r="P557" s="5" t="str">
        <f aca="false">IF(A557="","",H557/90)</f>
        <v/>
      </c>
      <c r="Q557" s="5" t="str">
        <f aca="false">IF(A557="","",IFERROR(INDEX(Parâmetros!$C$6:$C$10,MATCH(F557,Parâmetros!$B$6:$B$10,0)),""))</f>
        <v/>
      </c>
      <c r="R557" s="5" t="str">
        <f aca="false">IF(OR(A557="",P557="",Q557=""),"",P557*Q557)</f>
        <v/>
      </c>
      <c r="S557" s="5" t="str">
        <f aca="false">IF(R557="","",MAX(0,R557-G557))</f>
        <v/>
      </c>
      <c r="T557" s="21" t="str">
        <f aca="false">IF(S557="","",S557*K557)</f>
        <v/>
      </c>
      <c r="U557" s="5" t="str">
        <f aca="false">IF(A557="","",IF(J557&gt;Parâmetros!$C$14,"SIM","NAO"))</f>
        <v/>
      </c>
      <c r="V557" s="5" t="str">
        <f aca="false">IF(B557="","",TRIM(LEFT(B557,IFERROR(FIND(" ",B557)-1,LEN(B557)))))</f>
        <v/>
      </c>
      <c r="W557" s="22"/>
      <c r="X557" s="5" t="str">
        <f aca="false">IF(A557="","",IF(W557&lt;&gt;"",W557,V557))</f>
        <v/>
      </c>
      <c r="Y557" s="5" t="str">
        <f aca="false">IF(A557="","",IF(COUNTIFS($X$2:$X$2001,X557,$D$2:$D$2001,"&lt;&gt;"&amp;D557,$C$2:$C$2001,C557)&gt;0,"SIM","NAO"))</f>
        <v/>
      </c>
      <c r="Z557" s="5" t="str">
        <f aca="false">IF(A557="","",IF(J557="","",IFERROR(360/J557,"")))</f>
        <v/>
      </c>
      <c r="AA557" s="5" t="str">
        <f aca="false">IF(A557="","",IF(H557=0,"Parado (sem venda 90d)",IF(Z557&gt;12,"Alto (&gt;12x/ano)",IF(Z557&gt;=4,"Medio (4-12x/ano)","Baixo (&lt;4x/ano)"))))</f>
        <v/>
      </c>
    </row>
    <row r="558" customFormat="false" ht="15" hidden="false" customHeight="true" outlineLevel="0" collapsed="false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18"/>
      <c r="L558" s="19" t="str">
        <f aca="false">IF(A558="","",G558*K558)</f>
        <v/>
      </c>
      <c r="M558" s="20"/>
      <c r="N558" s="6"/>
      <c r="O558" s="6"/>
      <c r="P558" s="5" t="str">
        <f aca="false">IF(A558="","",H558/90)</f>
        <v/>
      </c>
      <c r="Q558" s="5" t="str">
        <f aca="false">IF(A558="","",IFERROR(INDEX(Parâmetros!$C$6:$C$10,MATCH(F558,Parâmetros!$B$6:$B$10,0)),""))</f>
        <v/>
      </c>
      <c r="R558" s="5" t="str">
        <f aca="false">IF(OR(A558="",P558="",Q558=""),"",P558*Q558)</f>
        <v/>
      </c>
      <c r="S558" s="5" t="str">
        <f aca="false">IF(R558="","",MAX(0,R558-G558))</f>
        <v/>
      </c>
      <c r="T558" s="21" t="str">
        <f aca="false">IF(S558="","",S558*K558)</f>
        <v/>
      </c>
      <c r="U558" s="5" t="str">
        <f aca="false">IF(A558="","",IF(J558&gt;Parâmetros!$C$14,"SIM","NAO"))</f>
        <v/>
      </c>
      <c r="V558" s="5" t="str">
        <f aca="false">IF(B558="","",TRIM(LEFT(B558,IFERROR(FIND(" ",B558)-1,LEN(B558)))))</f>
        <v/>
      </c>
      <c r="W558" s="22"/>
      <c r="X558" s="5" t="str">
        <f aca="false">IF(A558="","",IF(W558&lt;&gt;"",W558,V558))</f>
        <v/>
      </c>
      <c r="Y558" s="5" t="str">
        <f aca="false">IF(A558="","",IF(COUNTIFS($X$2:$X$2001,X558,$D$2:$D$2001,"&lt;&gt;"&amp;D558,$C$2:$C$2001,C558)&gt;0,"SIM","NAO"))</f>
        <v/>
      </c>
      <c r="Z558" s="5" t="str">
        <f aca="false">IF(A558="","",IF(J558="","",IFERROR(360/J558,"")))</f>
        <v/>
      </c>
      <c r="AA558" s="5" t="str">
        <f aca="false">IF(A558="","",IF(H558=0,"Parado (sem venda 90d)",IF(Z558&gt;12,"Alto (&gt;12x/ano)",IF(Z558&gt;=4,"Medio (4-12x/ano)","Baixo (&lt;4x/ano)"))))</f>
        <v/>
      </c>
    </row>
    <row r="559" customFormat="false" ht="15" hidden="false" customHeight="true" outlineLevel="0" collapsed="false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18"/>
      <c r="L559" s="19" t="str">
        <f aca="false">IF(A559="","",G559*K559)</f>
        <v/>
      </c>
      <c r="M559" s="20"/>
      <c r="N559" s="6"/>
      <c r="O559" s="6"/>
      <c r="P559" s="5" t="str">
        <f aca="false">IF(A559="","",H559/90)</f>
        <v/>
      </c>
      <c r="Q559" s="5" t="str">
        <f aca="false">IF(A559="","",IFERROR(INDEX(Parâmetros!$C$6:$C$10,MATCH(F559,Parâmetros!$B$6:$B$10,0)),""))</f>
        <v/>
      </c>
      <c r="R559" s="5" t="str">
        <f aca="false">IF(OR(A559="",P559="",Q559=""),"",P559*Q559)</f>
        <v/>
      </c>
      <c r="S559" s="5" t="str">
        <f aca="false">IF(R559="","",MAX(0,R559-G559))</f>
        <v/>
      </c>
      <c r="T559" s="21" t="str">
        <f aca="false">IF(S559="","",S559*K559)</f>
        <v/>
      </c>
      <c r="U559" s="5" t="str">
        <f aca="false">IF(A559="","",IF(J559&gt;Parâmetros!$C$14,"SIM","NAO"))</f>
        <v/>
      </c>
      <c r="V559" s="5" t="str">
        <f aca="false">IF(B559="","",TRIM(LEFT(B559,IFERROR(FIND(" ",B559)-1,LEN(B559)))))</f>
        <v/>
      </c>
      <c r="W559" s="22"/>
      <c r="X559" s="5" t="str">
        <f aca="false">IF(A559="","",IF(W559&lt;&gt;"",W559,V559))</f>
        <v/>
      </c>
      <c r="Y559" s="5" t="str">
        <f aca="false">IF(A559="","",IF(COUNTIFS($X$2:$X$2001,X559,$D$2:$D$2001,"&lt;&gt;"&amp;D559,$C$2:$C$2001,C559)&gt;0,"SIM","NAO"))</f>
        <v/>
      </c>
      <c r="Z559" s="5" t="str">
        <f aca="false">IF(A559="","",IF(J559="","",IFERROR(360/J559,"")))</f>
        <v/>
      </c>
      <c r="AA559" s="5" t="str">
        <f aca="false">IF(A559="","",IF(H559=0,"Parado (sem venda 90d)",IF(Z559&gt;12,"Alto (&gt;12x/ano)",IF(Z559&gt;=4,"Medio (4-12x/ano)","Baixo (&lt;4x/ano)"))))</f>
        <v/>
      </c>
    </row>
    <row r="560" customFormat="false" ht="15" hidden="false" customHeight="true" outlineLevel="0" collapsed="false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18"/>
      <c r="L560" s="19" t="str">
        <f aca="false">IF(A560="","",G560*K560)</f>
        <v/>
      </c>
      <c r="M560" s="20"/>
      <c r="N560" s="6"/>
      <c r="O560" s="6"/>
      <c r="P560" s="5" t="str">
        <f aca="false">IF(A560="","",H560/90)</f>
        <v/>
      </c>
      <c r="Q560" s="5" t="str">
        <f aca="false">IF(A560="","",IFERROR(INDEX(Parâmetros!$C$6:$C$10,MATCH(F560,Parâmetros!$B$6:$B$10,0)),""))</f>
        <v/>
      </c>
      <c r="R560" s="5" t="str">
        <f aca="false">IF(OR(A560="",P560="",Q560=""),"",P560*Q560)</f>
        <v/>
      </c>
      <c r="S560" s="5" t="str">
        <f aca="false">IF(R560="","",MAX(0,R560-G560))</f>
        <v/>
      </c>
      <c r="T560" s="21" t="str">
        <f aca="false">IF(S560="","",S560*K560)</f>
        <v/>
      </c>
      <c r="U560" s="5" t="str">
        <f aca="false">IF(A560="","",IF(J560&gt;Parâmetros!$C$14,"SIM","NAO"))</f>
        <v/>
      </c>
      <c r="V560" s="5" t="str">
        <f aca="false">IF(B560="","",TRIM(LEFT(B560,IFERROR(FIND(" ",B560)-1,LEN(B560)))))</f>
        <v/>
      </c>
      <c r="W560" s="22"/>
      <c r="X560" s="5" t="str">
        <f aca="false">IF(A560="","",IF(W560&lt;&gt;"",W560,V560))</f>
        <v/>
      </c>
      <c r="Y560" s="5" t="str">
        <f aca="false">IF(A560="","",IF(COUNTIFS($X$2:$X$2001,X560,$D$2:$D$2001,"&lt;&gt;"&amp;D560,$C$2:$C$2001,C560)&gt;0,"SIM","NAO"))</f>
        <v/>
      </c>
      <c r="Z560" s="5" t="str">
        <f aca="false">IF(A560="","",IF(J560="","",IFERROR(360/J560,"")))</f>
        <v/>
      </c>
      <c r="AA560" s="5" t="str">
        <f aca="false">IF(A560="","",IF(H560=0,"Parado (sem venda 90d)",IF(Z560&gt;12,"Alto (&gt;12x/ano)",IF(Z560&gt;=4,"Medio (4-12x/ano)","Baixo (&lt;4x/ano)"))))</f>
        <v/>
      </c>
    </row>
    <row r="561" customFormat="false" ht="15" hidden="false" customHeight="true" outlineLevel="0" collapsed="false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18"/>
      <c r="L561" s="19" t="str">
        <f aca="false">IF(A561="","",G561*K561)</f>
        <v/>
      </c>
      <c r="M561" s="20"/>
      <c r="N561" s="6"/>
      <c r="O561" s="6"/>
      <c r="P561" s="5" t="str">
        <f aca="false">IF(A561="","",H561/90)</f>
        <v/>
      </c>
      <c r="Q561" s="5" t="str">
        <f aca="false">IF(A561="","",IFERROR(INDEX(Parâmetros!$C$6:$C$10,MATCH(F561,Parâmetros!$B$6:$B$10,0)),""))</f>
        <v/>
      </c>
      <c r="R561" s="5" t="str">
        <f aca="false">IF(OR(A561="",P561="",Q561=""),"",P561*Q561)</f>
        <v/>
      </c>
      <c r="S561" s="5" t="str">
        <f aca="false">IF(R561="","",MAX(0,R561-G561))</f>
        <v/>
      </c>
      <c r="T561" s="21" t="str">
        <f aca="false">IF(S561="","",S561*K561)</f>
        <v/>
      </c>
      <c r="U561" s="5" t="str">
        <f aca="false">IF(A561="","",IF(J561&gt;Parâmetros!$C$14,"SIM","NAO"))</f>
        <v/>
      </c>
      <c r="V561" s="5" t="str">
        <f aca="false">IF(B561="","",TRIM(LEFT(B561,IFERROR(FIND(" ",B561)-1,LEN(B561)))))</f>
        <v/>
      </c>
      <c r="W561" s="22"/>
      <c r="X561" s="5" t="str">
        <f aca="false">IF(A561="","",IF(W561&lt;&gt;"",W561,V561))</f>
        <v/>
      </c>
      <c r="Y561" s="5" t="str">
        <f aca="false">IF(A561="","",IF(COUNTIFS($X$2:$X$2001,X561,$D$2:$D$2001,"&lt;&gt;"&amp;D561,$C$2:$C$2001,C561)&gt;0,"SIM","NAO"))</f>
        <v/>
      </c>
      <c r="Z561" s="5" t="str">
        <f aca="false">IF(A561="","",IF(J561="","",IFERROR(360/J561,"")))</f>
        <v/>
      </c>
      <c r="AA561" s="5" t="str">
        <f aca="false">IF(A561="","",IF(H561=0,"Parado (sem venda 90d)",IF(Z561&gt;12,"Alto (&gt;12x/ano)",IF(Z561&gt;=4,"Medio (4-12x/ano)","Baixo (&lt;4x/ano)"))))</f>
        <v/>
      </c>
    </row>
    <row r="562" customFormat="false" ht="15" hidden="false" customHeight="true" outlineLevel="0" collapsed="false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18"/>
      <c r="L562" s="19" t="str">
        <f aca="false">IF(A562="","",G562*K562)</f>
        <v/>
      </c>
      <c r="M562" s="20"/>
      <c r="N562" s="6"/>
      <c r="O562" s="6"/>
      <c r="P562" s="5" t="str">
        <f aca="false">IF(A562="","",H562/90)</f>
        <v/>
      </c>
      <c r="Q562" s="5" t="str">
        <f aca="false">IF(A562="","",IFERROR(INDEX(Parâmetros!$C$6:$C$10,MATCH(F562,Parâmetros!$B$6:$B$10,0)),""))</f>
        <v/>
      </c>
      <c r="R562" s="5" t="str">
        <f aca="false">IF(OR(A562="",P562="",Q562=""),"",P562*Q562)</f>
        <v/>
      </c>
      <c r="S562" s="5" t="str">
        <f aca="false">IF(R562="","",MAX(0,R562-G562))</f>
        <v/>
      </c>
      <c r="T562" s="21" t="str">
        <f aca="false">IF(S562="","",S562*K562)</f>
        <v/>
      </c>
      <c r="U562" s="5" t="str">
        <f aca="false">IF(A562="","",IF(J562&gt;Parâmetros!$C$14,"SIM","NAO"))</f>
        <v/>
      </c>
      <c r="V562" s="5" t="str">
        <f aca="false">IF(B562="","",TRIM(LEFT(B562,IFERROR(FIND(" ",B562)-1,LEN(B562)))))</f>
        <v/>
      </c>
      <c r="W562" s="22"/>
      <c r="X562" s="5" t="str">
        <f aca="false">IF(A562="","",IF(W562&lt;&gt;"",W562,V562))</f>
        <v/>
      </c>
      <c r="Y562" s="5" t="str">
        <f aca="false">IF(A562="","",IF(COUNTIFS($X$2:$X$2001,X562,$D$2:$D$2001,"&lt;&gt;"&amp;D562,$C$2:$C$2001,C562)&gt;0,"SIM","NAO"))</f>
        <v/>
      </c>
      <c r="Z562" s="5" t="str">
        <f aca="false">IF(A562="","",IF(J562="","",IFERROR(360/J562,"")))</f>
        <v/>
      </c>
      <c r="AA562" s="5" t="str">
        <f aca="false">IF(A562="","",IF(H562=0,"Parado (sem venda 90d)",IF(Z562&gt;12,"Alto (&gt;12x/ano)",IF(Z562&gt;=4,"Medio (4-12x/ano)","Baixo (&lt;4x/ano)"))))</f>
        <v/>
      </c>
    </row>
    <row r="563" customFormat="false" ht="15" hidden="false" customHeight="true" outlineLevel="0" collapsed="false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18"/>
      <c r="L563" s="19" t="str">
        <f aca="false">IF(A563="","",G563*K563)</f>
        <v/>
      </c>
      <c r="M563" s="20"/>
      <c r="N563" s="6"/>
      <c r="O563" s="6"/>
      <c r="P563" s="5" t="str">
        <f aca="false">IF(A563="","",H563/90)</f>
        <v/>
      </c>
      <c r="Q563" s="5" t="str">
        <f aca="false">IF(A563="","",IFERROR(INDEX(Parâmetros!$C$6:$C$10,MATCH(F563,Parâmetros!$B$6:$B$10,0)),""))</f>
        <v/>
      </c>
      <c r="R563" s="5" t="str">
        <f aca="false">IF(OR(A563="",P563="",Q563=""),"",P563*Q563)</f>
        <v/>
      </c>
      <c r="S563" s="5" t="str">
        <f aca="false">IF(R563="","",MAX(0,R563-G563))</f>
        <v/>
      </c>
      <c r="T563" s="21" t="str">
        <f aca="false">IF(S563="","",S563*K563)</f>
        <v/>
      </c>
      <c r="U563" s="5" t="str">
        <f aca="false">IF(A563="","",IF(J563&gt;Parâmetros!$C$14,"SIM","NAO"))</f>
        <v/>
      </c>
      <c r="V563" s="5" t="str">
        <f aca="false">IF(B563="","",TRIM(LEFT(B563,IFERROR(FIND(" ",B563)-1,LEN(B563)))))</f>
        <v/>
      </c>
      <c r="W563" s="22"/>
      <c r="X563" s="5" t="str">
        <f aca="false">IF(A563="","",IF(W563&lt;&gt;"",W563,V563))</f>
        <v/>
      </c>
      <c r="Y563" s="5" t="str">
        <f aca="false">IF(A563="","",IF(COUNTIFS($X$2:$X$2001,X563,$D$2:$D$2001,"&lt;&gt;"&amp;D563,$C$2:$C$2001,C563)&gt;0,"SIM","NAO"))</f>
        <v/>
      </c>
      <c r="Z563" s="5" t="str">
        <f aca="false">IF(A563="","",IF(J563="","",IFERROR(360/J563,"")))</f>
        <v/>
      </c>
      <c r="AA563" s="5" t="str">
        <f aca="false">IF(A563="","",IF(H563=0,"Parado (sem venda 90d)",IF(Z563&gt;12,"Alto (&gt;12x/ano)",IF(Z563&gt;=4,"Medio (4-12x/ano)","Baixo (&lt;4x/ano)"))))</f>
        <v/>
      </c>
    </row>
    <row r="564" customFormat="false" ht="15" hidden="false" customHeight="true" outlineLevel="0" collapsed="false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18"/>
      <c r="L564" s="19" t="str">
        <f aca="false">IF(A564="","",G564*K564)</f>
        <v/>
      </c>
      <c r="M564" s="20"/>
      <c r="N564" s="6"/>
      <c r="O564" s="6"/>
      <c r="P564" s="5" t="str">
        <f aca="false">IF(A564="","",H564/90)</f>
        <v/>
      </c>
      <c r="Q564" s="5" t="str">
        <f aca="false">IF(A564="","",IFERROR(INDEX(Parâmetros!$C$6:$C$10,MATCH(F564,Parâmetros!$B$6:$B$10,0)),""))</f>
        <v/>
      </c>
      <c r="R564" s="5" t="str">
        <f aca="false">IF(OR(A564="",P564="",Q564=""),"",P564*Q564)</f>
        <v/>
      </c>
      <c r="S564" s="5" t="str">
        <f aca="false">IF(R564="","",MAX(0,R564-G564))</f>
        <v/>
      </c>
      <c r="T564" s="21" t="str">
        <f aca="false">IF(S564="","",S564*K564)</f>
        <v/>
      </c>
      <c r="U564" s="5" t="str">
        <f aca="false">IF(A564="","",IF(J564&gt;Parâmetros!$C$14,"SIM","NAO"))</f>
        <v/>
      </c>
      <c r="V564" s="5" t="str">
        <f aca="false">IF(B564="","",TRIM(LEFT(B564,IFERROR(FIND(" ",B564)-1,LEN(B564)))))</f>
        <v/>
      </c>
      <c r="W564" s="22"/>
      <c r="X564" s="5" t="str">
        <f aca="false">IF(A564="","",IF(W564&lt;&gt;"",W564,V564))</f>
        <v/>
      </c>
      <c r="Y564" s="5" t="str">
        <f aca="false">IF(A564="","",IF(COUNTIFS($X$2:$X$2001,X564,$D$2:$D$2001,"&lt;&gt;"&amp;D564,$C$2:$C$2001,C564)&gt;0,"SIM","NAO"))</f>
        <v/>
      </c>
      <c r="Z564" s="5" t="str">
        <f aca="false">IF(A564="","",IF(J564="","",IFERROR(360/J564,"")))</f>
        <v/>
      </c>
      <c r="AA564" s="5" t="str">
        <f aca="false">IF(A564="","",IF(H564=0,"Parado (sem venda 90d)",IF(Z564&gt;12,"Alto (&gt;12x/ano)",IF(Z564&gt;=4,"Medio (4-12x/ano)","Baixo (&lt;4x/ano)"))))</f>
        <v/>
      </c>
    </row>
    <row r="565" customFormat="false" ht="15" hidden="false" customHeight="true" outlineLevel="0" collapsed="false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18"/>
      <c r="L565" s="19" t="str">
        <f aca="false">IF(A565="","",G565*K565)</f>
        <v/>
      </c>
      <c r="M565" s="20"/>
      <c r="N565" s="6"/>
      <c r="O565" s="6"/>
      <c r="P565" s="5" t="str">
        <f aca="false">IF(A565="","",H565/90)</f>
        <v/>
      </c>
      <c r="Q565" s="5" t="str">
        <f aca="false">IF(A565="","",IFERROR(INDEX(Parâmetros!$C$6:$C$10,MATCH(F565,Parâmetros!$B$6:$B$10,0)),""))</f>
        <v/>
      </c>
      <c r="R565" s="5" t="str">
        <f aca="false">IF(OR(A565="",P565="",Q565=""),"",P565*Q565)</f>
        <v/>
      </c>
      <c r="S565" s="5" t="str">
        <f aca="false">IF(R565="","",MAX(0,R565-G565))</f>
        <v/>
      </c>
      <c r="T565" s="21" t="str">
        <f aca="false">IF(S565="","",S565*K565)</f>
        <v/>
      </c>
      <c r="U565" s="5" t="str">
        <f aca="false">IF(A565="","",IF(J565&gt;Parâmetros!$C$14,"SIM","NAO"))</f>
        <v/>
      </c>
      <c r="V565" s="5" t="str">
        <f aca="false">IF(B565="","",TRIM(LEFT(B565,IFERROR(FIND(" ",B565)-1,LEN(B565)))))</f>
        <v/>
      </c>
      <c r="W565" s="22"/>
      <c r="X565" s="5" t="str">
        <f aca="false">IF(A565="","",IF(W565&lt;&gt;"",W565,V565))</f>
        <v/>
      </c>
      <c r="Y565" s="5" t="str">
        <f aca="false">IF(A565="","",IF(COUNTIFS($X$2:$X$2001,X565,$D$2:$D$2001,"&lt;&gt;"&amp;D565,$C$2:$C$2001,C565)&gt;0,"SIM","NAO"))</f>
        <v/>
      </c>
      <c r="Z565" s="5" t="str">
        <f aca="false">IF(A565="","",IF(J565="","",IFERROR(360/J565,"")))</f>
        <v/>
      </c>
      <c r="AA565" s="5" t="str">
        <f aca="false">IF(A565="","",IF(H565=0,"Parado (sem venda 90d)",IF(Z565&gt;12,"Alto (&gt;12x/ano)",IF(Z565&gt;=4,"Medio (4-12x/ano)","Baixo (&lt;4x/ano)"))))</f>
        <v/>
      </c>
    </row>
    <row r="566" customFormat="false" ht="15" hidden="false" customHeight="true" outlineLevel="0" collapsed="false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18"/>
      <c r="L566" s="19" t="str">
        <f aca="false">IF(A566="","",G566*K566)</f>
        <v/>
      </c>
      <c r="M566" s="20"/>
      <c r="N566" s="6"/>
      <c r="O566" s="6"/>
      <c r="P566" s="5" t="str">
        <f aca="false">IF(A566="","",H566/90)</f>
        <v/>
      </c>
      <c r="Q566" s="5" t="str">
        <f aca="false">IF(A566="","",IFERROR(INDEX(Parâmetros!$C$6:$C$10,MATCH(F566,Parâmetros!$B$6:$B$10,0)),""))</f>
        <v/>
      </c>
      <c r="R566" s="5" t="str">
        <f aca="false">IF(OR(A566="",P566="",Q566=""),"",P566*Q566)</f>
        <v/>
      </c>
      <c r="S566" s="5" t="str">
        <f aca="false">IF(R566="","",MAX(0,R566-G566))</f>
        <v/>
      </c>
      <c r="T566" s="21" t="str">
        <f aca="false">IF(S566="","",S566*K566)</f>
        <v/>
      </c>
      <c r="U566" s="5" t="str">
        <f aca="false">IF(A566="","",IF(J566&gt;Parâmetros!$C$14,"SIM","NAO"))</f>
        <v/>
      </c>
      <c r="V566" s="5" t="str">
        <f aca="false">IF(B566="","",TRIM(LEFT(B566,IFERROR(FIND(" ",B566)-1,LEN(B566)))))</f>
        <v/>
      </c>
      <c r="W566" s="22"/>
      <c r="X566" s="5" t="str">
        <f aca="false">IF(A566="","",IF(W566&lt;&gt;"",W566,V566))</f>
        <v/>
      </c>
      <c r="Y566" s="5" t="str">
        <f aca="false">IF(A566="","",IF(COUNTIFS($X$2:$X$2001,X566,$D$2:$D$2001,"&lt;&gt;"&amp;D566,$C$2:$C$2001,C566)&gt;0,"SIM","NAO"))</f>
        <v/>
      </c>
      <c r="Z566" s="5" t="str">
        <f aca="false">IF(A566="","",IF(J566="","",IFERROR(360/J566,"")))</f>
        <v/>
      </c>
      <c r="AA566" s="5" t="str">
        <f aca="false">IF(A566="","",IF(H566=0,"Parado (sem venda 90d)",IF(Z566&gt;12,"Alto (&gt;12x/ano)",IF(Z566&gt;=4,"Medio (4-12x/ano)","Baixo (&lt;4x/ano)"))))</f>
        <v/>
      </c>
    </row>
    <row r="567" customFormat="false" ht="15" hidden="false" customHeight="true" outlineLevel="0" collapsed="false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18"/>
      <c r="L567" s="19" t="str">
        <f aca="false">IF(A567="","",G567*K567)</f>
        <v/>
      </c>
      <c r="M567" s="20"/>
      <c r="N567" s="6"/>
      <c r="O567" s="6"/>
      <c r="P567" s="5" t="str">
        <f aca="false">IF(A567="","",H567/90)</f>
        <v/>
      </c>
      <c r="Q567" s="5" t="str">
        <f aca="false">IF(A567="","",IFERROR(INDEX(Parâmetros!$C$6:$C$10,MATCH(F567,Parâmetros!$B$6:$B$10,0)),""))</f>
        <v/>
      </c>
      <c r="R567" s="5" t="str">
        <f aca="false">IF(OR(A567="",P567="",Q567=""),"",P567*Q567)</f>
        <v/>
      </c>
      <c r="S567" s="5" t="str">
        <f aca="false">IF(R567="","",MAX(0,R567-G567))</f>
        <v/>
      </c>
      <c r="T567" s="21" t="str">
        <f aca="false">IF(S567="","",S567*K567)</f>
        <v/>
      </c>
      <c r="U567" s="5" t="str">
        <f aca="false">IF(A567="","",IF(J567&gt;Parâmetros!$C$14,"SIM","NAO"))</f>
        <v/>
      </c>
      <c r="V567" s="5" t="str">
        <f aca="false">IF(B567="","",TRIM(LEFT(B567,IFERROR(FIND(" ",B567)-1,LEN(B567)))))</f>
        <v/>
      </c>
      <c r="W567" s="22"/>
      <c r="X567" s="5" t="str">
        <f aca="false">IF(A567="","",IF(W567&lt;&gt;"",W567,V567))</f>
        <v/>
      </c>
      <c r="Y567" s="5" t="str">
        <f aca="false">IF(A567="","",IF(COUNTIFS($X$2:$X$2001,X567,$D$2:$D$2001,"&lt;&gt;"&amp;D567,$C$2:$C$2001,C567)&gt;0,"SIM","NAO"))</f>
        <v/>
      </c>
      <c r="Z567" s="5" t="str">
        <f aca="false">IF(A567="","",IF(J567="","",IFERROR(360/J567,"")))</f>
        <v/>
      </c>
      <c r="AA567" s="5" t="str">
        <f aca="false">IF(A567="","",IF(H567=0,"Parado (sem venda 90d)",IF(Z567&gt;12,"Alto (&gt;12x/ano)",IF(Z567&gt;=4,"Medio (4-12x/ano)","Baixo (&lt;4x/ano)"))))</f>
        <v/>
      </c>
    </row>
    <row r="568" customFormat="false" ht="15" hidden="false" customHeight="true" outlineLevel="0" collapsed="false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18"/>
      <c r="L568" s="19" t="str">
        <f aca="false">IF(A568="","",G568*K568)</f>
        <v/>
      </c>
      <c r="M568" s="20"/>
      <c r="N568" s="6"/>
      <c r="O568" s="6"/>
      <c r="P568" s="5" t="str">
        <f aca="false">IF(A568="","",H568/90)</f>
        <v/>
      </c>
      <c r="Q568" s="5" t="str">
        <f aca="false">IF(A568="","",IFERROR(INDEX(Parâmetros!$C$6:$C$10,MATCH(F568,Parâmetros!$B$6:$B$10,0)),""))</f>
        <v/>
      </c>
      <c r="R568" s="5" t="str">
        <f aca="false">IF(OR(A568="",P568="",Q568=""),"",P568*Q568)</f>
        <v/>
      </c>
      <c r="S568" s="5" t="str">
        <f aca="false">IF(R568="","",MAX(0,R568-G568))</f>
        <v/>
      </c>
      <c r="T568" s="21" t="str">
        <f aca="false">IF(S568="","",S568*K568)</f>
        <v/>
      </c>
      <c r="U568" s="5" t="str">
        <f aca="false">IF(A568="","",IF(J568&gt;Parâmetros!$C$14,"SIM","NAO"))</f>
        <v/>
      </c>
      <c r="V568" s="5" t="str">
        <f aca="false">IF(B568="","",TRIM(LEFT(B568,IFERROR(FIND(" ",B568)-1,LEN(B568)))))</f>
        <v/>
      </c>
      <c r="W568" s="22"/>
      <c r="X568" s="5" t="str">
        <f aca="false">IF(A568="","",IF(W568&lt;&gt;"",W568,V568))</f>
        <v/>
      </c>
      <c r="Y568" s="5" t="str">
        <f aca="false">IF(A568="","",IF(COUNTIFS($X$2:$X$2001,X568,$D$2:$D$2001,"&lt;&gt;"&amp;D568,$C$2:$C$2001,C568)&gt;0,"SIM","NAO"))</f>
        <v/>
      </c>
      <c r="Z568" s="5" t="str">
        <f aca="false">IF(A568="","",IF(J568="","",IFERROR(360/J568,"")))</f>
        <v/>
      </c>
      <c r="AA568" s="5" t="str">
        <f aca="false">IF(A568="","",IF(H568=0,"Parado (sem venda 90d)",IF(Z568&gt;12,"Alto (&gt;12x/ano)",IF(Z568&gt;=4,"Medio (4-12x/ano)","Baixo (&lt;4x/ano)"))))</f>
        <v/>
      </c>
    </row>
    <row r="569" customFormat="false" ht="15" hidden="false" customHeight="true" outlineLevel="0" collapsed="false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18"/>
      <c r="L569" s="19" t="str">
        <f aca="false">IF(A569="","",G569*K569)</f>
        <v/>
      </c>
      <c r="M569" s="20"/>
      <c r="N569" s="6"/>
      <c r="O569" s="6"/>
      <c r="P569" s="5" t="str">
        <f aca="false">IF(A569="","",H569/90)</f>
        <v/>
      </c>
      <c r="Q569" s="5" t="str">
        <f aca="false">IF(A569="","",IFERROR(INDEX(Parâmetros!$C$6:$C$10,MATCH(F569,Parâmetros!$B$6:$B$10,0)),""))</f>
        <v/>
      </c>
      <c r="R569" s="5" t="str">
        <f aca="false">IF(OR(A569="",P569="",Q569=""),"",P569*Q569)</f>
        <v/>
      </c>
      <c r="S569" s="5" t="str">
        <f aca="false">IF(R569="","",MAX(0,R569-G569))</f>
        <v/>
      </c>
      <c r="T569" s="21" t="str">
        <f aca="false">IF(S569="","",S569*K569)</f>
        <v/>
      </c>
      <c r="U569" s="5" t="str">
        <f aca="false">IF(A569="","",IF(J569&gt;Parâmetros!$C$14,"SIM","NAO"))</f>
        <v/>
      </c>
      <c r="V569" s="5" t="str">
        <f aca="false">IF(B569="","",TRIM(LEFT(B569,IFERROR(FIND(" ",B569)-1,LEN(B569)))))</f>
        <v/>
      </c>
      <c r="W569" s="22"/>
      <c r="X569" s="5" t="str">
        <f aca="false">IF(A569="","",IF(W569&lt;&gt;"",W569,V569))</f>
        <v/>
      </c>
      <c r="Y569" s="5" t="str">
        <f aca="false">IF(A569="","",IF(COUNTIFS($X$2:$X$2001,X569,$D$2:$D$2001,"&lt;&gt;"&amp;D569,$C$2:$C$2001,C569)&gt;0,"SIM","NAO"))</f>
        <v/>
      </c>
      <c r="Z569" s="5" t="str">
        <f aca="false">IF(A569="","",IF(J569="","",IFERROR(360/J569,"")))</f>
        <v/>
      </c>
      <c r="AA569" s="5" t="str">
        <f aca="false">IF(A569="","",IF(H569=0,"Parado (sem venda 90d)",IF(Z569&gt;12,"Alto (&gt;12x/ano)",IF(Z569&gt;=4,"Medio (4-12x/ano)","Baixo (&lt;4x/ano)"))))</f>
        <v/>
      </c>
    </row>
    <row r="570" customFormat="false" ht="15" hidden="false" customHeight="true" outlineLevel="0" collapsed="false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18"/>
      <c r="L570" s="19" t="str">
        <f aca="false">IF(A570="","",G570*K570)</f>
        <v/>
      </c>
      <c r="M570" s="20"/>
      <c r="N570" s="6"/>
      <c r="O570" s="6"/>
      <c r="P570" s="5" t="str">
        <f aca="false">IF(A570="","",H570/90)</f>
        <v/>
      </c>
      <c r="Q570" s="5" t="str">
        <f aca="false">IF(A570="","",IFERROR(INDEX(Parâmetros!$C$6:$C$10,MATCH(F570,Parâmetros!$B$6:$B$10,0)),""))</f>
        <v/>
      </c>
      <c r="R570" s="5" t="str">
        <f aca="false">IF(OR(A570="",P570="",Q570=""),"",P570*Q570)</f>
        <v/>
      </c>
      <c r="S570" s="5" t="str">
        <f aca="false">IF(R570="","",MAX(0,R570-G570))</f>
        <v/>
      </c>
      <c r="T570" s="21" t="str">
        <f aca="false">IF(S570="","",S570*K570)</f>
        <v/>
      </c>
      <c r="U570" s="5" t="str">
        <f aca="false">IF(A570="","",IF(J570&gt;Parâmetros!$C$14,"SIM","NAO"))</f>
        <v/>
      </c>
      <c r="V570" s="5" t="str">
        <f aca="false">IF(B570="","",TRIM(LEFT(B570,IFERROR(FIND(" ",B570)-1,LEN(B570)))))</f>
        <v/>
      </c>
      <c r="W570" s="22"/>
      <c r="X570" s="5" t="str">
        <f aca="false">IF(A570="","",IF(W570&lt;&gt;"",W570,V570))</f>
        <v/>
      </c>
      <c r="Y570" s="5" t="str">
        <f aca="false">IF(A570="","",IF(COUNTIFS($X$2:$X$2001,X570,$D$2:$D$2001,"&lt;&gt;"&amp;D570,$C$2:$C$2001,C570)&gt;0,"SIM","NAO"))</f>
        <v/>
      </c>
      <c r="Z570" s="5" t="str">
        <f aca="false">IF(A570="","",IF(J570="","",IFERROR(360/J570,"")))</f>
        <v/>
      </c>
      <c r="AA570" s="5" t="str">
        <f aca="false">IF(A570="","",IF(H570=0,"Parado (sem venda 90d)",IF(Z570&gt;12,"Alto (&gt;12x/ano)",IF(Z570&gt;=4,"Medio (4-12x/ano)","Baixo (&lt;4x/ano)"))))</f>
        <v/>
      </c>
    </row>
    <row r="571" customFormat="false" ht="15" hidden="false" customHeight="true" outlineLevel="0" collapsed="false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18"/>
      <c r="L571" s="19" t="str">
        <f aca="false">IF(A571="","",G571*K571)</f>
        <v/>
      </c>
      <c r="M571" s="20"/>
      <c r="N571" s="6"/>
      <c r="O571" s="6"/>
      <c r="P571" s="5" t="str">
        <f aca="false">IF(A571="","",H571/90)</f>
        <v/>
      </c>
      <c r="Q571" s="5" t="str">
        <f aca="false">IF(A571="","",IFERROR(INDEX(Parâmetros!$C$6:$C$10,MATCH(F571,Parâmetros!$B$6:$B$10,0)),""))</f>
        <v/>
      </c>
      <c r="R571" s="5" t="str">
        <f aca="false">IF(OR(A571="",P571="",Q571=""),"",P571*Q571)</f>
        <v/>
      </c>
      <c r="S571" s="5" t="str">
        <f aca="false">IF(R571="","",MAX(0,R571-G571))</f>
        <v/>
      </c>
      <c r="T571" s="21" t="str">
        <f aca="false">IF(S571="","",S571*K571)</f>
        <v/>
      </c>
      <c r="U571" s="5" t="str">
        <f aca="false">IF(A571="","",IF(J571&gt;Parâmetros!$C$14,"SIM","NAO"))</f>
        <v/>
      </c>
      <c r="V571" s="5" t="str">
        <f aca="false">IF(B571="","",TRIM(LEFT(B571,IFERROR(FIND(" ",B571)-1,LEN(B571)))))</f>
        <v/>
      </c>
      <c r="W571" s="22"/>
      <c r="X571" s="5" t="str">
        <f aca="false">IF(A571="","",IF(W571&lt;&gt;"",W571,V571))</f>
        <v/>
      </c>
      <c r="Y571" s="5" t="str">
        <f aca="false">IF(A571="","",IF(COUNTIFS($X$2:$X$2001,X571,$D$2:$D$2001,"&lt;&gt;"&amp;D571,$C$2:$C$2001,C571)&gt;0,"SIM","NAO"))</f>
        <v/>
      </c>
      <c r="Z571" s="5" t="str">
        <f aca="false">IF(A571="","",IF(J571="","",IFERROR(360/J571,"")))</f>
        <v/>
      </c>
      <c r="AA571" s="5" t="str">
        <f aca="false">IF(A571="","",IF(H571=0,"Parado (sem venda 90d)",IF(Z571&gt;12,"Alto (&gt;12x/ano)",IF(Z571&gt;=4,"Medio (4-12x/ano)","Baixo (&lt;4x/ano)"))))</f>
        <v/>
      </c>
    </row>
    <row r="572" customFormat="false" ht="15" hidden="false" customHeight="true" outlineLevel="0" collapsed="false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18"/>
      <c r="L572" s="19" t="str">
        <f aca="false">IF(A572="","",G572*K572)</f>
        <v/>
      </c>
      <c r="M572" s="20"/>
      <c r="N572" s="6"/>
      <c r="O572" s="6"/>
      <c r="P572" s="5" t="str">
        <f aca="false">IF(A572="","",H572/90)</f>
        <v/>
      </c>
      <c r="Q572" s="5" t="str">
        <f aca="false">IF(A572="","",IFERROR(INDEX(Parâmetros!$C$6:$C$10,MATCH(F572,Parâmetros!$B$6:$B$10,0)),""))</f>
        <v/>
      </c>
      <c r="R572" s="5" t="str">
        <f aca="false">IF(OR(A572="",P572="",Q572=""),"",P572*Q572)</f>
        <v/>
      </c>
      <c r="S572" s="5" t="str">
        <f aca="false">IF(R572="","",MAX(0,R572-G572))</f>
        <v/>
      </c>
      <c r="T572" s="21" t="str">
        <f aca="false">IF(S572="","",S572*K572)</f>
        <v/>
      </c>
      <c r="U572" s="5" t="str">
        <f aca="false">IF(A572="","",IF(J572&gt;Parâmetros!$C$14,"SIM","NAO"))</f>
        <v/>
      </c>
      <c r="V572" s="5" t="str">
        <f aca="false">IF(B572="","",TRIM(LEFT(B572,IFERROR(FIND(" ",B572)-1,LEN(B572)))))</f>
        <v/>
      </c>
      <c r="W572" s="22"/>
      <c r="X572" s="5" t="str">
        <f aca="false">IF(A572="","",IF(W572&lt;&gt;"",W572,V572))</f>
        <v/>
      </c>
      <c r="Y572" s="5" t="str">
        <f aca="false">IF(A572="","",IF(COUNTIFS($X$2:$X$2001,X572,$D$2:$D$2001,"&lt;&gt;"&amp;D572,$C$2:$C$2001,C572)&gt;0,"SIM","NAO"))</f>
        <v/>
      </c>
      <c r="Z572" s="5" t="str">
        <f aca="false">IF(A572="","",IF(J572="","",IFERROR(360/J572,"")))</f>
        <v/>
      </c>
      <c r="AA572" s="5" t="str">
        <f aca="false">IF(A572="","",IF(H572=0,"Parado (sem venda 90d)",IF(Z572&gt;12,"Alto (&gt;12x/ano)",IF(Z572&gt;=4,"Medio (4-12x/ano)","Baixo (&lt;4x/ano)"))))</f>
        <v/>
      </c>
    </row>
    <row r="573" customFormat="false" ht="15" hidden="false" customHeight="true" outlineLevel="0" collapsed="false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18"/>
      <c r="L573" s="19" t="str">
        <f aca="false">IF(A573="","",G573*K573)</f>
        <v/>
      </c>
      <c r="M573" s="20"/>
      <c r="N573" s="6"/>
      <c r="O573" s="6"/>
      <c r="P573" s="5" t="str">
        <f aca="false">IF(A573="","",H573/90)</f>
        <v/>
      </c>
      <c r="Q573" s="5" t="str">
        <f aca="false">IF(A573="","",IFERROR(INDEX(Parâmetros!$C$6:$C$10,MATCH(F573,Parâmetros!$B$6:$B$10,0)),""))</f>
        <v/>
      </c>
      <c r="R573" s="5" t="str">
        <f aca="false">IF(OR(A573="",P573="",Q573=""),"",P573*Q573)</f>
        <v/>
      </c>
      <c r="S573" s="5" t="str">
        <f aca="false">IF(R573="","",MAX(0,R573-G573))</f>
        <v/>
      </c>
      <c r="T573" s="21" t="str">
        <f aca="false">IF(S573="","",S573*K573)</f>
        <v/>
      </c>
      <c r="U573" s="5" t="str">
        <f aca="false">IF(A573="","",IF(J573&gt;Parâmetros!$C$14,"SIM","NAO"))</f>
        <v/>
      </c>
      <c r="V573" s="5" t="str">
        <f aca="false">IF(B573="","",TRIM(LEFT(B573,IFERROR(FIND(" ",B573)-1,LEN(B573)))))</f>
        <v/>
      </c>
      <c r="W573" s="22"/>
      <c r="X573" s="5" t="str">
        <f aca="false">IF(A573="","",IF(W573&lt;&gt;"",W573,V573))</f>
        <v/>
      </c>
      <c r="Y573" s="5" t="str">
        <f aca="false">IF(A573="","",IF(COUNTIFS($X$2:$X$2001,X573,$D$2:$D$2001,"&lt;&gt;"&amp;D573,$C$2:$C$2001,C573)&gt;0,"SIM","NAO"))</f>
        <v/>
      </c>
      <c r="Z573" s="5" t="str">
        <f aca="false">IF(A573="","",IF(J573="","",IFERROR(360/J573,"")))</f>
        <v/>
      </c>
      <c r="AA573" s="5" t="str">
        <f aca="false">IF(A573="","",IF(H573=0,"Parado (sem venda 90d)",IF(Z573&gt;12,"Alto (&gt;12x/ano)",IF(Z573&gt;=4,"Medio (4-12x/ano)","Baixo (&lt;4x/ano)"))))</f>
        <v/>
      </c>
    </row>
    <row r="574" customFormat="false" ht="15" hidden="false" customHeight="true" outlineLevel="0" collapsed="false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18"/>
      <c r="L574" s="19" t="str">
        <f aca="false">IF(A574="","",G574*K574)</f>
        <v/>
      </c>
      <c r="M574" s="20"/>
      <c r="N574" s="6"/>
      <c r="O574" s="6"/>
      <c r="P574" s="5" t="str">
        <f aca="false">IF(A574="","",H574/90)</f>
        <v/>
      </c>
      <c r="Q574" s="5" t="str">
        <f aca="false">IF(A574="","",IFERROR(INDEX(Parâmetros!$C$6:$C$10,MATCH(F574,Parâmetros!$B$6:$B$10,0)),""))</f>
        <v/>
      </c>
      <c r="R574" s="5" t="str">
        <f aca="false">IF(OR(A574="",P574="",Q574=""),"",P574*Q574)</f>
        <v/>
      </c>
      <c r="S574" s="5" t="str">
        <f aca="false">IF(R574="","",MAX(0,R574-G574))</f>
        <v/>
      </c>
      <c r="T574" s="21" t="str">
        <f aca="false">IF(S574="","",S574*K574)</f>
        <v/>
      </c>
      <c r="U574" s="5" t="str">
        <f aca="false">IF(A574="","",IF(J574&gt;Parâmetros!$C$14,"SIM","NAO"))</f>
        <v/>
      </c>
      <c r="V574" s="5" t="str">
        <f aca="false">IF(B574="","",TRIM(LEFT(B574,IFERROR(FIND(" ",B574)-1,LEN(B574)))))</f>
        <v/>
      </c>
      <c r="W574" s="22"/>
      <c r="X574" s="5" t="str">
        <f aca="false">IF(A574="","",IF(W574&lt;&gt;"",W574,V574))</f>
        <v/>
      </c>
      <c r="Y574" s="5" t="str">
        <f aca="false">IF(A574="","",IF(COUNTIFS($X$2:$X$2001,X574,$D$2:$D$2001,"&lt;&gt;"&amp;D574,$C$2:$C$2001,C574)&gt;0,"SIM","NAO"))</f>
        <v/>
      </c>
      <c r="Z574" s="5" t="str">
        <f aca="false">IF(A574="","",IF(J574="","",IFERROR(360/J574,"")))</f>
        <v/>
      </c>
      <c r="AA574" s="5" t="str">
        <f aca="false">IF(A574="","",IF(H574=0,"Parado (sem venda 90d)",IF(Z574&gt;12,"Alto (&gt;12x/ano)",IF(Z574&gt;=4,"Medio (4-12x/ano)","Baixo (&lt;4x/ano)"))))</f>
        <v/>
      </c>
    </row>
    <row r="575" customFormat="false" ht="15" hidden="false" customHeight="true" outlineLevel="0" collapsed="false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18"/>
      <c r="L575" s="19" t="str">
        <f aca="false">IF(A575="","",G575*K575)</f>
        <v/>
      </c>
      <c r="M575" s="20"/>
      <c r="N575" s="6"/>
      <c r="O575" s="6"/>
      <c r="P575" s="5" t="str">
        <f aca="false">IF(A575="","",H575/90)</f>
        <v/>
      </c>
      <c r="Q575" s="5" t="str">
        <f aca="false">IF(A575="","",IFERROR(INDEX(Parâmetros!$C$6:$C$10,MATCH(F575,Parâmetros!$B$6:$B$10,0)),""))</f>
        <v/>
      </c>
      <c r="R575" s="5" t="str">
        <f aca="false">IF(OR(A575="",P575="",Q575=""),"",P575*Q575)</f>
        <v/>
      </c>
      <c r="S575" s="5" t="str">
        <f aca="false">IF(R575="","",MAX(0,R575-G575))</f>
        <v/>
      </c>
      <c r="T575" s="21" t="str">
        <f aca="false">IF(S575="","",S575*K575)</f>
        <v/>
      </c>
      <c r="U575" s="5" t="str">
        <f aca="false">IF(A575="","",IF(J575&gt;Parâmetros!$C$14,"SIM","NAO"))</f>
        <v/>
      </c>
      <c r="V575" s="5" t="str">
        <f aca="false">IF(B575="","",TRIM(LEFT(B575,IFERROR(FIND(" ",B575)-1,LEN(B575)))))</f>
        <v/>
      </c>
      <c r="W575" s="22"/>
      <c r="X575" s="5" t="str">
        <f aca="false">IF(A575="","",IF(W575&lt;&gt;"",W575,V575))</f>
        <v/>
      </c>
      <c r="Y575" s="5" t="str">
        <f aca="false">IF(A575="","",IF(COUNTIFS($X$2:$X$2001,X575,$D$2:$D$2001,"&lt;&gt;"&amp;D575,$C$2:$C$2001,C575)&gt;0,"SIM","NAO"))</f>
        <v/>
      </c>
      <c r="Z575" s="5" t="str">
        <f aca="false">IF(A575="","",IF(J575="","",IFERROR(360/J575,"")))</f>
        <v/>
      </c>
      <c r="AA575" s="5" t="str">
        <f aca="false">IF(A575="","",IF(H575=0,"Parado (sem venda 90d)",IF(Z575&gt;12,"Alto (&gt;12x/ano)",IF(Z575&gt;=4,"Medio (4-12x/ano)","Baixo (&lt;4x/ano)"))))</f>
        <v/>
      </c>
    </row>
    <row r="576" customFormat="false" ht="15" hidden="false" customHeight="true" outlineLevel="0" collapsed="false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18"/>
      <c r="L576" s="19" t="str">
        <f aca="false">IF(A576="","",G576*K576)</f>
        <v/>
      </c>
      <c r="M576" s="20"/>
      <c r="N576" s="6"/>
      <c r="O576" s="6"/>
      <c r="P576" s="5" t="str">
        <f aca="false">IF(A576="","",H576/90)</f>
        <v/>
      </c>
      <c r="Q576" s="5" t="str">
        <f aca="false">IF(A576="","",IFERROR(INDEX(Parâmetros!$C$6:$C$10,MATCH(F576,Parâmetros!$B$6:$B$10,0)),""))</f>
        <v/>
      </c>
      <c r="R576" s="5" t="str">
        <f aca="false">IF(OR(A576="",P576="",Q576=""),"",P576*Q576)</f>
        <v/>
      </c>
      <c r="S576" s="5" t="str">
        <f aca="false">IF(R576="","",MAX(0,R576-G576))</f>
        <v/>
      </c>
      <c r="T576" s="21" t="str">
        <f aca="false">IF(S576="","",S576*K576)</f>
        <v/>
      </c>
      <c r="U576" s="5" t="str">
        <f aca="false">IF(A576="","",IF(J576&gt;Parâmetros!$C$14,"SIM","NAO"))</f>
        <v/>
      </c>
      <c r="V576" s="5" t="str">
        <f aca="false">IF(B576="","",TRIM(LEFT(B576,IFERROR(FIND(" ",B576)-1,LEN(B576)))))</f>
        <v/>
      </c>
      <c r="W576" s="22"/>
      <c r="X576" s="5" t="str">
        <f aca="false">IF(A576="","",IF(W576&lt;&gt;"",W576,V576))</f>
        <v/>
      </c>
      <c r="Y576" s="5" t="str">
        <f aca="false">IF(A576="","",IF(COUNTIFS($X$2:$X$2001,X576,$D$2:$D$2001,"&lt;&gt;"&amp;D576,$C$2:$C$2001,C576)&gt;0,"SIM","NAO"))</f>
        <v/>
      </c>
      <c r="Z576" s="5" t="str">
        <f aca="false">IF(A576="","",IF(J576="","",IFERROR(360/J576,"")))</f>
        <v/>
      </c>
      <c r="AA576" s="5" t="str">
        <f aca="false">IF(A576="","",IF(H576=0,"Parado (sem venda 90d)",IF(Z576&gt;12,"Alto (&gt;12x/ano)",IF(Z576&gt;=4,"Medio (4-12x/ano)","Baixo (&lt;4x/ano)"))))</f>
        <v/>
      </c>
    </row>
    <row r="577" customFormat="false" ht="15" hidden="false" customHeight="true" outlineLevel="0" collapsed="false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18"/>
      <c r="L577" s="19" t="str">
        <f aca="false">IF(A577="","",G577*K577)</f>
        <v/>
      </c>
      <c r="M577" s="20"/>
      <c r="N577" s="6"/>
      <c r="O577" s="6"/>
      <c r="P577" s="5" t="str">
        <f aca="false">IF(A577="","",H577/90)</f>
        <v/>
      </c>
      <c r="Q577" s="5" t="str">
        <f aca="false">IF(A577="","",IFERROR(INDEX(Parâmetros!$C$6:$C$10,MATCH(F577,Parâmetros!$B$6:$B$10,0)),""))</f>
        <v/>
      </c>
      <c r="R577" s="5" t="str">
        <f aca="false">IF(OR(A577="",P577="",Q577=""),"",P577*Q577)</f>
        <v/>
      </c>
      <c r="S577" s="5" t="str">
        <f aca="false">IF(R577="","",MAX(0,R577-G577))</f>
        <v/>
      </c>
      <c r="T577" s="21" t="str">
        <f aca="false">IF(S577="","",S577*K577)</f>
        <v/>
      </c>
      <c r="U577" s="5" t="str">
        <f aca="false">IF(A577="","",IF(J577&gt;Parâmetros!$C$14,"SIM","NAO"))</f>
        <v/>
      </c>
      <c r="V577" s="5" t="str">
        <f aca="false">IF(B577="","",TRIM(LEFT(B577,IFERROR(FIND(" ",B577)-1,LEN(B577)))))</f>
        <v/>
      </c>
      <c r="W577" s="22"/>
      <c r="X577" s="5" t="str">
        <f aca="false">IF(A577="","",IF(W577&lt;&gt;"",W577,V577))</f>
        <v/>
      </c>
      <c r="Y577" s="5" t="str">
        <f aca="false">IF(A577="","",IF(COUNTIFS($X$2:$X$2001,X577,$D$2:$D$2001,"&lt;&gt;"&amp;D577,$C$2:$C$2001,C577)&gt;0,"SIM","NAO"))</f>
        <v/>
      </c>
      <c r="Z577" s="5" t="str">
        <f aca="false">IF(A577="","",IF(J577="","",IFERROR(360/J577,"")))</f>
        <v/>
      </c>
      <c r="AA577" s="5" t="str">
        <f aca="false">IF(A577="","",IF(H577=0,"Parado (sem venda 90d)",IF(Z577&gt;12,"Alto (&gt;12x/ano)",IF(Z577&gt;=4,"Medio (4-12x/ano)","Baixo (&lt;4x/ano)"))))</f>
        <v/>
      </c>
    </row>
    <row r="578" customFormat="false" ht="15" hidden="false" customHeight="true" outlineLevel="0" collapsed="false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18"/>
      <c r="L578" s="19" t="str">
        <f aca="false">IF(A578="","",G578*K578)</f>
        <v/>
      </c>
      <c r="M578" s="20"/>
      <c r="N578" s="6"/>
      <c r="O578" s="6"/>
      <c r="P578" s="5" t="str">
        <f aca="false">IF(A578="","",H578/90)</f>
        <v/>
      </c>
      <c r="Q578" s="5" t="str">
        <f aca="false">IF(A578="","",IFERROR(INDEX(Parâmetros!$C$6:$C$10,MATCH(F578,Parâmetros!$B$6:$B$10,0)),""))</f>
        <v/>
      </c>
      <c r="R578" s="5" t="str">
        <f aca="false">IF(OR(A578="",P578="",Q578=""),"",P578*Q578)</f>
        <v/>
      </c>
      <c r="S578" s="5" t="str">
        <f aca="false">IF(R578="","",MAX(0,R578-G578))</f>
        <v/>
      </c>
      <c r="T578" s="21" t="str">
        <f aca="false">IF(S578="","",S578*K578)</f>
        <v/>
      </c>
      <c r="U578" s="5" t="str">
        <f aca="false">IF(A578="","",IF(J578&gt;Parâmetros!$C$14,"SIM","NAO"))</f>
        <v/>
      </c>
      <c r="V578" s="5" t="str">
        <f aca="false">IF(B578="","",TRIM(LEFT(B578,IFERROR(FIND(" ",B578)-1,LEN(B578)))))</f>
        <v/>
      </c>
      <c r="W578" s="22"/>
      <c r="X578" s="5" t="str">
        <f aca="false">IF(A578="","",IF(W578&lt;&gt;"",W578,V578))</f>
        <v/>
      </c>
      <c r="Y578" s="5" t="str">
        <f aca="false">IF(A578="","",IF(COUNTIFS($X$2:$X$2001,X578,$D$2:$D$2001,"&lt;&gt;"&amp;D578,$C$2:$C$2001,C578)&gt;0,"SIM","NAO"))</f>
        <v/>
      </c>
      <c r="Z578" s="5" t="str">
        <f aca="false">IF(A578="","",IF(J578="","",IFERROR(360/J578,"")))</f>
        <v/>
      </c>
      <c r="AA578" s="5" t="str">
        <f aca="false">IF(A578="","",IF(H578=0,"Parado (sem venda 90d)",IF(Z578&gt;12,"Alto (&gt;12x/ano)",IF(Z578&gt;=4,"Medio (4-12x/ano)","Baixo (&lt;4x/ano)"))))</f>
        <v/>
      </c>
    </row>
    <row r="579" customFormat="false" ht="15" hidden="false" customHeight="true" outlineLevel="0" collapsed="false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18"/>
      <c r="L579" s="19" t="str">
        <f aca="false">IF(A579="","",G579*K579)</f>
        <v/>
      </c>
      <c r="M579" s="20"/>
      <c r="N579" s="6"/>
      <c r="O579" s="6"/>
      <c r="P579" s="5" t="str">
        <f aca="false">IF(A579="","",H579/90)</f>
        <v/>
      </c>
      <c r="Q579" s="5" t="str">
        <f aca="false">IF(A579="","",IFERROR(INDEX(Parâmetros!$C$6:$C$10,MATCH(F579,Parâmetros!$B$6:$B$10,0)),""))</f>
        <v/>
      </c>
      <c r="R579" s="5" t="str">
        <f aca="false">IF(OR(A579="",P579="",Q579=""),"",P579*Q579)</f>
        <v/>
      </c>
      <c r="S579" s="5" t="str">
        <f aca="false">IF(R579="","",MAX(0,R579-G579))</f>
        <v/>
      </c>
      <c r="T579" s="21" t="str">
        <f aca="false">IF(S579="","",S579*K579)</f>
        <v/>
      </c>
      <c r="U579" s="5" t="str">
        <f aca="false">IF(A579="","",IF(J579&gt;Parâmetros!$C$14,"SIM","NAO"))</f>
        <v/>
      </c>
      <c r="V579" s="5" t="str">
        <f aca="false">IF(B579="","",TRIM(LEFT(B579,IFERROR(FIND(" ",B579)-1,LEN(B579)))))</f>
        <v/>
      </c>
      <c r="W579" s="22"/>
      <c r="X579" s="5" t="str">
        <f aca="false">IF(A579="","",IF(W579&lt;&gt;"",W579,V579))</f>
        <v/>
      </c>
      <c r="Y579" s="5" t="str">
        <f aca="false">IF(A579="","",IF(COUNTIFS($X$2:$X$2001,X579,$D$2:$D$2001,"&lt;&gt;"&amp;D579,$C$2:$C$2001,C579)&gt;0,"SIM","NAO"))</f>
        <v/>
      </c>
      <c r="Z579" s="5" t="str">
        <f aca="false">IF(A579="","",IF(J579="","",IFERROR(360/J579,"")))</f>
        <v/>
      </c>
      <c r="AA579" s="5" t="str">
        <f aca="false">IF(A579="","",IF(H579=0,"Parado (sem venda 90d)",IF(Z579&gt;12,"Alto (&gt;12x/ano)",IF(Z579&gt;=4,"Medio (4-12x/ano)","Baixo (&lt;4x/ano)"))))</f>
        <v/>
      </c>
    </row>
    <row r="580" customFormat="false" ht="15" hidden="false" customHeight="true" outlineLevel="0" collapsed="false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18"/>
      <c r="L580" s="19" t="str">
        <f aca="false">IF(A580="","",G580*K580)</f>
        <v/>
      </c>
      <c r="M580" s="20"/>
      <c r="N580" s="6"/>
      <c r="O580" s="6"/>
      <c r="P580" s="5" t="str">
        <f aca="false">IF(A580="","",H580/90)</f>
        <v/>
      </c>
      <c r="Q580" s="5" t="str">
        <f aca="false">IF(A580="","",IFERROR(INDEX(Parâmetros!$C$6:$C$10,MATCH(F580,Parâmetros!$B$6:$B$10,0)),""))</f>
        <v/>
      </c>
      <c r="R580" s="5" t="str">
        <f aca="false">IF(OR(A580="",P580="",Q580=""),"",P580*Q580)</f>
        <v/>
      </c>
      <c r="S580" s="5" t="str">
        <f aca="false">IF(R580="","",MAX(0,R580-G580))</f>
        <v/>
      </c>
      <c r="T580" s="21" t="str">
        <f aca="false">IF(S580="","",S580*K580)</f>
        <v/>
      </c>
      <c r="U580" s="5" t="str">
        <f aca="false">IF(A580="","",IF(J580&gt;Parâmetros!$C$14,"SIM","NAO"))</f>
        <v/>
      </c>
      <c r="V580" s="5" t="str">
        <f aca="false">IF(B580="","",TRIM(LEFT(B580,IFERROR(FIND(" ",B580)-1,LEN(B580)))))</f>
        <v/>
      </c>
      <c r="W580" s="22"/>
      <c r="X580" s="5" t="str">
        <f aca="false">IF(A580="","",IF(W580&lt;&gt;"",W580,V580))</f>
        <v/>
      </c>
      <c r="Y580" s="5" t="str">
        <f aca="false">IF(A580="","",IF(COUNTIFS($X$2:$X$2001,X580,$D$2:$D$2001,"&lt;&gt;"&amp;D580,$C$2:$C$2001,C580)&gt;0,"SIM","NAO"))</f>
        <v/>
      </c>
      <c r="Z580" s="5" t="str">
        <f aca="false">IF(A580="","",IF(J580="","",IFERROR(360/J580,"")))</f>
        <v/>
      </c>
      <c r="AA580" s="5" t="str">
        <f aca="false">IF(A580="","",IF(H580=0,"Parado (sem venda 90d)",IF(Z580&gt;12,"Alto (&gt;12x/ano)",IF(Z580&gt;=4,"Medio (4-12x/ano)","Baixo (&lt;4x/ano)"))))</f>
        <v/>
      </c>
    </row>
    <row r="581" customFormat="false" ht="15" hidden="false" customHeight="true" outlineLevel="0" collapsed="false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18"/>
      <c r="L581" s="19" t="str">
        <f aca="false">IF(A581="","",G581*K581)</f>
        <v/>
      </c>
      <c r="M581" s="20"/>
      <c r="N581" s="6"/>
      <c r="O581" s="6"/>
      <c r="P581" s="5" t="str">
        <f aca="false">IF(A581="","",H581/90)</f>
        <v/>
      </c>
      <c r="Q581" s="5" t="str">
        <f aca="false">IF(A581="","",IFERROR(INDEX(Parâmetros!$C$6:$C$10,MATCH(F581,Parâmetros!$B$6:$B$10,0)),""))</f>
        <v/>
      </c>
      <c r="R581" s="5" t="str">
        <f aca="false">IF(OR(A581="",P581="",Q581=""),"",P581*Q581)</f>
        <v/>
      </c>
      <c r="S581" s="5" t="str">
        <f aca="false">IF(R581="","",MAX(0,R581-G581))</f>
        <v/>
      </c>
      <c r="T581" s="21" t="str">
        <f aca="false">IF(S581="","",S581*K581)</f>
        <v/>
      </c>
      <c r="U581" s="5" t="str">
        <f aca="false">IF(A581="","",IF(J581&gt;Parâmetros!$C$14,"SIM","NAO"))</f>
        <v/>
      </c>
      <c r="V581" s="5" t="str">
        <f aca="false">IF(B581="","",TRIM(LEFT(B581,IFERROR(FIND(" ",B581)-1,LEN(B581)))))</f>
        <v/>
      </c>
      <c r="W581" s="22"/>
      <c r="X581" s="5" t="str">
        <f aca="false">IF(A581="","",IF(W581&lt;&gt;"",W581,V581))</f>
        <v/>
      </c>
      <c r="Y581" s="5" t="str">
        <f aca="false">IF(A581="","",IF(COUNTIFS($X$2:$X$2001,X581,$D$2:$D$2001,"&lt;&gt;"&amp;D581,$C$2:$C$2001,C581)&gt;0,"SIM","NAO"))</f>
        <v/>
      </c>
      <c r="Z581" s="5" t="str">
        <f aca="false">IF(A581="","",IF(J581="","",IFERROR(360/J581,"")))</f>
        <v/>
      </c>
      <c r="AA581" s="5" t="str">
        <f aca="false">IF(A581="","",IF(H581=0,"Parado (sem venda 90d)",IF(Z581&gt;12,"Alto (&gt;12x/ano)",IF(Z581&gt;=4,"Medio (4-12x/ano)","Baixo (&lt;4x/ano)"))))</f>
        <v/>
      </c>
    </row>
    <row r="582" customFormat="false" ht="15" hidden="false" customHeight="true" outlineLevel="0" collapsed="false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18"/>
      <c r="L582" s="19" t="str">
        <f aca="false">IF(A582="","",G582*K582)</f>
        <v/>
      </c>
      <c r="M582" s="20"/>
      <c r="N582" s="6"/>
      <c r="O582" s="6"/>
      <c r="P582" s="5" t="str">
        <f aca="false">IF(A582="","",H582/90)</f>
        <v/>
      </c>
      <c r="Q582" s="5" t="str">
        <f aca="false">IF(A582="","",IFERROR(INDEX(Parâmetros!$C$6:$C$10,MATCH(F582,Parâmetros!$B$6:$B$10,0)),""))</f>
        <v/>
      </c>
      <c r="R582" s="5" t="str">
        <f aca="false">IF(OR(A582="",P582="",Q582=""),"",P582*Q582)</f>
        <v/>
      </c>
      <c r="S582" s="5" t="str">
        <f aca="false">IF(R582="","",MAX(0,R582-G582))</f>
        <v/>
      </c>
      <c r="T582" s="21" t="str">
        <f aca="false">IF(S582="","",S582*K582)</f>
        <v/>
      </c>
      <c r="U582" s="5" t="str">
        <f aca="false">IF(A582="","",IF(J582&gt;Parâmetros!$C$14,"SIM","NAO"))</f>
        <v/>
      </c>
      <c r="V582" s="5" t="str">
        <f aca="false">IF(B582="","",TRIM(LEFT(B582,IFERROR(FIND(" ",B582)-1,LEN(B582)))))</f>
        <v/>
      </c>
      <c r="W582" s="22"/>
      <c r="X582" s="5" t="str">
        <f aca="false">IF(A582="","",IF(W582&lt;&gt;"",W582,V582))</f>
        <v/>
      </c>
      <c r="Y582" s="5" t="str">
        <f aca="false">IF(A582="","",IF(COUNTIFS($X$2:$X$2001,X582,$D$2:$D$2001,"&lt;&gt;"&amp;D582,$C$2:$C$2001,C582)&gt;0,"SIM","NAO"))</f>
        <v/>
      </c>
      <c r="Z582" s="5" t="str">
        <f aca="false">IF(A582="","",IF(J582="","",IFERROR(360/J582,"")))</f>
        <v/>
      </c>
      <c r="AA582" s="5" t="str">
        <f aca="false">IF(A582="","",IF(H582=0,"Parado (sem venda 90d)",IF(Z582&gt;12,"Alto (&gt;12x/ano)",IF(Z582&gt;=4,"Medio (4-12x/ano)","Baixo (&lt;4x/ano)"))))</f>
        <v/>
      </c>
    </row>
    <row r="583" customFormat="false" ht="15" hidden="false" customHeight="true" outlineLevel="0" collapsed="false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18"/>
      <c r="L583" s="19" t="str">
        <f aca="false">IF(A583="","",G583*K583)</f>
        <v/>
      </c>
      <c r="M583" s="20"/>
      <c r="N583" s="6"/>
      <c r="O583" s="6"/>
      <c r="P583" s="5" t="str">
        <f aca="false">IF(A583="","",H583/90)</f>
        <v/>
      </c>
      <c r="Q583" s="5" t="str">
        <f aca="false">IF(A583="","",IFERROR(INDEX(Parâmetros!$C$6:$C$10,MATCH(F583,Parâmetros!$B$6:$B$10,0)),""))</f>
        <v/>
      </c>
      <c r="R583" s="5" t="str">
        <f aca="false">IF(OR(A583="",P583="",Q583=""),"",P583*Q583)</f>
        <v/>
      </c>
      <c r="S583" s="5" t="str">
        <f aca="false">IF(R583="","",MAX(0,R583-G583))</f>
        <v/>
      </c>
      <c r="T583" s="21" t="str">
        <f aca="false">IF(S583="","",S583*K583)</f>
        <v/>
      </c>
      <c r="U583" s="5" t="str">
        <f aca="false">IF(A583="","",IF(J583&gt;Parâmetros!$C$14,"SIM","NAO"))</f>
        <v/>
      </c>
      <c r="V583" s="5" t="str">
        <f aca="false">IF(B583="","",TRIM(LEFT(B583,IFERROR(FIND(" ",B583)-1,LEN(B583)))))</f>
        <v/>
      </c>
      <c r="W583" s="22"/>
      <c r="X583" s="5" t="str">
        <f aca="false">IF(A583="","",IF(W583&lt;&gt;"",W583,V583))</f>
        <v/>
      </c>
      <c r="Y583" s="5" t="str">
        <f aca="false">IF(A583="","",IF(COUNTIFS($X$2:$X$2001,X583,$D$2:$D$2001,"&lt;&gt;"&amp;D583,$C$2:$C$2001,C583)&gt;0,"SIM","NAO"))</f>
        <v/>
      </c>
      <c r="Z583" s="5" t="str">
        <f aca="false">IF(A583="","",IF(J583="","",IFERROR(360/J583,"")))</f>
        <v/>
      </c>
      <c r="AA583" s="5" t="str">
        <f aca="false">IF(A583="","",IF(H583=0,"Parado (sem venda 90d)",IF(Z583&gt;12,"Alto (&gt;12x/ano)",IF(Z583&gt;=4,"Medio (4-12x/ano)","Baixo (&lt;4x/ano)"))))</f>
        <v/>
      </c>
    </row>
    <row r="584" customFormat="false" ht="15" hidden="false" customHeight="true" outlineLevel="0" collapsed="false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18"/>
      <c r="L584" s="19" t="str">
        <f aca="false">IF(A584="","",G584*K584)</f>
        <v/>
      </c>
      <c r="M584" s="20"/>
      <c r="N584" s="6"/>
      <c r="O584" s="6"/>
      <c r="P584" s="5" t="str">
        <f aca="false">IF(A584="","",H584/90)</f>
        <v/>
      </c>
      <c r="Q584" s="5" t="str">
        <f aca="false">IF(A584="","",IFERROR(INDEX(Parâmetros!$C$6:$C$10,MATCH(F584,Parâmetros!$B$6:$B$10,0)),""))</f>
        <v/>
      </c>
      <c r="R584" s="5" t="str">
        <f aca="false">IF(OR(A584="",P584="",Q584=""),"",P584*Q584)</f>
        <v/>
      </c>
      <c r="S584" s="5" t="str">
        <f aca="false">IF(R584="","",MAX(0,R584-G584))</f>
        <v/>
      </c>
      <c r="T584" s="21" t="str">
        <f aca="false">IF(S584="","",S584*K584)</f>
        <v/>
      </c>
      <c r="U584" s="5" t="str">
        <f aca="false">IF(A584="","",IF(J584&gt;Parâmetros!$C$14,"SIM","NAO"))</f>
        <v/>
      </c>
      <c r="V584" s="5" t="str">
        <f aca="false">IF(B584="","",TRIM(LEFT(B584,IFERROR(FIND(" ",B584)-1,LEN(B584)))))</f>
        <v/>
      </c>
      <c r="W584" s="22"/>
      <c r="X584" s="5" t="str">
        <f aca="false">IF(A584="","",IF(W584&lt;&gt;"",W584,V584))</f>
        <v/>
      </c>
      <c r="Y584" s="5" t="str">
        <f aca="false">IF(A584="","",IF(COUNTIFS($X$2:$X$2001,X584,$D$2:$D$2001,"&lt;&gt;"&amp;D584,$C$2:$C$2001,C584)&gt;0,"SIM","NAO"))</f>
        <v/>
      </c>
      <c r="Z584" s="5" t="str">
        <f aca="false">IF(A584="","",IF(J584="","",IFERROR(360/J584,"")))</f>
        <v/>
      </c>
      <c r="AA584" s="5" t="str">
        <f aca="false">IF(A584="","",IF(H584=0,"Parado (sem venda 90d)",IF(Z584&gt;12,"Alto (&gt;12x/ano)",IF(Z584&gt;=4,"Medio (4-12x/ano)","Baixo (&lt;4x/ano)"))))</f>
        <v/>
      </c>
    </row>
    <row r="585" customFormat="false" ht="15" hidden="false" customHeight="true" outlineLevel="0" collapsed="false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18"/>
      <c r="L585" s="19" t="str">
        <f aca="false">IF(A585="","",G585*K585)</f>
        <v/>
      </c>
      <c r="M585" s="20"/>
      <c r="N585" s="6"/>
      <c r="O585" s="6"/>
      <c r="P585" s="5" t="str">
        <f aca="false">IF(A585="","",H585/90)</f>
        <v/>
      </c>
      <c r="Q585" s="5" t="str">
        <f aca="false">IF(A585="","",IFERROR(INDEX(Parâmetros!$C$6:$C$10,MATCH(F585,Parâmetros!$B$6:$B$10,0)),""))</f>
        <v/>
      </c>
      <c r="R585" s="5" t="str">
        <f aca="false">IF(OR(A585="",P585="",Q585=""),"",P585*Q585)</f>
        <v/>
      </c>
      <c r="S585" s="5" t="str">
        <f aca="false">IF(R585="","",MAX(0,R585-G585))</f>
        <v/>
      </c>
      <c r="T585" s="21" t="str">
        <f aca="false">IF(S585="","",S585*K585)</f>
        <v/>
      </c>
      <c r="U585" s="5" t="str">
        <f aca="false">IF(A585="","",IF(J585&gt;Parâmetros!$C$14,"SIM","NAO"))</f>
        <v/>
      </c>
      <c r="V585" s="5" t="str">
        <f aca="false">IF(B585="","",TRIM(LEFT(B585,IFERROR(FIND(" ",B585)-1,LEN(B585)))))</f>
        <v/>
      </c>
      <c r="W585" s="22"/>
      <c r="X585" s="5" t="str">
        <f aca="false">IF(A585="","",IF(W585&lt;&gt;"",W585,V585))</f>
        <v/>
      </c>
      <c r="Y585" s="5" t="str">
        <f aca="false">IF(A585="","",IF(COUNTIFS($X$2:$X$2001,X585,$D$2:$D$2001,"&lt;&gt;"&amp;D585,$C$2:$C$2001,C585)&gt;0,"SIM","NAO"))</f>
        <v/>
      </c>
      <c r="Z585" s="5" t="str">
        <f aca="false">IF(A585="","",IF(J585="","",IFERROR(360/J585,"")))</f>
        <v/>
      </c>
      <c r="AA585" s="5" t="str">
        <f aca="false">IF(A585="","",IF(H585=0,"Parado (sem venda 90d)",IF(Z585&gt;12,"Alto (&gt;12x/ano)",IF(Z585&gt;=4,"Medio (4-12x/ano)","Baixo (&lt;4x/ano)"))))</f>
        <v/>
      </c>
    </row>
    <row r="586" customFormat="false" ht="15" hidden="false" customHeight="true" outlineLevel="0" collapsed="false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18"/>
      <c r="L586" s="19" t="str">
        <f aca="false">IF(A586="","",G586*K586)</f>
        <v/>
      </c>
      <c r="M586" s="20"/>
      <c r="N586" s="6"/>
      <c r="O586" s="6"/>
      <c r="P586" s="5" t="str">
        <f aca="false">IF(A586="","",H586/90)</f>
        <v/>
      </c>
      <c r="Q586" s="5" t="str">
        <f aca="false">IF(A586="","",IFERROR(INDEX(Parâmetros!$C$6:$C$10,MATCH(F586,Parâmetros!$B$6:$B$10,0)),""))</f>
        <v/>
      </c>
      <c r="R586" s="5" t="str">
        <f aca="false">IF(OR(A586="",P586="",Q586=""),"",P586*Q586)</f>
        <v/>
      </c>
      <c r="S586" s="5" t="str">
        <f aca="false">IF(R586="","",MAX(0,R586-G586))</f>
        <v/>
      </c>
      <c r="T586" s="21" t="str">
        <f aca="false">IF(S586="","",S586*K586)</f>
        <v/>
      </c>
      <c r="U586" s="5" t="str">
        <f aca="false">IF(A586="","",IF(J586&gt;Parâmetros!$C$14,"SIM","NAO"))</f>
        <v/>
      </c>
      <c r="V586" s="5" t="str">
        <f aca="false">IF(B586="","",TRIM(LEFT(B586,IFERROR(FIND(" ",B586)-1,LEN(B586)))))</f>
        <v/>
      </c>
      <c r="W586" s="22"/>
      <c r="X586" s="5" t="str">
        <f aca="false">IF(A586="","",IF(W586&lt;&gt;"",W586,V586))</f>
        <v/>
      </c>
      <c r="Y586" s="5" t="str">
        <f aca="false">IF(A586="","",IF(COUNTIFS($X$2:$X$2001,X586,$D$2:$D$2001,"&lt;&gt;"&amp;D586,$C$2:$C$2001,C586)&gt;0,"SIM","NAO"))</f>
        <v/>
      </c>
      <c r="Z586" s="5" t="str">
        <f aca="false">IF(A586="","",IF(J586="","",IFERROR(360/J586,"")))</f>
        <v/>
      </c>
      <c r="AA586" s="5" t="str">
        <f aca="false">IF(A586="","",IF(H586=0,"Parado (sem venda 90d)",IF(Z586&gt;12,"Alto (&gt;12x/ano)",IF(Z586&gt;=4,"Medio (4-12x/ano)","Baixo (&lt;4x/ano)"))))</f>
        <v/>
      </c>
    </row>
    <row r="587" customFormat="false" ht="15" hidden="false" customHeight="true" outlineLevel="0" collapsed="false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18"/>
      <c r="L587" s="19" t="str">
        <f aca="false">IF(A587="","",G587*K587)</f>
        <v/>
      </c>
      <c r="M587" s="20"/>
      <c r="N587" s="6"/>
      <c r="O587" s="6"/>
      <c r="P587" s="5" t="str">
        <f aca="false">IF(A587="","",H587/90)</f>
        <v/>
      </c>
      <c r="Q587" s="5" t="str">
        <f aca="false">IF(A587="","",IFERROR(INDEX(Parâmetros!$C$6:$C$10,MATCH(F587,Parâmetros!$B$6:$B$10,0)),""))</f>
        <v/>
      </c>
      <c r="R587" s="5" t="str">
        <f aca="false">IF(OR(A587="",P587="",Q587=""),"",P587*Q587)</f>
        <v/>
      </c>
      <c r="S587" s="5" t="str">
        <f aca="false">IF(R587="","",MAX(0,R587-G587))</f>
        <v/>
      </c>
      <c r="T587" s="21" t="str">
        <f aca="false">IF(S587="","",S587*K587)</f>
        <v/>
      </c>
      <c r="U587" s="5" t="str">
        <f aca="false">IF(A587="","",IF(J587&gt;Parâmetros!$C$14,"SIM","NAO"))</f>
        <v/>
      </c>
      <c r="V587" s="5" t="str">
        <f aca="false">IF(B587="","",TRIM(LEFT(B587,IFERROR(FIND(" ",B587)-1,LEN(B587)))))</f>
        <v/>
      </c>
      <c r="W587" s="22"/>
      <c r="X587" s="5" t="str">
        <f aca="false">IF(A587="","",IF(W587&lt;&gt;"",W587,V587))</f>
        <v/>
      </c>
      <c r="Y587" s="5" t="str">
        <f aca="false">IF(A587="","",IF(COUNTIFS($X$2:$X$2001,X587,$D$2:$D$2001,"&lt;&gt;"&amp;D587,$C$2:$C$2001,C587)&gt;0,"SIM","NAO"))</f>
        <v/>
      </c>
      <c r="Z587" s="5" t="str">
        <f aca="false">IF(A587="","",IF(J587="","",IFERROR(360/J587,"")))</f>
        <v/>
      </c>
      <c r="AA587" s="5" t="str">
        <f aca="false">IF(A587="","",IF(H587=0,"Parado (sem venda 90d)",IF(Z587&gt;12,"Alto (&gt;12x/ano)",IF(Z587&gt;=4,"Medio (4-12x/ano)","Baixo (&lt;4x/ano)"))))</f>
        <v/>
      </c>
    </row>
    <row r="588" customFormat="false" ht="15" hidden="false" customHeight="true" outlineLevel="0" collapsed="false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18"/>
      <c r="L588" s="19" t="str">
        <f aca="false">IF(A588="","",G588*K588)</f>
        <v/>
      </c>
      <c r="M588" s="20"/>
      <c r="N588" s="6"/>
      <c r="O588" s="6"/>
      <c r="P588" s="5" t="str">
        <f aca="false">IF(A588="","",H588/90)</f>
        <v/>
      </c>
      <c r="Q588" s="5" t="str">
        <f aca="false">IF(A588="","",IFERROR(INDEX(Parâmetros!$C$6:$C$10,MATCH(F588,Parâmetros!$B$6:$B$10,0)),""))</f>
        <v/>
      </c>
      <c r="R588" s="5" t="str">
        <f aca="false">IF(OR(A588="",P588="",Q588=""),"",P588*Q588)</f>
        <v/>
      </c>
      <c r="S588" s="5" t="str">
        <f aca="false">IF(R588="","",MAX(0,R588-G588))</f>
        <v/>
      </c>
      <c r="T588" s="21" t="str">
        <f aca="false">IF(S588="","",S588*K588)</f>
        <v/>
      </c>
      <c r="U588" s="5" t="str">
        <f aca="false">IF(A588="","",IF(J588&gt;Parâmetros!$C$14,"SIM","NAO"))</f>
        <v/>
      </c>
      <c r="V588" s="5" t="str">
        <f aca="false">IF(B588="","",TRIM(LEFT(B588,IFERROR(FIND(" ",B588)-1,LEN(B588)))))</f>
        <v/>
      </c>
      <c r="W588" s="22"/>
      <c r="X588" s="5" t="str">
        <f aca="false">IF(A588="","",IF(W588&lt;&gt;"",W588,V588))</f>
        <v/>
      </c>
      <c r="Y588" s="5" t="str">
        <f aca="false">IF(A588="","",IF(COUNTIFS($X$2:$X$2001,X588,$D$2:$D$2001,"&lt;&gt;"&amp;D588,$C$2:$C$2001,C588)&gt;0,"SIM","NAO"))</f>
        <v/>
      </c>
      <c r="Z588" s="5" t="str">
        <f aca="false">IF(A588="","",IF(J588="","",IFERROR(360/J588,"")))</f>
        <v/>
      </c>
      <c r="AA588" s="5" t="str">
        <f aca="false">IF(A588="","",IF(H588=0,"Parado (sem venda 90d)",IF(Z588&gt;12,"Alto (&gt;12x/ano)",IF(Z588&gt;=4,"Medio (4-12x/ano)","Baixo (&lt;4x/ano)"))))</f>
        <v/>
      </c>
    </row>
    <row r="589" customFormat="false" ht="15" hidden="false" customHeight="true" outlineLevel="0" collapsed="false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18"/>
      <c r="L589" s="19" t="str">
        <f aca="false">IF(A589="","",G589*K589)</f>
        <v/>
      </c>
      <c r="M589" s="20"/>
      <c r="N589" s="6"/>
      <c r="O589" s="6"/>
      <c r="P589" s="5" t="str">
        <f aca="false">IF(A589="","",H589/90)</f>
        <v/>
      </c>
      <c r="Q589" s="5" t="str">
        <f aca="false">IF(A589="","",IFERROR(INDEX(Parâmetros!$C$6:$C$10,MATCH(F589,Parâmetros!$B$6:$B$10,0)),""))</f>
        <v/>
      </c>
      <c r="R589" s="5" t="str">
        <f aca="false">IF(OR(A589="",P589="",Q589=""),"",P589*Q589)</f>
        <v/>
      </c>
      <c r="S589" s="5" t="str">
        <f aca="false">IF(R589="","",MAX(0,R589-G589))</f>
        <v/>
      </c>
      <c r="T589" s="21" t="str">
        <f aca="false">IF(S589="","",S589*K589)</f>
        <v/>
      </c>
      <c r="U589" s="5" t="str">
        <f aca="false">IF(A589="","",IF(J589&gt;Parâmetros!$C$14,"SIM","NAO"))</f>
        <v/>
      </c>
      <c r="V589" s="5" t="str">
        <f aca="false">IF(B589="","",TRIM(LEFT(B589,IFERROR(FIND(" ",B589)-1,LEN(B589)))))</f>
        <v/>
      </c>
      <c r="W589" s="22"/>
      <c r="X589" s="5" t="str">
        <f aca="false">IF(A589="","",IF(W589&lt;&gt;"",W589,V589))</f>
        <v/>
      </c>
      <c r="Y589" s="5" t="str">
        <f aca="false">IF(A589="","",IF(COUNTIFS($X$2:$X$2001,X589,$D$2:$D$2001,"&lt;&gt;"&amp;D589,$C$2:$C$2001,C589)&gt;0,"SIM","NAO"))</f>
        <v/>
      </c>
      <c r="Z589" s="5" t="str">
        <f aca="false">IF(A589="","",IF(J589="","",IFERROR(360/J589,"")))</f>
        <v/>
      </c>
      <c r="AA589" s="5" t="str">
        <f aca="false">IF(A589="","",IF(H589=0,"Parado (sem venda 90d)",IF(Z589&gt;12,"Alto (&gt;12x/ano)",IF(Z589&gt;=4,"Medio (4-12x/ano)","Baixo (&lt;4x/ano)"))))</f>
        <v/>
      </c>
    </row>
    <row r="590" customFormat="false" ht="15" hidden="false" customHeight="true" outlineLevel="0" collapsed="false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18"/>
      <c r="L590" s="19" t="str">
        <f aca="false">IF(A590="","",G590*K590)</f>
        <v/>
      </c>
      <c r="M590" s="20"/>
      <c r="N590" s="6"/>
      <c r="O590" s="6"/>
      <c r="P590" s="5" t="str">
        <f aca="false">IF(A590="","",H590/90)</f>
        <v/>
      </c>
      <c r="Q590" s="5" t="str">
        <f aca="false">IF(A590="","",IFERROR(INDEX(Parâmetros!$C$6:$C$10,MATCH(F590,Parâmetros!$B$6:$B$10,0)),""))</f>
        <v/>
      </c>
      <c r="R590" s="5" t="str">
        <f aca="false">IF(OR(A590="",P590="",Q590=""),"",P590*Q590)</f>
        <v/>
      </c>
      <c r="S590" s="5" t="str">
        <f aca="false">IF(R590="","",MAX(0,R590-G590))</f>
        <v/>
      </c>
      <c r="T590" s="21" t="str">
        <f aca="false">IF(S590="","",S590*K590)</f>
        <v/>
      </c>
      <c r="U590" s="5" t="str">
        <f aca="false">IF(A590="","",IF(J590&gt;Parâmetros!$C$14,"SIM","NAO"))</f>
        <v/>
      </c>
      <c r="V590" s="5" t="str">
        <f aca="false">IF(B590="","",TRIM(LEFT(B590,IFERROR(FIND(" ",B590)-1,LEN(B590)))))</f>
        <v/>
      </c>
      <c r="W590" s="22"/>
      <c r="X590" s="5" t="str">
        <f aca="false">IF(A590="","",IF(W590&lt;&gt;"",W590,V590))</f>
        <v/>
      </c>
      <c r="Y590" s="5" t="str">
        <f aca="false">IF(A590="","",IF(COUNTIFS($X$2:$X$2001,X590,$D$2:$D$2001,"&lt;&gt;"&amp;D590,$C$2:$C$2001,C590)&gt;0,"SIM","NAO"))</f>
        <v/>
      </c>
      <c r="Z590" s="5" t="str">
        <f aca="false">IF(A590="","",IF(J590="","",IFERROR(360/J590,"")))</f>
        <v/>
      </c>
      <c r="AA590" s="5" t="str">
        <f aca="false">IF(A590="","",IF(H590=0,"Parado (sem venda 90d)",IF(Z590&gt;12,"Alto (&gt;12x/ano)",IF(Z590&gt;=4,"Medio (4-12x/ano)","Baixo (&lt;4x/ano)"))))</f>
        <v/>
      </c>
    </row>
    <row r="591" customFormat="false" ht="15" hidden="false" customHeight="true" outlineLevel="0" collapsed="false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18"/>
      <c r="L591" s="19" t="str">
        <f aca="false">IF(A591="","",G591*K591)</f>
        <v/>
      </c>
      <c r="M591" s="20"/>
      <c r="N591" s="6"/>
      <c r="O591" s="6"/>
      <c r="P591" s="5" t="str">
        <f aca="false">IF(A591="","",H591/90)</f>
        <v/>
      </c>
      <c r="Q591" s="5" t="str">
        <f aca="false">IF(A591="","",IFERROR(INDEX(Parâmetros!$C$6:$C$10,MATCH(F591,Parâmetros!$B$6:$B$10,0)),""))</f>
        <v/>
      </c>
      <c r="R591" s="5" t="str">
        <f aca="false">IF(OR(A591="",P591="",Q591=""),"",P591*Q591)</f>
        <v/>
      </c>
      <c r="S591" s="5" t="str">
        <f aca="false">IF(R591="","",MAX(0,R591-G591))</f>
        <v/>
      </c>
      <c r="T591" s="21" t="str">
        <f aca="false">IF(S591="","",S591*K591)</f>
        <v/>
      </c>
      <c r="U591" s="5" t="str">
        <f aca="false">IF(A591="","",IF(J591&gt;Parâmetros!$C$14,"SIM","NAO"))</f>
        <v/>
      </c>
      <c r="V591" s="5" t="str">
        <f aca="false">IF(B591="","",TRIM(LEFT(B591,IFERROR(FIND(" ",B591)-1,LEN(B591)))))</f>
        <v/>
      </c>
      <c r="W591" s="22"/>
      <c r="X591" s="5" t="str">
        <f aca="false">IF(A591="","",IF(W591&lt;&gt;"",W591,V591))</f>
        <v/>
      </c>
      <c r="Y591" s="5" t="str">
        <f aca="false">IF(A591="","",IF(COUNTIFS($X$2:$X$2001,X591,$D$2:$D$2001,"&lt;&gt;"&amp;D591,$C$2:$C$2001,C591)&gt;0,"SIM","NAO"))</f>
        <v/>
      </c>
      <c r="Z591" s="5" t="str">
        <f aca="false">IF(A591="","",IF(J591="","",IFERROR(360/J591,"")))</f>
        <v/>
      </c>
      <c r="AA591" s="5" t="str">
        <f aca="false">IF(A591="","",IF(H591=0,"Parado (sem venda 90d)",IF(Z591&gt;12,"Alto (&gt;12x/ano)",IF(Z591&gt;=4,"Medio (4-12x/ano)","Baixo (&lt;4x/ano)"))))</f>
        <v/>
      </c>
    </row>
    <row r="592" customFormat="false" ht="15" hidden="false" customHeight="true" outlineLevel="0" collapsed="false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18"/>
      <c r="L592" s="19" t="str">
        <f aca="false">IF(A592="","",G592*K592)</f>
        <v/>
      </c>
      <c r="M592" s="20"/>
      <c r="N592" s="6"/>
      <c r="O592" s="6"/>
      <c r="P592" s="5" t="str">
        <f aca="false">IF(A592="","",H592/90)</f>
        <v/>
      </c>
      <c r="Q592" s="5" t="str">
        <f aca="false">IF(A592="","",IFERROR(INDEX(Parâmetros!$C$6:$C$10,MATCH(F592,Parâmetros!$B$6:$B$10,0)),""))</f>
        <v/>
      </c>
      <c r="R592" s="5" t="str">
        <f aca="false">IF(OR(A592="",P592="",Q592=""),"",P592*Q592)</f>
        <v/>
      </c>
      <c r="S592" s="5" t="str">
        <f aca="false">IF(R592="","",MAX(0,R592-G592))</f>
        <v/>
      </c>
      <c r="T592" s="21" t="str">
        <f aca="false">IF(S592="","",S592*K592)</f>
        <v/>
      </c>
      <c r="U592" s="5" t="str">
        <f aca="false">IF(A592="","",IF(J592&gt;Parâmetros!$C$14,"SIM","NAO"))</f>
        <v/>
      </c>
      <c r="V592" s="5" t="str">
        <f aca="false">IF(B592="","",TRIM(LEFT(B592,IFERROR(FIND(" ",B592)-1,LEN(B592)))))</f>
        <v/>
      </c>
      <c r="W592" s="22"/>
      <c r="X592" s="5" t="str">
        <f aca="false">IF(A592="","",IF(W592&lt;&gt;"",W592,V592))</f>
        <v/>
      </c>
      <c r="Y592" s="5" t="str">
        <f aca="false">IF(A592="","",IF(COUNTIFS($X$2:$X$2001,X592,$D$2:$D$2001,"&lt;&gt;"&amp;D592,$C$2:$C$2001,C592)&gt;0,"SIM","NAO"))</f>
        <v/>
      </c>
      <c r="Z592" s="5" t="str">
        <f aca="false">IF(A592="","",IF(J592="","",IFERROR(360/J592,"")))</f>
        <v/>
      </c>
      <c r="AA592" s="5" t="str">
        <f aca="false">IF(A592="","",IF(H592=0,"Parado (sem venda 90d)",IF(Z592&gt;12,"Alto (&gt;12x/ano)",IF(Z592&gt;=4,"Medio (4-12x/ano)","Baixo (&lt;4x/ano)"))))</f>
        <v/>
      </c>
    </row>
    <row r="593" customFormat="false" ht="15" hidden="false" customHeight="true" outlineLevel="0" collapsed="false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18"/>
      <c r="L593" s="19" t="str">
        <f aca="false">IF(A593="","",G593*K593)</f>
        <v/>
      </c>
      <c r="M593" s="20"/>
      <c r="N593" s="6"/>
      <c r="O593" s="6"/>
      <c r="P593" s="5" t="str">
        <f aca="false">IF(A593="","",H593/90)</f>
        <v/>
      </c>
      <c r="Q593" s="5" t="str">
        <f aca="false">IF(A593="","",IFERROR(INDEX(Parâmetros!$C$6:$C$10,MATCH(F593,Parâmetros!$B$6:$B$10,0)),""))</f>
        <v/>
      </c>
      <c r="R593" s="5" t="str">
        <f aca="false">IF(OR(A593="",P593="",Q593=""),"",P593*Q593)</f>
        <v/>
      </c>
      <c r="S593" s="5" t="str">
        <f aca="false">IF(R593="","",MAX(0,R593-G593))</f>
        <v/>
      </c>
      <c r="T593" s="21" t="str">
        <f aca="false">IF(S593="","",S593*K593)</f>
        <v/>
      </c>
      <c r="U593" s="5" t="str">
        <f aca="false">IF(A593="","",IF(J593&gt;Parâmetros!$C$14,"SIM","NAO"))</f>
        <v/>
      </c>
      <c r="V593" s="5" t="str">
        <f aca="false">IF(B593="","",TRIM(LEFT(B593,IFERROR(FIND(" ",B593)-1,LEN(B593)))))</f>
        <v/>
      </c>
      <c r="W593" s="22"/>
      <c r="X593" s="5" t="str">
        <f aca="false">IF(A593="","",IF(W593&lt;&gt;"",W593,V593))</f>
        <v/>
      </c>
      <c r="Y593" s="5" t="str">
        <f aca="false">IF(A593="","",IF(COUNTIFS($X$2:$X$2001,X593,$D$2:$D$2001,"&lt;&gt;"&amp;D593,$C$2:$C$2001,C593)&gt;0,"SIM","NAO"))</f>
        <v/>
      </c>
      <c r="Z593" s="5" t="str">
        <f aca="false">IF(A593="","",IF(J593="","",IFERROR(360/J593,"")))</f>
        <v/>
      </c>
      <c r="AA593" s="5" t="str">
        <f aca="false">IF(A593="","",IF(H593=0,"Parado (sem venda 90d)",IF(Z593&gt;12,"Alto (&gt;12x/ano)",IF(Z593&gt;=4,"Medio (4-12x/ano)","Baixo (&lt;4x/ano)"))))</f>
        <v/>
      </c>
    </row>
    <row r="594" customFormat="false" ht="15" hidden="false" customHeight="true" outlineLevel="0" collapsed="false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18"/>
      <c r="L594" s="19" t="str">
        <f aca="false">IF(A594="","",G594*K594)</f>
        <v/>
      </c>
      <c r="M594" s="20"/>
      <c r="N594" s="6"/>
      <c r="O594" s="6"/>
      <c r="P594" s="5" t="str">
        <f aca="false">IF(A594="","",H594/90)</f>
        <v/>
      </c>
      <c r="Q594" s="5" t="str">
        <f aca="false">IF(A594="","",IFERROR(INDEX(Parâmetros!$C$6:$C$10,MATCH(F594,Parâmetros!$B$6:$B$10,0)),""))</f>
        <v/>
      </c>
      <c r="R594" s="5" t="str">
        <f aca="false">IF(OR(A594="",P594="",Q594=""),"",P594*Q594)</f>
        <v/>
      </c>
      <c r="S594" s="5" t="str">
        <f aca="false">IF(R594="","",MAX(0,R594-G594))</f>
        <v/>
      </c>
      <c r="T594" s="21" t="str">
        <f aca="false">IF(S594="","",S594*K594)</f>
        <v/>
      </c>
      <c r="U594" s="5" t="str">
        <f aca="false">IF(A594="","",IF(J594&gt;Parâmetros!$C$14,"SIM","NAO"))</f>
        <v/>
      </c>
      <c r="V594" s="5" t="str">
        <f aca="false">IF(B594="","",TRIM(LEFT(B594,IFERROR(FIND(" ",B594)-1,LEN(B594)))))</f>
        <v/>
      </c>
      <c r="W594" s="22"/>
      <c r="X594" s="5" t="str">
        <f aca="false">IF(A594="","",IF(W594&lt;&gt;"",W594,V594))</f>
        <v/>
      </c>
      <c r="Y594" s="5" t="str">
        <f aca="false">IF(A594="","",IF(COUNTIFS($X$2:$X$2001,X594,$D$2:$D$2001,"&lt;&gt;"&amp;D594,$C$2:$C$2001,C594)&gt;0,"SIM","NAO"))</f>
        <v/>
      </c>
      <c r="Z594" s="5" t="str">
        <f aca="false">IF(A594="","",IF(J594="","",IFERROR(360/J594,"")))</f>
        <v/>
      </c>
      <c r="AA594" s="5" t="str">
        <f aca="false">IF(A594="","",IF(H594=0,"Parado (sem venda 90d)",IF(Z594&gt;12,"Alto (&gt;12x/ano)",IF(Z594&gt;=4,"Medio (4-12x/ano)","Baixo (&lt;4x/ano)"))))</f>
        <v/>
      </c>
    </row>
    <row r="595" customFormat="false" ht="15" hidden="false" customHeight="true" outlineLevel="0" collapsed="false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18"/>
      <c r="L595" s="19" t="str">
        <f aca="false">IF(A595="","",G595*K595)</f>
        <v/>
      </c>
      <c r="M595" s="20"/>
      <c r="N595" s="6"/>
      <c r="O595" s="6"/>
      <c r="P595" s="5" t="str">
        <f aca="false">IF(A595="","",H595/90)</f>
        <v/>
      </c>
      <c r="Q595" s="5" t="str">
        <f aca="false">IF(A595="","",IFERROR(INDEX(Parâmetros!$C$6:$C$10,MATCH(F595,Parâmetros!$B$6:$B$10,0)),""))</f>
        <v/>
      </c>
      <c r="R595" s="5" t="str">
        <f aca="false">IF(OR(A595="",P595="",Q595=""),"",P595*Q595)</f>
        <v/>
      </c>
      <c r="S595" s="5" t="str">
        <f aca="false">IF(R595="","",MAX(0,R595-G595))</f>
        <v/>
      </c>
      <c r="T595" s="21" t="str">
        <f aca="false">IF(S595="","",S595*K595)</f>
        <v/>
      </c>
      <c r="U595" s="5" t="str">
        <f aca="false">IF(A595="","",IF(J595&gt;Parâmetros!$C$14,"SIM","NAO"))</f>
        <v/>
      </c>
      <c r="V595" s="5" t="str">
        <f aca="false">IF(B595="","",TRIM(LEFT(B595,IFERROR(FIND(" ",B595)-1,LEN(B595)))))</f>
        <v/>
      </c>
      <c r="W595" s="22"/>
      <c r="X595" s="5" t="str">
        <f aca="false">IF(A595="","",IF(W595&lt;&gt;"",W595,V595))</f>
        <v/>
      </c>
      <c r="Y595" s="5" t="str">
        <f aca="false">IF(A595="","",IF(COUNTIFS($X$2:$X$2001,X595,$D$2:$D$2001,"&lt;&gt;"&amp;D595,$C$2:$C$2001,C595)&gt;0,"SIM","NAO"))</f>
        <v/>
      </c>
      <c r="Z595" s="5" t="str">
        <f aca="false">IF(A595="","",IF(J595="","",IFERROR(360/J595,"")))</f>
        <v/>
      </c>
      <c r="AA595" s="5" t="str">
        <f aca="false">IF(A595="","",IF(H595=0,"Parado (sem venda 90d)",IF(Z595&gt;12,"Alto (&gt;12x/ano)",IF(Z595&gt;=4,"Medio (4-12x/ano)","Baixo (&lt;4x/ano)"))))</f>
        <v/>
      </c>
    </row>
    <row r="596" customFormat="false" ht="15" hidden="false" customHeight="true" outlineLevel="0" collapsed="false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18"/>
      <c r="L596" s="19" t="str">
        <f aca="false">IF(A596="","",G596*K596)</f>
        <v/>
      </c>
      <c r="M596" s="20"/>
      <c r="N596" s="6"/>
      <c r="O596" s="6"/>
      <c r="P596" s="5" t="str">
        <f aca="false">IF(A596="","",H596/90)</f>
        <v/>
      </c>
      <c r="Q596" s="5" t="str">
        <f aca="false">IF(A596="","",IFERROR(INDEX(Parâmetros!$C$6:$C$10,MATCH(F596,Parâmetros!$B$6:$B$10,0)),""))</f>
        <v/>
      </c>
      <c r="R596" s="5" t="str">
        <f aca="false">IF(OR(A596="",P596="",Q596=""),"",P596*Q596)</f>
        <v/>
      </c>
      <c r="S596" s="5" t="str">
        <f aca="false">IF(R596="","",MAX(0,R596-G596))</f>
        <v/>
      </c>
      <c r="T596" s="21" t="str">
        <f aca="false">IF(S596="","",S596*K596)</f>
        <v/>
      </c>
      <c r="U596" s="5" t="str">
        <f aca="false">IF(A596="","",IF(J596&gt;Parâmetros!$C$14,"SIM","NAO"))</f>
        <v/>
      </c>
      <c r="V596" s="5" t="str">
        <f aca="false">IF(B596="","",TRIM(LEFT(B596,IFERROR(FIND(" ",B596)-1,LEN(B596)))))</f>
        <v/>
      </c>
      <c r="W596" s="22"/>
      <c r="X596" s="5" t="str">
        <f aca="false">IF(A596="","",IF(W596&lt;&gt;"",W596,V596))</f>
        <v/>
      </c>
      <c r="Y596" s="5" t="str">
        <f aca="false">IF(A596="","",IF(COUNTIFS($X$2:$X$2001,X596,$D$2:$D$2001,"&lt;&gt;"&amp;D596,$C$2:$C$2001,C596)&gt;0,"SIM","NAO"))</f>
        <v/>
      </c>
      <c r="Z596" s="5" t="str">
        <f aca="false">IF(A596="","",IF(J596="","",IFERROR(360/J596,"")))</f>
        <v/>
      </c>
      <c r="AA596" s="5" t="str">
        <f aca="false">IF(A596="","",IF(H596=0,"Parado (sem venda 90d)",IF(Z596&gt;12,"Alto (&gt;12x/ano)",IF(Z596&gt;=4,"Medio (4-12x/ano)","Baixo (&lt;4x/ano)"))))</f>
        <v/>
      </c>
    </row>
    <row r="597" customFormat="false" ht="15" hidden="false" customHeight="true" outlineLevel="0" collapsed="false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18"/>
      <c r="L597" s="19" t="str">
        <f aca="false">IF(A597="","",G597*K597)</f>
        <v/>
      </c>
      <c r="M597" s="20"/>
      <c r="N597" s="6"/>
      <c r="O597" s="6"/>
      <c r="P597" s="5" t="str">
        <f aca="false">IF(A597="","",H597/90)</f>
        <v/>
      </c>
      <c r="Q597" s="5" t="str">
        <f aca="false">IF(A597="","",IFERROR(INDEX(Parâmetros!$C$6:$C$10,MATCH(F597,Parâmetros!$B$6:$B$10,0)),""))</f>
        <v/>
      </c>
      <c r="R597" s="5" t="str">
        <f aca="false">IF(OR(A597="",P597="",Q597=""),"",P597*Q597)</f>
        <v/>
      </c>
      <c r="S597" s="5" t="str">
        <f aca="false">IF(R597="","",MAX(0,R597-G597))</f>
        <v/>
      </c>
      <c r="T597" s="21" t="str">
        <f aca="false">IF(S597="","",S597*K597)</f>
        <v/>
      </c>
      <c r="U597" s="5" t="str">
        <f aca="false">IF(A597="","",IF(J597&gt;Parâmetros!$C$14,"SIM","NAO"))</f>
        <v/>
      </c>
      <c r="V597" s="5" t="str">
        <f aca="false">IF(B597="","",TRIM(LEFT(B597,IFERROR(FIND(" ",B597)-1,LEN(B597)))))</f>
        <v/>
      </c>
      <c r="W597" s="22"/>
      <c r="X597" s="5" t="str">
        <f aca="false">IF(A597="","",IF(W597&lt;&gt;"",W597,V597))</f>
        <v/>
      </c>
      <c r="Y597" s="5" t="str">
        <f aca="false">IF(A597="","",IF(COUNTIFS($X$2:$X$2001,X597,$D$2:$D$2001,"&lt;&gt;"&amp;D597,$C$2:$C$2001,C597)&gt;0,"SIM","NAO"))</f>
        <v/>
      </c>
      <c r="Z597" s="5" t="str">
        <f aca="false">IF(A597="","",IF(J597="","",IFERROR(360/J597,"")))</f>
        <v/>
      </c>
      <c r="AA597" s="5" t="str">
        <f aca="false">IF(A597="","",IF(H597=0,"Parado (sem venda 90d)",IF(Z597&gt;12,"Alto (&gt;12x/ano)",IF(Z597&gt;=4,"Medio (4-12x/ano)","Baixo (&lt;4x/ano)"))))</f>
        <v/>
      </c>
    </row>
    <row r="598" customFormat="false" ht="15" hidden="false" customHeight="true" outlineLevel="0" collapsed="false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18"/>
      <c r="L598" s="19" t="str">
        <f aca="false">IF(A598="","",G598*K598)</f>
        <v/>
      </c>
      <c r="M598" s="20"/>
      <c r="N598" s="6"/>
      <c r="O598" s="6"/>
      <c r="P598" s="5" t="str">
        <f aca="false">IF(A598="","",H598/90)</f>
        <v/>
      </c>
      <c r="Q598" s="5" t="str">
        <f aca="false">IF(A598="","",IFERROR(INDEX(Parâmetros!$C$6:$C$10,MATCH(F598,Parâmetros!$B$6:$B$10,0)),""))</f>
        <v/>
      </c>
      <c r="R598" s="5" t="str">
        <f aca="false">IF(OR(A598="",P598="",Q598=""),"",P598*Q598)</f>
        <v/>
      </c>
      <c r="S598" s="5" t="str">
        <f aca="false">IF(R598="","",MAX(0,R598-G598))</f>
        <v/>
      </c>
      <c r="T598" s="21" t="str">
        <f aca="false">IF(S598="","",S598*K598)</f>
        <v/>
      </c>
      <c r="U598" s="5" t="str">
        <f aca="false">IF(A598="","",IF(J598&gt;Parâmetros!$C$14,"SIM","NAO"))</f>
        <v/>
      </c>
      <c r="V598" s="5" t="str">
        <f aca="false">IF(B598="","",TRIM(LEFT(B598,IFERROR(FIND(" ",B598)-1,LEN(B598)))))</f>
        <v/>
      </c>
      <c r="W598" s="22"/>
      <c r="X598" s="5" t="str">
        <f aca="false">IF(A598="","",IF(W598&lt;&gt;"",W598,V598))</f>
        <v/>
      </c>
      <c r="Y598" s="5" t="str">
        <f aca="false">IF(A598="","",IF(COUNTIFS($X$2:$X$2001,X598,$D$2:$D$2001,"&lt;&gt;"&amp;D598,$C$2:$C$2001,C598)&gt;0,"SIM","NAO"))</f>
        <v/>
      </c>
      <c r="Z598" s="5" t="str">
        <f aca="false">IF(A598="","",IF(J598="","",IFERROR(360/J598,"")))</f>
        <v/>
      </c>
      <c r="AA598" s="5" t="str">
        <f aca="false">IF(A598="","",IF(H598=0,"Parado (sem venda 90d)",IF(Z598&gt;12,"Alto (&gt;12x/ano)",IF(Z598&gt;=4,"Medio (4-12x/ano)","Baixo (&lt;4x/ano)"))))</f>
        <v/>
      </c>
    </row>
    <row r="599" customFormat="false" ht="15" hidden="false" customHeight="true" outlineLevel="0" collapsed="false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18"/>
      <c r="L599" s="19" t="str">
        <f aca="false">IF(A599="","",G599*K599)</f>
        <v/>
      </c>
      <c r="M599" s="20"/>
      <c r="N599" s="6"/>
      <c r="O599" s="6"/>
      <c r="P599" s="5" t="str">
        <f aca="false">IF(A599="","",H599/90)</f>
        <v/>
      </c>
      <c r="Q599" s="5" t="str">
        <f aca="false">IF(A599="","",IFERROR(INDEX(Parâmetros!$C$6:$C$10,MATCH(F599,Parâmetros!$B$6:$B$10,0)),""))</f>
        <v/>
      </c>
      <c r="R599" s="5" t="str">
        <f aca="false">IF(OR(A599="",P599="",Q599=""),"",P599*Q599)</f>
        <v/>
      </c>
      <c r="S599" s="5" t="str">
        <f aca="false">IF(R599="","",MAX(0,R599-G599))</f>
        <v/>
      </c>
      <c r="T599" s="21" t="str">
        <f aca="false">IF(S599="","",S599*K599)</f>
        <v/>
      </c>
      <c r="U599" s="5" t="str">
        <f aca="false">IF(A599="","",IF(J599&gt;Parâmetros!$C$14,"SIM","NAO"))</f>
        <v/>
      </c>
      <c r="V599" s="5" t="str">
        <f aca="false">IF(B599="","",TRIM(LEFT(B599,IFERROR(FIND(" ",B599)-1,LEN(B599)))))</f>
        <v/>
      </c>
      <c r="W599" s="22"/>
      <c r="X599" s="5" t="str">
        <f aca="false">IF(A599="","",IF(W599&lt;&gt;"",W599,V599))</f>
        <v/>
      </c>
      <c r="Y599" s="5" t="str">
        <f aca="false">IF(A599="","",IF(COUNTIFS($X$2:$X$2001,X599,$D$2:$D$2001,"&lt;&gt;"&amp;D599,$C$2:$C$2001,C599)&gt;0,"SIM","NAO"))</f>
        <v/>
      </c>
      <c r="Z599" s="5" t="str">
        <f aca="false">IF(A599="","",IF(J599="","",IFERROR(360/J599,"")))</f>
        <v/>
      </c>
      <c r="AA599" s="5" t="str">
        <f aca="false">IF(A599="","",IF(H599=0,"Parado (sem venda 90d)",IF(Z599&gt;12,"Alto (&gt;12x/ano)",IF(Z599&gt;=4,"Medio (4-12x/ano)","Baixo (&lt;4x/ano)"))))</f>
        <v/>
      </c>
    </row>
    <row r="600" customFormat="false" ht="15" hidden="false" customHeight="true" outlineLevel="0" collapsed="false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18"/>
      <c r="L600" s="19" t="str">
        <f aca="false">IF(A600="","",G600*K600)</f>
        <v/>
      </c>
      <c r="M600" s="20"/>
      <c r="N600" s="6"/>
      <c r="O600" s="6"/>
      <c r="P600" s="5" t="str">
        <f aca="false">IF(A600="","",H600/90)</f>
        <v/>
      </c>
      <c r="Q600" s="5" t="str">
        <f aca="false">IF(A600="","",IFERROR(INDEX(Parâmetros!$C$6:$C$10,MATCH(F600,Parâmetros!$B$6:$B$10,0)),""))</f>
        <v/>
      </c>
      <c r="R600" s="5" t="str">
        <f aca="false">IF(OR(A600="",P600="",Q600=""),"",P600*Q600)</f>
        <v/>
      </c>
      <c r="S600" s="5" t="str">
        <f aca="false">IF(R600="","",MAX(0,R600-G600))</f>
        <v/>
      </c>
      <c r="T600" s="21" t="str">
        <f aca="false">IF(S600="","",S600*K600)</f>
        <v/>
      </c>
      <c r="U600" s="5" t="str">
        <f aca="false">IF(A600="","",IF(J600&gt;Parâmetros!$C$14,"SIM","NAO"))</f>
        <v/>
      </c>
      <c r="V600" s="5" t="str">
        <f aca="false">IF(B600="","",TRIM(LEFT(B600,IFERROR(FIND(" ",B600)-1,LEN(B600)))))</f>
        <v/>
      </c>
      <c r="W600" s="22"/>
      <c r="X600" s="5" t="str">
        <f aca="false">IF(A600="","",IF(W600&lt;&gt;"",W600,V600))</f>
        <v/>
      </c>
      <c r="Y600" s="5" t="str">
        <f aca="false">IF(A600="","",IF(COUNTIFS($X$2:$X$2001,X600,$D$2:$D$2001,"&lt;&gt;"&amp;D600,$C$2:$C$2001,C600)&gt;0,"SIM","NAO"))</f>
        <v/>
      </c>
      <c r="Z600" s="5" t="str">
        <f aca="false">IF(A600="","",IF(J600="","",IFERROR(360/J600,"")))</f>
        <v/>
      </c>
      <c r="AA600" s="5" t="str">
        <f aca="false">IF(A600="","",IF(H600=0,"Parado (sem venda 90d)",IF(Z600&gt;12,"Alto (&gt;12x/ano)",IF(Z600&gt;=4,"Medio (4-12x/ano)","Baixo (&lt;4x/ano)"))))</f>
        <v/>
      </c>
    </row>
    <row r="601" customFormat="false" ht="15" hidden="false" customHeight="true" outlineLevel="0" collapsed="false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18"/>
      <c r="L601" s="19" t="str">
        <f aca="false">IF(A601="","",G601*K601)</f>
        <v/>
      </c>
      <c r="M601" s="20"/>
      <c r="N601" s="6"/>
      <c r="O601" s="6"/>
      <c r="P601" s="5" t="str">
        <f aca="false">IF(A601="","",H601/90)</f>
        <v/>
      </c>
      <c r="Q601" s="5" t="str">
        <f aca="false">IF(A601="","",IFERROR(INDEX(Parâmetros!$C$6:$C$10,MATCH(F601,Parâmetros!$B$6:$B$10,0)),""))</f>
        <v/>
      </c>
      <c r="R601" s="5" t="str">
        <f aca="false">IF(OR(A601="",P601="",Q601=""),"",P601*Q601)</f>
        <v/>
      </c>
      <c r="S601" s="5" t="str">
        <f aca="false">IF(R601="","",MAX(0,R601-G601))</f>
        <v/>
      </c>
      <c r="T601" s="21" t="str">
        <f aca="false">IF(S601="","",S601*K601)</f>
        <v/>
      </c>
      <c r="U601" s="5" t="str">
        <f aca="false">IF(A601="","",IF(J601&gt;Parâmetros!$C$14,"SIM","NAO"))</f>
        <v/>
      </c>
      <c r="V601" s="5" t="str">
        <f aca="false">IF(B601="","",TRIM(LEFT(B601,IFERROR(FIND(" ",B601)-1,LEN(B601)))))</f>
        <v/>
      </c>
      <c r="W601" s="22"/>
      <c r="X601" s="5" t="str">
        <f aca="false">IF(A601="","",IF(W601&lt;&gt;"",W601,V601))</f>
        <v/>
      </c>
      <c r="Y601" s="5" t="str">
        <f aca="false">IF(A601="","",IF(COUNTIFS($X$2:$X$2001,X601,$D$2:$D$2001,"&lt;&gt;"&amp;D601,$C$2:$C$2001,C601)&gt;0,"SIM","NAO"))</f>
        <v/>
      </c>
      <c r="Z601" s="5" t="str">
        <f aca="false">IF(A601="","",IF(J601="","",IFERROR(360/J601,"")))</f>
        <v/>
      </c>
      <c r="AA601" s="5" t="str">
        <f aca="false">IF(A601="","",IF(H601=0,"Parado (sem venda 90d)",IF(Z601&gt;12,"Alto (&gt;12x/ano)",IF(Z601&gt;=4,"Medio (4-12x/ano)","Baixo (&lt;4x/ano)"))))</f>
        <v/>
      </c>
    </row>
    <row r="602" customFormat="false" ht="15" hidden="false" customHeight="true" outlineLevel="0" collapsed="false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18"/>
      <c r="L602" s="19" t="str">
        <f aca="false">IF(A602="","",G602*K602)</f>
        <v/>
      </c>
      <c r="M602" s="20"/>
      <c r="N602" s="6"/>
      <c r="O602" s="6"/>
      <c r="P602" s="5" t="str">
        <f aca="false">IF(A602="","",H602/90)</f>
        <v/>
      </c>
      <c r="Q602" s="5" t="str">
        <f aca="false">IF(A602="","",IFERROR(INDEX(Parâmetros!$C$6:$C$10,MATCH(F602,Parâmetros!$B$6:$B$10,0)),""))</f>
        <v/>
      </c>
      <c r="R602" s="5" t="str">
        <f aca="false">IF(OR(A602="",P602="",Q602=""),"",P602*Q602)</f>
        <v/>
      </c>
      <c r="S602" s="5" t="str">
        <f aca="false">IF(R602="","",MAX(0,R602-G602))</f>
        <v/>
      </c>
      <c r="T602" s="21" t="str">
        <f aca="false">IF(S602="","",S602*K602)</f>
        <v/>
      </c>
      <c r="U602" s="5" t="str">
        <f aca="false">IF(A602="","",IF(J602&gt;Parâmetros!$C$14,"SIM","NAO"))</f>
        <v/>
      </c>
      <c r="V602" s="5" t="str">
        <f aca="false">IF(B602="","",TRIM(LEFT(B602,IFERROR(FIND(" ",B602)-1,LEN(B602)))))</f>
        <v/>
      </c>
      <c r="W602" s="22"/>
      <c r="X602" s="5" t="str">
        <f aca="false">IF(A602="","",IF(W602&lt;&gt;"",W602,V602))</f>
        <v/>
      </c>
      <c r="Y602" s="5" t="str">
        <f aca="false">IF(A602="","",IF(COUNTIFS($X$2:$X$2001,X602,$D$2:$D$2001,"&lt;&gt;"&amp;D602,$C$2:$C$2001,C602)&gt;0,"SIM","NAO"))</f>
        <v/>
      </c>
      <c r="Z602" s="5" t="str">
        <f aca="false">IF(A602="","",IF(J602="","",IFERROR(360/J602,"")))</f>
        <v/>
      </c>
      <c r="AA602" s="5" t="str">
        <f aca="false">IF(A602="","",IF(H602=0,"Parado (sem venda 90d)",IF(Z602&gt;12,"Alto (&gt;12x/ano)",IF(Z602&gt;=4,"Medio (4-12x/ano)","Baixo (&lt;4x/ano)"))))</f>
        <v/>
      </c>
    </row>
    <row r="603" customFormat="false" ht="15" hidden="false" customHeight="true" outlineLevel="0" collapsed="false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18"/>
      <c r="L603" s="19" t="str">
        <f aca="false">IF(A603="","",G603*K603)</f>
        <v/>
      </c>
      <c r="M603" s="20"/>
      <c r="N603" s="6"/>
      <c r="O603" s="6"/>
      <c r="P603" s="5" t="str">
        <f aca="false">IF(A603="","",H603/90)</f>
        <v/>
      </c>
      <c r="Q603" s="5" t="str">
        <f aca="false">IF(A603="","",IFERROR(INDEX(Parâmetros!$C$6:$C$10,MATCH(F603,Parâmetros!$B$6:$B$10,0)),""))</f>
        <v/>
      </c>
      <c r="R603" s="5" t="str">
        <f aca="false">IF(OR(A603="",P603="",Q603=""),"",P603*Q603)</f>
        <v/>
      </c>
      <c r="S603" s="5" t="str">
        <f aca="false">IF(R603="","",MAX(0,R603-G603))</f>
        <v/>
      </c>
      <c r="T603" s="21" t="str">
        <f aca="false">IF(S603="","",S603*K603)</f>
        <v/>
      </c>
      <c r="U603" s="5" t="str">
        <f aca="false">IF(A603="","",IF(J603&gt;Parâmetros!$C$14,"SIM","NAO"))</f>
        <v/>
      </c>
      <c r="V603" s="5" t="str">
        <f aca="false">IF(B603="","",TRIM(LEFT(B603,IFERROR(FIND(" ",B603)-1,LEN(B603)))))</f>
        <v/>
      </c>
      <c r="W603" s="22"/>
      <c r="X603" s="5" t="str">
        <f aca="false">IF(A603="","",IF(W603&lt;&gt;"",W603,V603))</f>
        <v/>
      </c>
      <c r="Y603" s="5" t="str">
        <f aca="false">IF(A603="","",IF(COUNTIFS($X$2:$X$2001,X603,$D$2:$D$2001,"&lt;&gt;"&amp;D603,$C$2:$C$2001,C603)&gt;0,"SIM","NAO"))</f>
        <v/>
      </c>
      <c r="Z603" s="5" t="str">
        <f aca="false">IF(A603="","",IF(J603="","",IFERROR(360/J603,"")))</f>
        <v/>
      </c>
      <c r="AA603" s="5" t="str">
        <f aca="false">IF(A603="","",IF(H603=0,"Parado (sem venda 90d)",IF(Z603&gt;12,"Alto (&gt;12x/ano)",IF(Z603&gt;=4,"Medio (4-12x/ano)","Baixo (&lt;4x/ano)"))))</f>
        <v/>
      </c>
    </row>
    <row r="604" customFormat="false" ht="15" hidden="false" customHeight="true" outlineLevel="0" collapsed="false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18"/>
      <c r="L604" s="19" t="str">
        <f aca="false">IF(A604="","",G604*K604)</f>
        <v/>
      </c>
      <c r="M604" s="20"/>
      <c r="N604" s="6"/>
      <c r="O604" s="6"/>
      <c r="P604" s="5" t="str">
        <f aca="false">IF(A604="","",H604/90)</f>
        <v/>
      </c>
      <c r="Q604" s="5" t="str">
        <f aca="false">IF(A604="","",IFERROR(INDEX(Parâmetros!$C$6:$C$10,MATCH(F604,Parâmetros!$B$6:$B$10,0)),""))</f>
        <v/>
      </c>
      <c r="R604" s="5" t="str">
        <f aca="false">IF(OR(A604="",P604="",Q604=""),"",P604*Q604)</f>
        <v/>
      </c>
      <c r="S604" s="5" t="str">
        <f aca="false">IF(R604="","",MAX(0,R604-G604))</f>
        <v/>
      </c>
      <c r="T604" s="21" t="str">
        <f aca="false">IF(S604="","",S604*K604)</f>
        <v/>
      </c>
      <c r="U604" s="5" t="str">
        <f aca="false">IF(A604="","",IF(J604&gt;Parâmetros!$C$14,"SIM","NAO"))</f>
        <v/>
      </c>
      <c r="V604" s="5" t="str">
        <f aca="false">IF(B604="","",TRIM(LEFT(B604,IFERROR(FIND(" ",B604)-1,LEN(B604)))))</f>
        <v/>
      </c>
      <c r="W604" s="22"/>
      <c r="X604" s="5" t="str">
        <f aca="false">IF(A604="","",IF(W604&lt;&gt;"",W604,V604))</f>
        <v/>
      </c>
      <c r="Y604" s="5" t="str">
        <f aca="false">IF(A604="","",IF(COUNTIFS($X$2:$X$2001,X604,$D$2:$D$2001,"&lt;&gt;"&amp;D604,$C$2:$C$2001,C604)&gt;0,"SIM","NAO"))</f>
        <v/>
      </c>
      <c r="Z604" s="5" t="str">
        <f aca="false">IF(A604="","",IF(J604="","",IFERROR(360/J604,"")))</f>
        <v/>
      </c>
      <c r="AA604" s="5" t="str">
        <f aca="false">IF(A604="","",IF(H604=0,"Parado (sem venda 90d)",IF(Z604&gt;12,"Alto (&gt;12x/ano)",IF(Z604&gt;=4,"Medio (4-12x/ano)","Baixo (&lt;4x/ano)"))))</f>
        <v/>
      </c>
    </row>
    <row r="605" customFormat="false" ht="15" hidden="false" customHeight="true" outlineLevel="0" collapsed="false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18"/>
      <c r="L605" s="19" t="str">
        <f aca="false">IF(A605="","",G605*K605)</f>
        <v/>
      </c>
      <c r="M605" s="20"/>
      <c r="N605" s="6"/>
      <c r="O605" s="6"/>
      <c r="P605" s="5" t="str">
        <f aca="false">IF(A605="","",H605/90)</f>
        <v/>
      </c>
      <c r="Q605" s="5" t="str">
        <f aca="false">IF(A605="","",IFERROR(INDEX(Parâmetros!$C$6:$C$10,MATCH(F605,Parâmetros!$B$6:$B$10,0)),""))</f>
        <v/>
      </c>
      <c r="R605" s="5" t="str">
        <f aca="false">IF(OR(A605="",P605="",Q605=""),"",P605*Q605)</f>
        <v/>
      </c>
      <c r="S605" s="5" t="str">
        <f aca="false">IF(R605="","",MAX(0,R605-G605))</f>
        <v/>
      </c>
      <c r="T605" s="21" t="str">
        <f aca="false">IF(S605="","",S605*K605)</f>
        <v/>
      </c>
      <c r="U605" s="5" t="str">
        <f aca="false">IF(A605="","",IF(J605&gt;Parâmetros!$C$14,"SIM","NAO"))</f>
        <v/>
      </c>
      <c r="V605" s="5" t="str">
        <f aca="false">IF(B605="","",TRIM(LEFT(B605,IFERROR(FIND(" ",B605)-1,LEN(B605)))))</f>
        <v/>
      </c>
      <c r="W605" s="22"/>
      <c r="X605" s="5" t="str">
        <f aca="false">IF(A605="","",IF(W605&lt;&gt;"",W605,V605))</f>
        <v/>
      </c>
      <c r="Y605" s="5" t="str">
        <f aca="false">IF(A605="","",IF(COUNTIFS($X$2:$X$2001,X605,$D$2:$D$2001,"&lt;&gt;"&amp;D605,$C$2:$C$2001,C605)&gt;0,"SIM","NAO"))</f>
        <v/>
      </c>
      <c r="Z605" s="5" t="str">
        <f aca="false">IF(A605="","",IF(J605="","",IFERROR(360/J605,"")))</f>
        <v/>
      </c>
      <c r="AA605" s="5" t="str">
        <f aca="false">IF(A605="","",IF(H605=0,"Parado (sem venda 90d)",IF(Z605&gt;12,"Alto (&gt;12x/ano)",IF(Z605&gt;=4,"Medio (4-12x/ano)","Baixo (&lt;4x/ano)"))))</f>
        <v/>
      </c>
    </row>
    <row r="606" customFormat="false" ht="15" hidden="false" customHeight="true" outlineLevel="0" collapsed="false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18"/>
      <c r="L606" s="19" t="str">
        <f aca="false">IF(A606="","",G606*K606)</f>
        <v/>
      </c>
      <c r="M606" s="20"/>
      <c r="N606" s="6"/>
      <c r="O606" s="6"/>
      <c r="P606" s="5" t="str">
        <f aca="false">IF(A606="","",H606/90)</f>
        <v/>
      </c>
      <c r="Q606" s="5" t="str">
        <f aca="false">IF(A606="","",IFERROR(INDEX(Parâmetros!$C$6:$C$10,MATCH(F606,Parâmetros!$B$6:$B$10,0)),""))</f>
        <v/>
      </c>
      <c r="R606" s="5" t="str">
        <f aca="false">IF(OR(A606="",P606="",Q606=""),"",P606*Q606)</f>
        <v/>
      </c>
      <c r="S606" s="5" t="str">
        <f aca="false">IF(R606="","",MAX(0,R606-G606))</f>
        <v/>
      </c>
      <c r="T606" s="21" t="str">
        <f aca="false">IF(S606="","",S606*K606)</f>
        <v/>
      </c>
      <c r="U606" s="5" t="str">
        <f aca="false">IF(A606="","",IF(J606&gt;Parâmetros!$C$14,"SIM","NAO"))</f>
        <v/>
      </c>
      <c r="V606" s="5" t="str">
        <f aca="false">IF(B606="","",TRIM(LEFT(B606,IFERROR(FIND(" ",B606)-1,LEN(B606)))))</f>
        <v/>
      </c>
      <c r="W606" s="22"/>
      <c r="X606" s="5" t="str">
        <f aca="false">IF(A606="","",IF(W606&lt;&gt;"",W606,V606))</f>
        <v/>
      </c>
      <c r="Y606" s="5" t="str">
        <f aca="false">IF(A606="","",IF(COUNTIFS($X$2:$X$2001,X606,$D$2:$D$2001,"&lt;&gt;"&amp;D606,$C$2:$C$2001,C606)&gt;0,"SIM","NAO"))</f>
        <v/>
      </c>
      <c r="Z606" s="5" t="str">
        <f aca="false">IF(A606="","",IF(J606="","",IFERROR(360/J606,"")))</f>
        <v/>
      </c>
      <c r="AA606" s="5" t="str">
        <f aca="false">IF(A606="","",IF(H606=0,"Parado (sem venda 90d)",IF(Z606&gt;12,"Alto (&gt;12x/ano)",IF(Z606&gt;=4,"Medio (4-12x/ano)","Baixo (&lt;4x/ano)"))))</f>
        <v/>
      </c>
    </row>
    <row r="607" customFormat="false" ht="15" hidden="false" customHeight="true" outlineLevel="0" collapsed="false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18"/>
      <c r="L607" s="19" t="str">
        <f aca="false">IF(A607="","",G607*K607)</f>
        <v/>
      </c>
      <c r="M607" s="20"/>
      <c r="N607" s="6"/>
      <c r="O607" s="6"/>
      <c r="P607" s="5" t="str">
        <f aca="false">IF(A607="","",H607/90)</f>
        <v/>
      </c>
      <c r="Q607" s="5" t="str">
        <f aca="false">IF(A607="","",IFERROR(INDEX(Parâmetros!$C$6:$C$10,MATCH(F607,Parâmetros!$B$6:$B$10,0)),""))</f>
        <v/>
      </c>
      <c r="R607" s="5" t="str">
        <f aca="false">IF(OR(A607="",P607="",Q607=""),"",P607*Q607)</f>
        <v/>
      </c>
      <c r="S607" s="5" t="str">
        <f aca="false">IF(R607="","",MAX(0,R607-G607))</f>
        <v/>
      </c>
      <c r="T607" s="21" t="str">
        <f aca="false">IF(S607="","",S607*K607)</f>
        <v/>
      </c>
      <c r="U607" s="5" t="str">
        <f aca="false">IF(A607="","",IF(J607&gt;Parâmetros!$C$14,"SIM","NAO"))</f>
        <v/>
      </c>
      <c r="V607" s="5" t="str">
        <f aca="false">IF(B607="","",TRIM(LEFT(B607,IFERROR(FIND(" ",B607)-1,LEN(B607)))))</f>
        <v/>
      </c>
      <c r="W607" s="22"/>
      <c r="X607" s="5" t="str">
        <f aca="false">IF(A607="","",IF(W607&lt;&gt;"",W607,V607))</f>
        <v/>
      </c>
      <c r="Y607" s="5" t="str">
        <f aca="false">IF(A607="","",IF(COUNTIFS($X$2:$X$2001,X607,$D$2:$D$2001,"&lt;&gt;"&amp;D607,$C$2:$C$2001,C607)&gt;0,"SIM","NAO"))</f>
        <v/>
      </c>
      <c r="Z607" s="5" t="str">
        <f aca="false">IF(A607="","",IF(J607="","",IFERROR(360/J607,"")))</f>
        <v/>
      </c>
      <c r="AA607" s="5" t="str">
        <f aca="false">IF(A607="","",IF(H607=0,"Parado (sem venda 90d)",IF(Z607&gt;12,"Alto (&gt;12x/ano)",IF(Z607&gt;=4,"Medio (4-12x/ano)","Baixo (&lt;4x/ano)"))))</f>
        <v/>
      </c>
    </row>
    <row r="608" customFormat="false" ht="15" hidden="false" customHeight="true" outlineLevel="0" collapsed="false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18"/>
      <c r="L608" s="19" t="str">
        <f aca="false">IF(A608="","",G608*K608)</f>
        <v/>
      </c>
      <c r="M608" s="20"/>
      <c r="N608" s="6"/>
      <c r="O608" s="6"/>
      <c r="P608" s="5" t="str">
        <f aca="false">IF(A608="","",H608/90)</f>
        <v/>
      </c>
      <c r="Q608" s="5" t="str">
        <f aca="false">IF(A608="","",IFERROR(INDEX(Parâmetros!$C$6:$C$10,MATCH(F608,Parâmetros!$B$6:$B$10,0)),""))</f>
        <v/>
      </c>
      <c r="R608" s="5" t="str">
        <f aca="false">IF(OR(A608="",P608="",Q608=""),"",P608*Q608)</f>
        <v/>
      </c>
      <c r="S608" s="5" t="str">
        <f aca="false">IF(R608="","",MAX(0,R608-G608))</f>
        <v/>
      </c>
      <c r="T608" s="21" t="str">
        <f aca="false">IF(S608="","",S608*K608)</f>
        <v/>
      </c>
      <c r="U608" s="5" t="str">
        <f aca="false">IF(A608="","",IF(J608&gt;Parâmetros!$C$14,"SIM","NAO"))</f>
        <v/>
      </c>
      <c r="V608" s="5" t="str">
        <f aca="false">IF(B608="","",TRIM(LEFT(B608,IFERROR(FIND(" ",B608)-1,LEN(B608)))))</f>
        <v/>
      </c>
      <c r="W608" s="22"/>
      <c r="X608" s="5" t="str">
        <f aca="false">IF(A608="","",IF(W608&lt;&gt;"",W608,V608))</f>
        <v/>
      </c>
      <c r="Y608" s="5" t="str">
        <f aca="false">IF(A608="","",IF(COUNTIFS($X$2:$X$2001,X608,$D$2:$D$2001,"&lt;&gt;"&amp;D608,$C$2:$C$2001,C608)&gt;0,"SIM","NAO"))</f>
        <v/>
      </c>
      <c r="Z608" s="5" t="str">
        <f aca="false">IF(A608="","",IF(J608="","",IFERROR(360/J608,"")))</f>
        <v/>
      </c>
      <c r="AA608" s="5" t="str">
        <f aca="false">IF(A608="","",IF(H608=0,"Parado (sem venda 90d)",IF(Z608&gt;12,"Alto (&gt;12x/ano)",IF(Z608&gt;=4,"Medio (4-12x/ano)","Baixo (&lt;4x/ano)"))))</f>
        <v/>
      </c>
    </row>
    <row r="609" customFormat="false" ht="15" hidden="false" customHeight="true" outlineLevel="0" collapsed="false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18"/>
      <c r="L609" s="19" t="str">
        <f aca="false">IF(A609="","",G609*K609)</f>
        <v/>
      </c>
      <c r="M609" s="20"/>
      <c r="N609" s="6"/>
      <c r="O609" s="6"/>
      <c r="P609" s="5" t="str">
        <f aca="false">IF(A609="","",H609/90)</f>
        <v/>
      </c>
      <c r="Q609" s="5" t="str">
        <f aca="false">IF(A609="","",IFERROR(INDEX(Parâmetros!$C$6:$C$10,MATCH(F609,Parâmetros!$B$6:$B$10,0)),""))</f>
        <v/>
      </c>
      <c r="R609" s="5" t="str">
        <f aca="false">IF(OR(A609="",P609="",Q609=""),"",P609*Q609)</f>
        <v/>
      </c>
      <c r="S609" s="5" t="str">
        <f aca="false">IF(R609="","",MAX(0,R609-G609))</f>
        <v/>
      </c>
      <c r="T609" s="21" t="str">
        <f aca="false">IF(S609="","",S609*K609)</f>
        <v/>
      </c>
      <c r="U609" s="5" t="str">
        <f aca="false">IF(A609="","",IF(J609&gt;Parâmetros!$C$14,"SIM","NAO"))</f>
        <v/>
      </c>
      <c r="V609" s="5" t="str">
        <f aca="false">IF(B609="","",TRIM(LEFT(B609,IFERROR(FIND(" ",B609)-1,LEN(B609)))))</f>
        <v/>
      </c>
      <c r="W609" s="22"/>
      <c r="X609" s="5" t="str">
        <f aca="false">IF(A609="","",IF(W609&lt;&gt;"",W609,V609))</f>
        <v/>
      </c>
      <c r="Y609" s="5" t="str">
        <f aca="false">IF(A609="","",IF(COUNTIFS($X$2:$X$2001,X609,$D$2:$D$2001,"&lt;&gt;"&amp;D609,$C$2:$C$2001,C609)&gt;0,"SIM","NAO"))</f>
        <v/>
      </c>
      <c r="Z609" s="5" t="str">
        <f aca="false">IF(A609="","",IF(J609="","",IFERROR(360/J609,"")))</f>
        <v/>
      </c>
      <c r="AA609" s="5" t="str">
        <f aca="false">IF(A609="","",IF(H609=0,"Parado (sem venda 90d)",IF(Z609&gt;12,"Alto (&gt;12x/ano)",IF(Z609&gt;=4,"Medio (4-12x/ano)","Baixo (&lt;4x/ano)"))))</f>
        <v/>
      </c>
    </row>
    <row r="610" customFormat="false" ht="15" hidden="false" customHeight="true" outlineLevel="0" collapsed="false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18"/>
      <c r="L610" s="19" t="str">
        <f aca="false">IF(A610="","",G610*K610)</f>
        <v/>
      </c>
      <c r="M610" s="20"/>
      <c r="N610" s="6"/>
      <c r="O610" s="6"/>
      <c r="P610" s="5" t="str">
        <f aca="false">IF(A610="","",H610/90)</f>
        <v/>
      </c>
      <c r="Q610" s="5" t="str">
        <f aca="false">IF(A610="","",IFERROR(INDEX(Parâmetros!$C$6:$C$10,MATCH(F610,Parâmetros!$B$6:$B$10,0)),""))</f>
        <v/>
      </c>
      <c r="R610" s="5" t="str">
        <f aca="false">IF(OR(A610="",P610="",Q610=""),"",P610*Q610)</f>
        <v/>
      </c>
      <c r="S610" s="5" t="str">
        <f aca="false">IF(R610="","",MAX(0,R610-G610))</f>
        <v/>
      </c>
      <c r="T610" s="21" t="str">
        <f aca="false">IF(S610="","",S610*K610)</f>
        <v/>
      </c>
      <c r="U610" s="5" t="str">
        <f aca="false">IF(A610="","",IF(J610&gt;Parâmetros!$C$14,"SIM","NAO"))</f>
        <v/>
      </c>
      <c r="V610" s="5" t="str">
        <f aca="false">IF(B610="","",TRIM(LEFT(B610,IFERROR(FIND(" ",B610)-1,LEN(B610)))))</f>
        <v/>
      </c>
      <c r="W610" s="22"/>
      <c r="X610" s="5" t="str">
        <f aca="false">IF(A610="","",IF(W610&lt;&gt;"",W610,V610))</f>
        <v/>
      </c>
      <c r="Y610" s="5" t="str">
        <f aca="false">IF(A610="","",IF(COUNTIFS($X$2:$X$2001,X610,$D$2:$D$2001,"&lt;&gt;"&amp;D610,$C$2:$C$2001,C610)&gt;0,"SIM","NAO"))</f>
        <v/>
      </c>
      <c r="Z610" s="5" t="str">
        <f aca="false">IF(A610="","",IF(J610="","",IFERROR(360/J610,"")))</f>
        <v/>
      </c>
      <c r="AA610" s="5" t="str">
        <f aca="false">IF(A610="","",IF(H610=0,"Parado (sem venda 90d)",IF(Z610&gt;12,"Alto (&gt;12x/ano)",IF(Z610&gt;=4,"Medio (4-12x/ano)","Baixo (&lt;4x/ano)"))))</f>
        <v/>
      </c>
    </row>
    <row r="611" customFormat="false" ht="15" hidden="false" customHeight="true" outlineLevel="0" collapsed="false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18"/>
      <c r="L611" s="19" t="str">
        <f aca="false">IF(A611="","",G611*K611)</f>
        <v/>
      </c>
      <c r="M611" s="20"/>
      <c r="N611" s="6"/>
      <c r="O611" s="6"/>
      <c r="P611" s="5" t="str">
        <f aca="false">IF(A611="","",H611/90)</f>
        <v/>
      </c>
      <c r="Q611" s="5" t="str">
        <f aca="false">IF(A611="","",IFERROR(INDEX(Parâmetros!$C$6:$C$10,MATCH(F611,Parâmetros!$B$6:$B$10,0)),""))</f>
        <v/>
      </c>
      <c r="R611" s="5" t="str">
        <f aca="false">IF(OR(A611="",P611="",Q611=""),"",P611*Q611)</f>
        <v/>
      </c>
      <c r="S611" s="5" t="str">
        <f aca="false">IF(R611="","",MAX(0,R611-G611))</f>
        <v/>
      </c>
      <c r="T611" s="21" t="str">
        <f aca="false">IF(S611="","",S611*K611)</f>
        <v/>
      </c>
      <c r="U611" s="5" t="str">
        <f aca="false">IF(A611="","",IF(J611&gt;Parâmetros!$C$14,"SIM","NAO"))</f>
        <v/>
      </c>
      <c r="V611" s="5" t="str">
        <f aca="false">IF(B611="","",TRIM(LEFT(B611,IFERROR(FIND(" ",B611)-1,LEN(B611)))))</f>
        <v/>
      </c>
      <c r="W611" s="22"/>
      <c r="X611" s="5" t="str">
        <f aca="false">IF(A611="","",IF(W611&lt;&gt;"",W611,V611))</f>
        <v/>
      </c>
      <c r="Y611" s="5" t="str">
        <f aca="false">IF(A611="","",IF(COUNTIFS($X$2:$X$2001,X611,$D$2:$D$2001,"&lt;&gt;"&amp;D611,$C$2:$C$2001,C611)&gt;0,"SIM","NAO"))</f>
        <v/>
      </c>
      <c r="Z611" s="5" t="str">
        <f aca="false">IF(A611="","",IF(J611="","",IFERROR(360/J611,"")))</f>
        <v/>
      </c>
      <c r="AA611" s="5" t="str">
        <f aca="false">IF(A611="","",IF(H611=0,"Parado (sem venda 90d)",IF(Z611&gt;12,"Alto (&gt;12x/ano)",IF(Z611&gt;=4,"Medio (4-12x/ano)","Baixo (&lt;4x/ano)"))))</f>
        <v/>
      </c>
    </row>
    <row r="612" customFormat="false" ht="15" hidden="false" customHeight="true" outlineLevel="0" collapsed="false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18"/>
      <c r="L612" s="19" t="str">
        <f aca="false">IF(A612="","",G612*K612)</f>
        <v/>
      </c>
      <c r="M612" s="20"/>
      <c r="N612" s="6"/>
      <c r="O612" s="6"/>
      <c r="P612" s="5" t="str">
        <f aca="false">IF(A612="","",H612/90)</f>
        <v/>
      </c>
      <c r="Q612" s="5" t="str">
        <f aca="false">IF(A612="","",IFERROR(INDEX(Parâmetros!$C$6:$C$10,MATCH(F612,Parâmetros!$B$6:$B$10,0)),""))</f>
        <v/>
      </c>
      <c r="R612" s="5" t="str">
        <f aca="false">IF(OR(A612="",P612="",Q612=""),"",P612*Q612)</f>
        <v/>
      </c>
      <c r="S612" s="5" t="str">
        <f aca="false">IF(R612="","",MAX(0,R612-G612))</f>
        <v/>
      </c>
      <c r="T612" s="21" t="str">
        <f aca="false">IF(S612="","",S612*K612)</f>
        <v/>
      </c>
      <c r="U612" s="5" t="str">
        <f aca="false">IF(A612="","",IF(J612&gt;Parâmetros!$C$14,"SIM","NAO"))</f>
        <v/>
      </c>
      <c r="V612" s="5" t="str">
        <f aca="false">IF(B612="","",TRIM(LEFT(B612,IFERROR(FIND(" ",B612)-1,LEN(B612)))))</f>
        <v/>
      </c>
      <c r="W612" s="22"/>
      <c r="X612" s="5" t="str">
        <f aca="false">IF(A612="","",IF(W612&lt;&gt;"",W612,V612))</f>
        <v/>
      </c>
      <c r="Y612" s="5" t="str">
        <f aca="false">IF(A612="","",IF(COUNTIFS($X$2:$X$2001,X612,$D$2:$D$2001,"&lt;&gt;"&amp;D612,$C$2:$C$2001,C612)&gt;0,"SIM","NAO"))</f>
        <v/>
      </c>
      <c r="Z612" s="5" t="str">
        <f aca="false">IF(A612="","",IF(J612="","",IFERROR(360/J612,"")))</f>
        <v/>
      </c>
      <c r="AA612" s="5" t="str">
        <f aca="false">IF(A612="","",IF(H612=0,"Parado (sem venda 90d)",IF(Z612&gt;12,"Alto (&gt;12x/ano)",IF(Z612&gt;=4,"Medio (4-12x/ano)","Baixo (&lt;4x/ano)"))))</f>
        <v/>
      </c>
    </row>
    <row r="613" customFormat="false" ht="15" hidden="false" customHeight="true" outlineLevel="0" collapsed="false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18"/>
      <c r="L613" s="19" t="str">
        <f aca="false">IF(A613="","",G613*K613)</f>
        <v/>
      </c>
      <c r="M613" s="20"/>
      <c r="N613" s="6"/>
      <c r="O613" s="6"/>
      <c r="P613" s="5" t="str">
        <f aca="false">IF(A613="","",H613/90)</f>
        <v/>
      </c>
      <c r="Q613" s="5" t="str">
        <f aca="false">IF(A613="","",IFERROR(INDEX(Parâmetros!$C$6:$C$10,MATCH(F613,Parâmetros!$B$6:$B$10,0)),""))</f>
        <v/>
      </c>
      <c r="R613" s="5" t="str">
        <f aca="false">IF(OR(A613="",P613="",Q613=""),"",P613*Q613)</f>
        <v/>
      </c>
      <c r="S613" s="5" t="str">
        <f aca="false">IF(R613="","",MAX(0,R613-G613))</f>
        <v/>
      </c>
      <c r="T613" s="21" t="str">
        <f aca="false">IF(S613="","",S613*K613)</f>
        <v/>
      </c>
      <c r="U613" s="5" t="str">
        <f aca="false">IF(A613="","",IF(J613&gt;Parâmetros!$C$14,"SIM","NAO"))</f>
        <v/>
      </c>
      <c r="V613" s="5" t="str">
        <f aca="false">IF(B613="","",TRIM(LEFT(B613,IFERROR(FIND(" ",B613)-1,LEN(B613)))))</f>
        <v/>
      </c>
      <c r="W613" s="22"/>
      <c r="X613" s="5" t="str">
        <f aca="false">IF(A613="","",IF(W613&lt;&gt;"",W613,V613))</f>
        <v/>
      </c>
      <c r="Y613" s="5" t="str">
        <f aca="false">IF(A613="","",IF(COUNTIFS($X$2:$X$2001,X613,$D$2:$D$2001,"&lt;&gt;"&amp;D613,$C$2:$C$2001,C613)&gt;0,"SIM","NAO"))</f>
        <v/>
      </c>
      <c r="Z613" s="5" t="str">
        <f aca="false">IF(A613="","",IF(J613="","",IFERROR(360/J613,"")))</f>
        <v/>
      </c>
      <c r="AA613" s="5" t="str">
        <f aca="false">IF(A613="","",IF(H613=0,"Parado (sem venda 90d)",IF(Z613&gt;12,"Alto (&gt;12x/ano)",IF(Z613&gt;=4,"Medio (4-12x/ano)","Baixo (&lt;4x/ano)"))))</f>
        <v/>
      </c>
    </row>
    <row r="614" customFormat="false" ht="15" hidden="false" customHeight="true" outlineLevel="0" collapsed="false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18"/>
      <c r="L614" s="19" t="str">
        <f aca="false">IF(A614="","",G614*K614)</f>
        <v/>
      </c>
      <c r="M614" s="20"/>
      <c r="N614" s="6"/>
      <c r="O614" s="6"/>
      <c r="P614" s="5" t="str">
        <f aca="false">IF(A614="","",H614/90)</f>
        <v/>
      </c>
      <c r="Q614" s="5" t="str">
        <f aca="false">IF(A614="","",IFERROR(INDEX(Parâmetros!$C$6:$C$10,MATCH(F614,Parâmetros!$B$6:$B$10,0)),""))</f>
        <v/>
      </c>
      <c r="R614" s="5" t="str">
        <f aca="false">IF(OR(A614="",P614="",Q614=""),"",P614*Q614)</f>
        <v/>
      </c>
      <c r="S614" s="5" t="str">
        <f aca="false">IF(R614="","",MAX(0,R614-G614))</f>
        <v/>
      </c>
      <c r="T614" s="21" t="str">
        <f aca="false">IF(S614="","",S614*K614)</f>
        <v/>
      </c>
      <c r="U614" s="5" t="str">
        <f aca="false">IF(A614="","",IF(J614&gt;Parâmetros!$C$14,"SIM","NAO"))</f>
        <v/>
      </c>
      <c r="V614" s="5" t="str">
        <f aca="false">IF(B614="","",TRIM(LEFT(B614,IFERROR(FIND(" ",B614)-1,LEN(B614)))))</f>
        <v/>
      </c>
      <c r="W614" s="22"/>
      <c r="X614" s="5" t="str">
        <f aca="false">IF(A614="","",IF(W614&lt;&gt;"",W614,V614))</f>
        <v/>
      </c>
      <c r="Y614" s="5" t="str">
        <f aca="false">IF(A614="","",IF(COUNTIFS($X$2:$X$2001,X614,$D$2:$D$2001,"&lt;&gt;"&amp;D614,$C$2:$C$2001,C614)&gt;0,"SIM","NAO"))</f>
        <v/>
      </c>
      <c r="Z614" s="5" t="str">
        <f aca="false">IF(A614="","",IF(J614="","",IFERROR(360/J614,"")))</f>
        <v/>
      </c>
      <c r="AA614" s="5" t="str">
        <f aca="false">IF(A614="","",IF(H614=0,"Parado (sem venda 90d)",IF(Z614&gt;12,"Alto (&gt;12x/ano)",IF(Z614&gt;=4,"Medio (4-12x/ano)","Baixo (&lt;4x/ano)"))))</f>
        <v/>
      </c>
    </row>
    <row r="615" customFormat="false" ht="15" hidden="false" customHeight="true" outlineLevel="0" collapsed="false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18"/>
      <c r="L615" s="19" t="str">
        <f aca="false">IF(A615="","",G615*K615)</f>
        <v/>
      </c>
      <c r="M615" s="20"/>
      <c r="N615" s="6"/>
      <c r="O615" s="6"/>
      <c r="P615" s="5" t="str">
        <f aca="false">IF(A615="","",H615/90)</f>
        <v/>
      </c>
      <c r="Q615" s="5" t="str">
        <f aca="false">IF(A615="","",IFERROR(INDEX(Parâmetros!$C$6:$C$10,MATCH(F615,Parâmetros!$B$6:$B$10,0)),""))</f>
        <v/>
      </c>
      <c r="R615" s="5" t="str">
        <f aca="false">IF(OR(A615="",P615="",Q615=""),"",P615*Q615)</f>
        <v/>
      </c>
      <c r="S615" s="5" t="str">
        <f aca="false">IF(R615="","",MAX(0,R615-G615))</f>
        <v/>
      </c>
      <c r="T615" s="21" t="str">
        <f aca="false">IF(S615="","",S615*K615)</f>
        <v/>
      </c>
      <c r="U615" s="5" t="str">
        <f aca="false">IF(A615="","",IF(J615&gt;Parâmetros!$C$14,"SIM","NAO"))</f>
        <v/>
      </c>
      <c r="V615" s="5" t="str">
        <f aca="false">IF(B615="","",TRIM(LEFT(B615,IFERROR(FIND(" ",B615)-1,LEN(B615)))))</f>
        <v/>
      </c>
      <c r="W615" s="22"/>
      <c r="X615" s="5" t="str">
        <f aca="false">IF(A615="","",IF(W615&lt;&gt;"",W615,V615))</f>
        <v/>
      </c>
      <c r="Y615" s="5" t="str">
        <f aca="false">IF(A615="","",IF(COUNTIFS($X$2:$X$2001,X615,$D$2:$D$2001,"&lt;&gt;"&amp;D615,$C$2:$C$2001,C615)&gt;0,"SIM","NAO"))</f>
        <v/>
      </c>
      <c r="Z615" s="5" t="str">
        <f aca="false">IF(A615="","",IF(J615="","",IFERROR(360/J615,"")))</f>
        <v/>
      </c>
      <c r="AA615" s="5" t="str">
        <f aca="false">IF(A615="","",IF(H615=0,"Parado (sem venda 90d)",IF(Z615&gt;12,"Alto (&gt;12x/ano)",IF(Z615&gt;=4,"Medio (4-12x/ano)","Baixo (&lt;4x/ano)"))))</f>
        <v/>
      </c>
    </row>
    <row r="616" customFormat="false" ht="15" hidden="false" customHeight="true" outlineLevel="0" collapsed="false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18"/>
      <c r="L616" s="19" t="str">
        <f aca="false">IF(A616="","",G616*K616)</f>
        <v/>
      </c>
      <c r="M616" s="20"/>
      <c r="N616" s="6"/>
      <c r="O616" s="6"/>
      <c r="P616" s="5" t="str">
        <f aca="false">IF(A616="","",H616/90)</f>
        <v/>
      </c>
      <c r="Q616" s="5" t="str">
        <f aca="false">IF(A616="","",IFERROR(INDEX(Parâmetros!$C$6:$C$10,MATCH(F616,Parâmetros!$B$6:$B$10,0)),""))</f>
        <v/>
      </c>
      <c r="R616" s="5" t="str">
        <f aca="false">IF(OR(A616="",P616="",Q616=""),"",P616*Q616)</f>
        <v/>
      </c>
      <c r="S616" s="5" t="str">
        <f aca="false">IF(R616="","",MAX(0,R616-G616))</f>
        <v/>
      </c>
      <c r="T616" s="21" t="str">
        <f aca="false">IF(S616="","",S616*K616)</f>
        <v/>
      </c>
      <c r="U616" s="5" t="str">
        <f aca="false">IF(A616="","",IF(J616&gt;Parâmetros!$C$14,"SIM","NAO"))</f>
        <v/>
      </c>
      <c r="V616" s="5" t="str">
        <f aca="false">IF(B616="","",TRIM(LEFT(B616,IFERROR(FIND(" ",B616)-1,LEN(B616)))))</f>
        <v/>
      </c>
      <c r="W616" s="22"/>
      <c r="X616" s="5" t="str">
        <f aca="false">IF(A616="","",IF(W616&lt;&gt;"",W616,V616))</f>
        <v/>
      </c>
      <c r="Y616" s="5" t="str">
        <f aca="false">IF(A616="","",IF(COUNTIFS($X$2:$X$2001,X616,$D$2:$D$2001,"&lt;&gt;"&amp;D616,$C$2:$C$2001,C616)&gt;0,"SIM","NAO"))</f>
        <v/>
      </c>
      <c r="Z616" s="5" t="str">
        <f aca="false">IF(A616="","",IF(J616="","",IFERROR(360/J616,"")))</f>
        <v/>
      </c>
      <c r="AA616" s="5" t="str">
        <f aca="false">IF(A616="","",IF(H616=0,"Parado (sem venda 90d)",IF(Z616&gt;12,"Alto (&gt;12x/ano)",IF(Z616&gt;=4,"Medio (4-12x/ano)","Baixo (&lt;4x/ano)"))))</f>
        <v/>
      </c>
    </row>
    <row r="617" customFormat="false" ht="15" hidden="false" customHeight="true" outlineLevel="0" collapsed="false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18"/>
      <c r="L617" s="19" t="str">
        <f aca="false">IF(A617="","",G617*K617)</f>
        <v/>
      </c>
      <c r="M617" s="20"/>
      <c r="N617" s="6"/>
      <c r="O617" s="6"/>
      <c r="P617" s="5" t="str">
        <f aca="false">IF(A617="","",H617/90)</f>
        <v/>
      </c>
      <c r="Q617" s="5" t="str">
        <f aca="false">IF(A617="","",IFERROR(INDEX(Parâmetros!$C$6:$C$10,MATCH(F617,Parâmetros!$B$6:$B$10,0)),""))</f>
        <v/>
      </c>
      <c r="R617" s="5" t="str">
        <f aca="false">IF(OR(A617="",P617="",Q617=""),"",P617*Q617)</f>
        <v/>
      </c>
      <c r="S617" s="5" t="str">
        <f aca="false">IF(R617="","",MAX(0,R617-G617))</f>
        <v/>
      </c>
      <c r="T617" s="21" t="str">
        <f aca="false">IF(S617="","",S617*K617)</f>
        <v/>
      </c>
      <c r="U617" s="5" t="str">
        <f aca="false">IF(A617="","",IF(J617&gt;Parâmetros!$C$14,"SIM","NAO"))</f>
        <v/>
      </c>
      <c r="V617" s="5" t="str">
        <f aca="false">IF(B617="","",TRIM(LEFT(B617,IFERROR(FIND(" ",B617)-1,LEN(B617)))))</f>
        <v/>
      </c>
      <c r="W617" s="22"/>
      <c r="X617" s="5" t="str">
        <f aca="false">IF(A617="","",IF(W617&lt;&gt;"",W617,V617))</f>
        <v/>
      </c>
      <c r="Y617" s="5" t="str">
        <f aca="false">IF(A617="","",IF(COUNTIFS($X$2:$X$2001,X617,$D$2:$D$2001,"&lt;&gt;"&amp;D617,$C$2:$C$2001,C617)&gt;0,"SIM","NAO"))</f>
        <v/>
      </c>
      <c r="Z617" s="5" t="str">
        <f aca="false">IF(A617="","",IF(J617="","",IFERROR(360/J617,"")))</f>
        <v/>
      </c>
      <c r="AA617" s="5" t="str">
        <f aca="false">IF(A617="","",IF(H617=0,"Parado (sem venda 90d)",IF(Z617&gt;12,"Alto (&gt;12x/ano)",IF(Z617&gt;=4,"Medio (4-12x/ano)","Baixo (&lt;4x/ano)"))))</f>
        <v/>
      </c>
    </row>
    <row r="618" customFormat="false" ht="15" hidden="false" customHeight="true" outlineLevel="0" collapsed="false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18"/>
      <c r="L618" s="19" t="str">
        <f aca="false">IF(A618="","",G618*K618)</f>
        <v/>
      </c>
      <c r="M618" s="20"/>
      <c r="N618" s="6"/>
      <c r="O618" s="6"/>
      <c r="P618" s="5" t="str">
        <f aca="false">IF(A618="","",H618/90)</f>
        <v/>
      </c>
      <c r="Q618" s="5" t="str">
        <f aca="false">IF(A618="","",IFERROR(INDEX(Parâmetros!$C$6:$C$10,MATCH(F618,Parâmetros!$B$6:$B$10,0)),""))</f>
        <v/>
      </c>
      <c r="R618" s="5" t="str">
        <f aca="false">IF(OR(A618="",P618="",Q618=""),"",P618*Q618)</f>
        <v/>
      </c>
      <c r="S618" s="5" t="str">
        <f aca="false">IF(R618="","",MAX(0,R618-G618))</f>
        <v/>
      </c>
      <c r="T618" s="21" t="str">
        <f aca="false">IF(S618="","",S618*K618)</f>
        <v/>
      </c>
      <c r="U618" s="5" t="str">
        <f aca="false">IF(A618="","",IF(J618&gt;Parâmetros!$C$14,"SIM","NAO"))</f>
        <v/>
      </c>
      <c r="V618" s="5" t="str">
        <f aca="false">IF(B618="","",TRIM(LEFT(B618,IFERROR(FIND(" ",B618)-1,LEN(B618)))))</f>
        <v/>
      </c>
      <c r="W618" s="22"/>
      <c r="X618" s="5" t="str">
        <f aca="false">IF(A618="","",IF(W618&lt;&gt;"",W618,V618))</f>
        <v/>
      </c>
      <c r="Y618" s="5" t="str">
        <f aca="false">IF(A618="","",IF(COUNTIFS($X$2:$X$2001,X618,$D$2:$D$2001,"&lt;&gt;"&amp;D618,$C$2:$C$2001,C618)&gt;0,"SIM","NAO"))</f>
        <v/>
      </c>
      <c r="Z618" s="5" t="str">
        <f aca="false">IF(A618="","",IF(J618="","",IFERROR(360/J618,"")))</f>
        <v/>
      </c>
      <c r="AA618" s="5" t="str">
        <f aca="false">IF(A618="","",IF(H618=0,"Parado (sem venda 90d)",IF(Z618&gt;12,"Alto (&gt;12x/ano)",IF(Z618&gt;=4,"Medio (4-12x/ano)","Baixo (&lt;4x/ano)"))))</f>
        <v/>
      </c>
    </row>
    <row r="619" customFormat="false" ht="15" hidden="false" customHeight="true" outlineLevel="0" collapsed="false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18"/>
      <c r="L619" s="19" t="str">
        <f aca="false">IF(A619="","",G619*K619)</f>
        <v/>
      </c>
      <c r="M619" s="20"/>
      <c r="N619" s="6"/>
      <c r="O619" s="6"/>
      <c r="P619" s="5" t="str">
        <f aca="false">IF(A619="","",H619/90)</f>
        <v/>
      </c>
      <c r="Q619" s="5" t="str">
        <f aca="false">IF(A619="","",IFERROR(INDEX(Parâmetros!$C$6:$C$10,MATCH(F619,Parâmetros!$B$6:$B$10,0)),""))</f>
        <v/>
      </c>
      <c r="R619" s="5" t="str">
        <f aca="false">IF(OR(A619="",P619="",Q619=""),"",P619*Q619)</f>
        <v/>
      </c>
      <c r="S619" s="5" t="str">
        <f aca="false">IF(R619="","",MAX(0,R619-G619))</f>
        <v/>
      </c>
      <c r="T619" s="21" t="str">
        <f aca="false">IF(S619="","",S619*K619)</f>
        <v/>
      </c>
      <c r="U619" s="5" t="str">
        <f aca="false">IF(A619="","",IF(J619&gt;Parâmetros!$C$14,"SIM","NAO"))</f>
        <v/>
      </c>
      <c r="V619" s="5" t="str">
        <f aca="false">IF(B619="","",TRIM(LEFT(B619,IFERROR(FIND(" ",B619)-1,LEN(B619)))))</f>
        <v/>
      </c>
      <c r="W619" s="22"/>
      <c r="X619" s="5" t="str">
        <f aca="false">IF(A619="","",IF(W619&lt;&gt;"",W619,V619))</f>
        <v/>
      </c>
      <c r="Y619" s="5" t="str">
        <f aca="false">IF(A619="","",IF(COUNTIFS($X$2:$X$2001,X619,$D$2:$D$2001,"&lt;&gt;"&amp;D619,$C$2:$C$2001,C619)&gt;0,"SIM","NAO"))</f>
        <v/>
      </c>
      <c r="Z619" s="5" t="str">
        <f aca="false">IF(A619="","",IF(J619="","",IFERROR(360/J619,"")))</f>
        <v/>
      </c>
      <c r="AA619" s="5" t="str">
        <f aca="false">IF(A619="","",IF(H619=0,"Parado (sem venda 90d)",IF(Z619&gt;12,"Alto (&gt;12x/ano)",IF(Z619&gt;=4,"Medio (4-12x/ano)","Baixo (&lt;4x/ano)"))))</f>
        <v/>
      </c>
    </row>
    <row r="620" customFormat="false" ht="15" hidden="false" customHeight="true" outlineLevel="0" collapsed="false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18"/>
      <c r="L620" s="19" t="str">
        <f aca="false">IF(A620="","",G620*K620)</f>
        <v/>
      </c>
      <c r="M620" s="20"/>
      <c r="N620" s="6"/>
      <c r="O620" s="6"/>
      <c r="P620" s="5" t="str">
        <f aca="false">IF(A620="","",H620/90)</f>
        <v/>
      </c>
      <c r="Q620" s="5" t="str">
        <f aca="false">IF(A620="","",IFERROR(INDEX(Parâmetros!$C$6:$C$10,MATCH(F620,Parâmetros!$B$6:$B$10,0)),""))</f>
        <v/>
      </c>
      <c r="R620" s="5" t="str">
        <f aca="false">IF(OR(A620="",P620="",Q620=""),"",P620*Q620)</f>
        <v/>
      </c>
      <c r="S620" s="5" t="str">
        <f aca="false">IF(R620="","",MAX(0,R620-G620))</f>
        <v/>
      </c>
      <c r="T620" s="21" t="str">
        <f aca="false">IF(S620="","",S620*K620)</f>
        <v/>
      </c>
      <c r="U620" s="5" t="str">
        <f aca="false">IF(A620="","",IF(J620&gt;Parâmetros!$C$14,"SIM","NAO"))</f>
        <v/>
      </c>
      <c r="V620" s="5" t="str">
        <f aca="false">IF(B620="","",TRIM(LEFT(B620,IFERROR(FIND(" ",B620)-1,LEN(B620)))))</f>
        <v/>
      </c>
      <c r="W620" s="22"/>
      <c r="X620" s="5" t="str">
        <f aca="false">IF(A620="","",IF(W620&lt;&gt;"",W620,V620))</f>
        <v/>
      </c>
      <c r="Y620" s="5" t="str">
        <f aca="false">IF(A620="","",IF(COUNTIFS($X$2:$X$2001,X620,$D$2:$D$2001,"&lt;&gt;"&amp;D620,$C$2:$C$2001,C620)&gt;0,"SIM","NAO"))</f>
        <v/>
      </c>
      <c r="Z620" s="5" t="str">
        <f aca="false">IF(A620="","",IF(J620="","",IFERROR(360/J620,"")))</f>
        <v/>
      </c>
      <c r="AA620" s="5" t="str">
        <f aca="false">IF(A620="","",IF(H620=0,"Parado (sem venda 90d)",IF(Z620&gt;12,"Alto (&gt;12x/ano)",IF(Z620&gt;=4,"Medio (4-12x/ano)","Baixo (&lt;4x/ano)"))))</f>
        <v/>
      </c>
    </row>
    <row r="621" customFormat="false" ht="15" hidden="false" customHeight="true" outlineLevel="0" collapsed="false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18"/>
      <c r="L621" s="19" t="str">
        <f aca="false">IF(A621="","",G621*K621)</f>
        <v/>
      </c>
      <c r="M621" s="20"/>
      <c r="N621" s="6"/>
      <c r="O621" s="6"/>
      <c r="P621" s="5" t="str">
        <f aca="false">IF(A621="","",H621/90)</f>
        <v/>
      </c>
      <c r="Q621" s="5" t="str">
        <f aca="false">IF(A621="","",IFERROR(INDEX(Parâmetros!$C$6:$C$10,MATCH(F621,Parâmetros!$B$6:$B$10,0)),""))</f>
        <v/>
      </c>
      <c r="R621" s="5" t="str">
        <f aca="false">IF(OR(A621="",P621="",Q621=""),"",P621*Q621)</f>
        <v/>
      </c>
      <c r="S621" s="5" t="str">
        <f aca="false">IF(R621="","",MAX(0,R621-G621))</f>
        <v/>
      </c>
      <c r="T621" s="21" t="str">
        <f aca="false">IF(S621="","",S621*K621)</f>
        <v/>
      </c>
      <c r="U621" s="5" t="str">
        <f aca="false">IF(A621="","",IF(J621&gt;Parâmetros!$C$14,"SIM","NAO"))</f>
        <v/>
      </c>
      <c r="V621" s="5" t="str">
        <f aca="false">IF(B621="","",TRIM(LEFT(B621,IFERROR(FIND(" ",B621)-1,LEN(B621)))))</f>
        <v/>
      </c>
      <c r="W621" s="22"/>
      <c r="X621" s="5" t="str">
        <f aca="false">IF(A621="","",IF(W621&lt;&gt;"",W621,V621))</f>
        <v/>
      </c>
      <c r="Y621" s="5" t="str">
        <f aca="false">IF(A621="","",IF(COUNTIFS($X$2:$X$2001,X621,$D$2:$D$2001,"&lt;&gt;"&amp;D621,$C$2:$C$2001,C621)&gt;0,"SIM","NAO"))</f>
        <v/>
      </c>
      <c r="Z621" s="5" t="str">
        <f aca="false">IF(A621="","",IF(J621="","",IFERROR(360/J621,"")))</f>
        <v/>
      </c>
      <c r="AA621" s="5" t="str">
        <f aca="false">IF(A621="","",IF(H621=0,"Parado (sem venda 90d)",IF(Z621&gt;12,"Alto (&gt;12x/ano)",IF(Z621&gt;=4,"Medio (4-12x/ano)","Baixo (&lt;4x/ano)"))))</f>
        <v/>
      </c>
    </row>
    <row r="622" customFormat="false" ht="15" hidden="false" customHeight="true" outlineLevel="0" collapsed="false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18"/>
      <c r="L622" s="19" t="str">
        <f aca="false">IF(A622="","",G622*K622)</f>
        <v/>
      </c>
      <c r="M622" s="20"/>
      <c r="N622" s="6"/>
      <c r="O622" s="6"/>
      <c r="P622" s="5" t="str">
        <f aca="false">IF(A622="","",H622/90)</f>
        <v/>
      </c>
      <c r="Q622" s="5" t="str">
        <f aca="false">IF(A622="","",IFERROR(INDEX(Parâmetros!$C$6:$C$10,MATCH(F622,Parâmetros!$B$6:$B$10,0)),""))</f>
        <v/>
      </c>
      <c r="R622" s="5" t="str">
        <f aca="false">IF(OR(A622="",P622="",Q622=""),"",P622*Q622)</f>
        <v/>
      </c>
      <c r="S622" s="5" t="str">
        <f aca="false">IF(R622="","",MAX(0,R622-G622))</f>
        <v/>
      </c>
      <c r="T622" s="21" t="str">
        <f aca="false">IF(S622="","",S622*K622)</f>
        <v/>
      </c>
      <c r="U622" s="5" t="str">
        <f aca="false">IF(A622="","",IF(J622&gt;Parâmetros!$C$14,"SIM","NAO"))</f>
        <v/>
      </c>
      <c r="V622" s="5" t="str">
        <f aca="false">IF(B622="","",TRIM(LEFT(B622,IFERROR(FIND(" ",B622)-1,LEN(B622)))))</f>
        <v/>
      </c>
      <c r="W622" s="22"/>
      <c r="X622" s="5" t="str">
        <f aca="false">IF(A622="","",IF(W622&lt;&gt;"",W622,V622))</f>
        <v/>
      </c>
      <c r="Y622" s="5" t="str">
        <f aca="false">IF(A622="","",IF(COUNTIFS($X$2:$X$2001,X622,$D$2:$D$2001,"&lt;&gt;"&amp;D622,$C$2:$C$2001,C622)&gt;0,"SIM","NAO"))</f>
        <v/>
      </c>
      <c r="Z622" s="5" t="str">
        <f aca="false">IF(A622="","",IF(J622="","",IFERROR(360/J622,"")))</f>
        <v/>
      </c>
      <c r="AA622" s="5" t="str">
        <f aca="false">IF(A622="","",IF(H622=0,"Parado (sem venda 90d)",IF(Z622&gt;12,"Alto (&gt;12x/ano)",IF(Z622&gt;=4,"Medio (4-12x/ano)","Baixo (&lt;4x/ano)"))))</f>
        <v/>
      </c>
    </row>
    <row r="623" customFormat="false" ht="15" hidden="false" customHeight="true" outlineLevel="0" collapsed="false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18"/>
      <c r="L623" s="19" t="str">
        <f aca="false">IF(A623="","",G623*K623)</f>
        <v/>
      </c>
      <c r="M623" s="20"/>
      <c r="N623" s="6"/>
      <c r="O623" s="6"/>
      <c r="P623" s="5" t="str">
        <f aca="false">IF(A623="","",H623/90)</f>
        <v/>
      </c>
      <c r="Q623" s="5" t="str">
        <f aca="false">IF(A623="","",IFERROR(INDEX(Parâmetros!$C$6:$C$10,MATCH(F623,Parâmetros!$B$6:$B$10,0)),""))</f>
        <v/>
      </c>
      <c r="R623" s="5" t="str">
        <f aca="false">IF(OR(A623="",P623="",Q623=""),"",P623*Q623)</f>
        <v/>
      </c>
      <c r="S623" s="5" t="str">
        <f aca="false">IF(R623="","",MAX(0,R623-G623))</f>
        <v/>
      </c>
      <c r="T623" s="21" t="str">
        <f aca="false">IF(S623="","",S623*K623)</f>
        <v/>
      </c>
      <c r="U623" s="5" t="str">
        <f aca="false">IF(A623="","",IF(J623&gt;Parâmetros!$C$14,"SIM","NAO"))</f>
        <v/>
      </c>
      <c r="V623" s="5" t="str">
        <f aca="false">IF(B623="","",TRIM(LEFT(B623,IFERROR(FIND(" ",B623)-1,LEN(B623)))))</f>
        <v/>
      </c>
      <c r="W623" s="22"/>
      <c r="X623" s="5" t="str">
        <f aca="false">IF(A623="","",IF(W623&lt;&gt;"",W623,V623))</f>
        <v/>
      </c>
      <c r="Y623" s="5" t="str">
        <f aca="false">IF(A623="","",IF(COUNTIFS($X$2:$X$2001,X623,$D$2:$D$2001,"&lt;&gt;"&amp;D623,$C$2:$C$2001,C623)&gt;0,"SIM","NAO"))</f>
        <v/>
      </c>
      <c r="Z623" s="5" t="str">
        <f aca="false">IF(A623="","",IF(J623="","",IFERROR(360/J623,"")))</f>
        <v/>
      </c>
      <c r="AA623" s="5" t="str">
        <f aca="false">IF(A623="","",IF(H623=0,"Parado (sem venda 90d)",IF(Z623&gt;12,"Alto (&gt;12x/ano)",IF(Z623&gt;=4,"Medio (4-12x/ano)","Baixo (&lt;4x/ano)"))))</f>
        <v/>
      </c>
    </row>
    <row r="624" customFormat="false" ht="15" hidden="false" customHeight="true" outlineLevel="0" collapsed="false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18"/>
      <c r="L624" s="19" t="str">
        <f aca="false">IF(A624="","",G624*K624)</f>
        <v/>
      </c>
      <c r="M624" s="20"/>
      <c r="N624" s="6"/>
      <c r="O624" s="6"/>
      <c r="P624" s="5" t="str">
        <f aca="false">IF(A624="","",H624/90)</f>
        <v/>
      </c>
      <c r="Q624" s="5" t="str">
        <f aca="false">IF(A624="","",IFERROR(INDEX(Parâmetros!$C$6:$C$10,MATCH(F624,Parâmetros!$B$6:$B$10,0)),""))</f>
        <v/>
      </c>
      <c r="R624" s="5" t="str">
        <f aca="false">IF(OR(A624="",P624="",Q624=""),"",P624*Q624)</f>
        <v/>
      </c>
      <c r="S624" s="5" t="str">
        <f aca="false">IF(R624="","",MAX(0,R624-G624))</f>
        <v/>
      </c>
      <c r="T624" s="21" t="str">
        <f aca="false">IF(S624="","",S624*K624)</f>
        <v/>
      </c>
      <c r="U624" s="5" t="str">
        <f aca="false">IF(A624="","",IF(J624&gt;Parâmetros!$C$14,"SIM","NAO"))</f>
        <v/>
      </c>
      <c r="V624" s="5" t="str">
        <f aca="false">IF(B624="","",TRIM(LEFT(B624,IFERROR(FIND(" ",B624)-1,LEN(B624)))))</f>
        <v/>
      </c>
      <c r="W624" s="22"/>
      <c r="X624" s="5" t="str">
        <f aca="false">IF(A624="","",IF(W624&lt;&gt;"",W624,V624))</f>
        <v/>
      </c>
      <c r="Y624" s="5" t="str">
        <f aca="false">IF(A624="","",IF(COUNTIFS($X$2:$X$2001,X624,$D$2:$D$2001,"&lt;&gt;"&amp;D624,$C$2:$C$2001,C624)&gt;0,"SIM","NAO"))</f>
        <v/>
      </c>
      <c r="Z624" s="5" t="str">
        <f aca="false">IF(A624="","",IF(J624="","",IFERROR(360/J624,"")))</f>
        <v/>
      </c>
      <c r="AA624" s="5" t="str">
        <f aca="false">IF(A624="","",IF(H624=0,"Parado (sem venda 90d)",IF(Z624&gt;12,"Alto (&gt;12x/ano)",IF(Z624&gt;=4,"Medio (4-12x/ano)","Baixo (&lt;4x/ano)"))))</f>
        <v/>
      </c>
    </row>
    <row r="625" customFormat="false" ht="15" hidden="false" customHeight="true" outlineLevel="0" collapsed="false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18"/>
      <c r="L625" s="19" t="str">
        <f aca="false">IF(A625="","",G625*K625)</f>
        <v/>
      </c>
      <c r="M625" s="20"/>
      <c r="N625" s="6"/>
      <c r="O625" s="6"/>
      <c r="P625" s="5" t="str">
        <f aca="false">IF(A625="","",H625/90)</f>
        <v/>
      </c>
      <c r="Q625" s="5" t="str">
        <f aca="false">IF(A625="","",IFERROR(INDEX(Parâmetros!$C$6:$C$10,MATCH(F625,Parâmetros!$B$6:$B$10,0)),""))</f>
        <v/>
      </c>
      <c r="R625" s="5" t="str">
        <f aca="false">IF(OR(A625="",P625="",Q625=""),"",P625*Q625)</f>
        <v/>
      </c>
      <c r="S625" s="5" t="str">
        <f aca="false">IF(R625="","",MAX(0,R625-G625))</f>
        <v/>
      </c>
      <c r="T625" s="21" t="str">
        <f aca="false">IF(S625="","",S625*K625)</f>
        <v/>
      </c>
      <c r="U625" s="5" t="str">
        <f aca="false">IF(A625="","",IF(J625&gt;Parâmetros!$C$14,"SIM","NAO"))</f>
        <v/>
      </c>
      <c r="V625" s="5" t="str">
        <f aca="false">IF(B625="","",TRIM(LEFT(B625,IFERROR(FIND(" ",B625)-1,LEN(B625)))))</f>
        <v/>
      </c>
      <c r="W625" s="22"/>
      <c r="X625" s="5" t="str">
        <f aca="false">IF(A625="","",IF(W625&lt;&gt;"",W625,V625))</f>
        <v/>
      </c>
      <c r="Y625" s="5" t="str">
        <f aca="false">IF(A625="","",IF(COUNTIFS($X$2:$X$2001,X625,$D$2:$D$2001,"&lt;&gt;"&amp;D625,$C$2:$C$2001,C625)&gt;0,"SIM","NAO"))</f>
        <v/>
      </c>
      <c r="Z625" s="5" t="str">
        <f aca="false">IF(A625="","",IF(J625="","",IFERROR(360/J625,"")))</f>
        <v/>
      </c>
      <c r="AA625" s="5" t="str">
        <f aca="false">IF(A625="","",IF(H625=0,"Parado (sem venda 90d)",IF(Z625&gt;12,"Alto (&gt;12x/ano)",IF(Z625&gt;=4,"Medio (4-12x/ano)","Baixo (&lt;4x/ano)"))))</f>
        <v/>
      </c>
    </row>
    <row r="626" customFormat="false" ht="15" hidden="false" customHeight="true" outlineLevel="0" collapsed="false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18"/>
      <c r="L626" s="19" t="str">
        <f aca="false">IF(A626="","",G626*K626)</f>
        <v/>
      </c>
      <c r="M626" s="20"/>
      <c r="N626" s="6"/>
      <c r="O626" s="6"/>
      <c r="P626" s="5" t="str">
        <f aca="false">IF(A626="","",H626/90)</f>
        <v/>
      </c>
      <c r="Q626" s="5" t="str">
        <f aca="false">IF(A626="","",IFERROR(INDEX(Parâmetros!$C$6:$C$10,MATCH(F626,Parâmetros!$B$6:$B$10,0)),""))</f>
        <v/>
      </c>
      <c r="R626" s="5" t="str">
        <f aca="false">IF(OR(A626="",P626="",Q626=""),"",P626*Q626)</f>
        <v/>
      </c>
      <c r="S626" s="5" t="str">
        <f aca="false">IF(R626="","",MAX(0,R626-G626))</f>
        <v/>
      </c>
      <c r="T626" s="21" t="str">
        <f aca="false">IF(S626="","",S626*K626)</f>
        <v/>
      </c>
      <c r="U626" s="5" t="str">
        <f aca="false">IF(A626="","",IF(J626&gt;Parâmetros!$C$14,"SIM","NAO"))</f>
        <v/>
      </c>
      <c r="V626" s="5" t="str">
        <f aca="false">IF(B626="","",TRIM(LEFT(B626,IFERROR(FIND(" ",B626)-1,LEN(B626)))))</f>
        <v/>
      </c>
      <c r="W626" s="22"/>
      <c r="X626" s="5" t="str">
        <f aca="false">IF(A626="","",IF(W626&lt;&gt;"",W626,V626))</f>
        <v/>
      </c>
      <c r="Y626" s="5" t="str">
        <f aca="false">IF(A626="","",IF(COUNTIFS($X$2:$X$2001,X626,$D$2:$D$2001,"&lt;&gt;"&amp;D626,$C$2:$C$2001,C626)&gt;0,"SIM","NAO"))</f>
        <v/>
      </c>
      <c r="Z626" s="5" t="str">
        <f aca="false">IF(A626="","",IF(J626="","",IFERROR(360/J626,"")))</f>
        <v/>
      </c>
      <c r="AA626" s="5" t="str">
        <f aca="false">IF(A626="","",IF(H626=0,"Parado (sem venda 90d)",IF(Z626&gt;12,"Alto (&gt;12x/ano)",IF(Z626&gt;=4,"Medio (4-12x/ano)","Baixo (&lt;4x/ano)"))))</f>
        <v/>
      </c>
    </row>
    <row r="627" customFormat="false" ht="15" hidden="false" customHeight="true" outlineLevel="0" collapsed="false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18"/>
      <c r="L627" s="19" t="str">
        <f aca="false">IF(A627="","",G627*K627)</f>
        <v/>
      </c>
      <c r="M627" s="20"/>
      <c r="N627" s="6"/>
      <c r="O627" s="6"/>
      <c r="P627" s="5" t="str">
        <f aca="false">IF(A627="","",H627/90)</f>
        <v/>
      </c>
      <c r="Q627" s="5" t="str">
        <f aca="false">IF(A627="","",IFERROR(INDEX(Parâmetros!$C$6:$C$10,MATCH(F627,Parâmetros!$B$6:$B$10,0)),""))</f>
        <v/>
      </c>
      <c r="R627" s="5" t="str">
        <f aca="false">IF(OR(A627="",P627="",Q627=""),"",P627*Q627)</f>
        <v/>
      </c>
      <c r="S627" s="5" t="str">
        <f aca="false">IF(R627="","",MAX(0,R627-G627))</f>
        <v/>
      </c>
      <c r="T627" s="21" t="str">
        <f aca="false">IF(S627="","",S627*K627)</f>
        <v/>
      </c>
      <c r="U627" s="5" t="str">
        <f aca="false">IF(A627="","",IF(J627&gt;Parâmetros!$C$14,"SIM","NAO"))</f>
        <v/>
      </c>
      <c r="V627" s="5" t="str">
        <f aca="false">IF(B627="","",TRIM(LEFT(B627,IFERROR(FIND(" ",B627)-1,LEN(B627)))))</f>
        <v/>
      </c>
      <c r="W627" s="22"/>
      <c r="X627" s="5" t="str">
        <f aca="false">IF(A627="","",IF(W627&lt;&gt;"",W627,V627))</f>
        <v/>
      </c>
      <c r="Y627" s="5" t="str">
        <f aca="false">IF(A627="","",IF(COUNTIFS($X$2:$X$2001,X627,$D$2:$D$2001,"&lt;&gt;"&amp;D627,$C$2:$C$2001,C627)&gt;0,"SIM","NAO"))</f>
        <v/>
      </c>
      <c r="Z627" s="5" t="str">
        <f aca="false">IF(A627="","",IF(J627="","",IFERROR(360/J627,"")))</f>
        <v/>
      </c>
      <c r="AA627" s="5" t="str">
        <f aca="false">IF(A627="","",IF(H627=0,"Parado (sem venda 90d)",IF(Z627&gt;12,"Alto (&gt;12x/ano)",IF(Z627&gt;=4,"Medio (4-12x/ano)","Baixo (&lt;4x/ano)"))))</f>
        <v/>
      </c>
    </row>
    <row r="628" customFormat="false" ht="15" hidden="false" customHeight="true" outlineLevel="0" collapsed="false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18"/>
      <c r="L628" s="19" t="str">
        <f aca="false">IF(A628="","",G628*K628)</f>
        <v/>
      </c>
      <c r="M628" s="20"/>
      <c r="N628" s="6"/>
      <c r="O628" s="6"/>
      <c r="P628" s="5" t="str">
        <f aca="false">IF(A628="","",H628/90)</f>
        <v/>
      </c>
      <c r="Q628" s="5" t="str">
        <f aca="false">IF(A628="","",IFERROR(INDEX(Parâmetros!$C$6:$C$10,MATCH(F628,Parâmetros!$B$6:$B$10,0)),""))</f>
        <v/>
      </c>
      <c r="R628" s="5" t="str">
        <f aca="false">IF(OR(A628="",P628="",Q628=""),"",P628*Q628)</f>
        <v/>
      </c>
      <c r="S628" s="5" t="str">
        <f aca="false">IF(R628="","",MAX(0,R628-G628))</f>
        <v/>
      </c>
      <c r="T628" s="21" t="str">
        <f aca="false">IF(S628="","",S628*K628)</f>
        <v/>
      </c>
      <c r="U628" s="5" t="str">
        <f aca="false">IF(A628="","",IF(J628&gt;Parâmetros!$C$14,"SIM","NAO"))</f>
        <v/>
      </c>
      <c r="V628" s="5" t="str">
        <f aca="false">IF(B628="","",TRIM(LEFT(B628,IFERROR(FIND(" ",B628)-1,LEN(B628)))))</f>
        <v/>
      </c>
      <c r="W628" s="22"/>
      <c r="X628" s="5" t="str">
        <f aca="false">IF(A628="","",IF(W628&lt;&gt;"",W628,V628))</f>
        <v/>
      </c>
      <c r="Y628" s="5" t="str">
        <f aca="false">IF(A628="","",IF(COUNTIFS($X$2:$X$2001,X628,$D$2:$D$2001,"&lt;&gt;"&amp;D628,$C$2:$C$2001,C628)&gt;0,"SIM","NAO"))</f>
        <v/>
      </c>
      <c r="Z628" s="5" t="str">
        <f aca="false">IF(A628="","",IF(J628="","",IFERROR(360/J628,"")))</f>
        <v/>
      </c>
      <c r="AA628" s="5" t="str">
        <f aca="false">IF(A628="","",IF(H628=0,"Parado (sem venda 90d)",IF(Z628&gt;12,"Alto (&gt;12x/ano)",IF(Z628&gt;=4,"Medio (4-12x/ano)","Baixo (&lt;4x/ano)"))))</f>
        <v/>
      </c>
    </row>
    <row r="629" customFormat="false" ht="15" hidden="false" customHeight="true" outlineLevel="0" collapsed="false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18"/>
      <c r="L629" s="19" t="str">
        <f aca="false">IF(A629="","",G629*K629)</f>
        <v/>
      </c>
      <c r="M629" s="20"/>
      <c r="N629" s="6"/>
      <c r="O629" s="6"/>
      <c r="P629" s="5" t="str">
        <f aca="false">IF(A629="","",H629/90)</f>
        <v/>
      </c>
      <c r="Q629" s="5" t="str">
        <f aca="false">IF(A629="","",IFERROR(INDEX(Parâmetros!$C$6:$C$10,MATCH(F629,Parâmetros!$B$6:$B$10,0)),""))</f>
        <v/>
      </c>
      <c r="R629" s="5" t="str">
        <f aca="false">IF(OR(A629="",P629="",Q629=""),"",P629*Q629)</f>
        <v/>
      </c>
      <c r="S629" s="5" t="str">
        <f aca="false">IF(R629="","",MAX(0,R629-G629))</f>
        <v/>
      </c>
      <c r="T629" s="21" t="str">
        <f aca="false">IF(S629="","",S629*K629)</f>
        <v/>
      </c>
      <c r="U629" s="5" t="str">
        <f aca="false">IF(A629="","",IF(J629&gt;Parâmetros!$C$14,"SIM","NAO"))</f>
        <v/>
      </c>
      <c r="V629" s="5" t="str">
        <f aca="false">IF(B629="","",TRIM(LEFT(B629,IFERROR(FIND(" ",B629)-1,LEN(B629)))))</f>
        <v/>
      </c>
      <c r="W629" s="22"/>
      <c r="X629" s="5" t="str">
        <f aca="false">IF(A629="","",IF(W629&lt;&gt;"",W629,V629))</f>
        <v/>
      </c>
      <c r="Y629" s="5" t="str">
        <f aca="false">IF(A629="","",IF(COUNTIFS($X$2:$X$2001,X629,$D$2:$D$2001,"&lt;&gt;"&amp;D629,$C$2:$C$2001,C629)&gt;0,"SIM","NAO"))</f>
        <v/>
      </c>
      <c r="Z629" s="5" t="str">
        <f aca="false">IF(A629="","",IF(J629="","",IFERROR(360/J629,"")))</f>
        <v/>
      </c>
      <c r="AA629" s="5" t="str">
        <f aca="false">IF(A629="","",IF(H629=0,"Parado (sem venda 90d)",IF(Z629&gt;12,"Alto (&gt;12x/ano)",IF(Z629&gt;=4,"Medio (4-12x/ano)","Baixo (&lt;4x/ano)"))))</f>
        <v/>
      </c>
    </row>
    <row r="630" customFormat="false" ht="15" hidden="false" customHeight="true" outlineLevel="0" collapsed="false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18"/>
      <c r="L630" s="19" t="str">
        <f aca="false">IF(A630="","",G630*K630)</f>
        <v/>
      </c>
      <c r="M630" s="20"/>
      <c r="N630" s="6"/>
      <c r="O630" s="6"/>
      <c r="P630" s="5" t="str">
        <f aca="false">IF(A630="","",H630/90)</f>
        <v/>
      </c>
      <c r="Q630" s="5" t="str">
        <f aca="false">IF(A630="","",IFERROR(INDEX(Parâmetros!$C$6:$C$10,MATCH(F630,Parâmetros!$B$6:$B$10,0)),""))</f>
        <v/>
      </c>
      <c r="R630" s="5" t="str">
        <f aca="false">IF(OR(A630="",P630="",Q630=""),"",P630*Q630)</f>
        <v/>
      </c>
      <c r="S630" s="5" t="str">
        <f aca="false">IF(R630="","",MAX(0,R630-G630))</f>
        <v/>
      </c>
      <c r="T630" s="21" t="str">
        <f aca="false">IF(S630="","",S630*K630)</f>
        <v/>
      </c>
      <c r="U630" s="5" t="str">
        <f aca="false">IF(A630="","",IF(J630&gt;Parâmetros!$C$14,"SIM","NAO"))</f>
        <v/>
      </c>
      <c r="V630" s="5" t="str">
        <f aca="false">IF(B630="","",TRIM(LEFT(B630,IFERROR(FIND(" ",B630)-1,LEN(B630)))))</f>
        <v/>
      </c>
      <c r="W630" s="22"/>
      <c r="X630" s="5" t="str">
        <f aca="false">IF(A630="","",IF(W630&lt;&gt;"",W630,V630))</f>
        <v/>
      </c>
      <c r="Y630" s="5" t="str">
        <f aca="false">IF(A630="","",IF(COUNTIFS($X$2:$X$2001,X630,$D$2:$D$2001,"&lt;&gt;"&amp;D630,$C$2:$C$2001,C630)&gt;0,"SIM","NAO"))</f>
        <v/>
      </c>
      <c r="Z630" s="5" t="str">
        <f aca="false">IF(A630="","",IF(J630="","",IFERROR(360/J630,"")))</f>
        <v/>
      </c>
      <c r="AA630" s="5" t="str">
        <f aca="false">IF(A630="","",IF(H630=0,"Parado (sem venda 90d)",IF(Z630&gt;12,"Alto (&gt;12x/ano)",IF(Z630&gt;=4,"Medio (4-12x/ano)","Baixo (&lt;4x/ano)"))))</f>
        <v/>
      </c>
    </row>
    <row r="631" customFormat="false" ht="15" hidden="false" customHeight="true" outlineLevel="0" collapsed="false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18"/>
      <c r="L631" s="19" t="str">
        <f aca="false">IF(A631="","",G631*K631)</f>
        <v/>
      </c>
      <c r="M631" s="20"/>
      <c r="N631" s="6"/>
      <c r="O631" s="6"/>
      <c r="P631" s="5" t="str">
        <f aca="false">IF(A631="","",H631/90)</f>
        <v/>
      </c>
      <c r="Q631" s="5" t="str">
        <f aca="false">IF(A631="","",IFERROR(INDEX(Parâmetros!$C$6:$C$10,MATCH(F631,Parâmetros!$B$6:$B$10,0)),""))</f>
        <v/>
      </c>
      <c r="R631" s="5" t="str">
        <f aca="false">IF(OR(A631="",P631="",Q631=""),"",P631*Q631)</f>
        <v/>
      </c>
      <c r="S631" s="5" t="str">
        <f aca="false">IF(R631="","",MAX(0,R631-G631))</f>
        <v/>
      </c>
      <c r="T631" s="21" t="str">
        <f aca="false">IF(S631="","",S631*K631)</f>
        <v/>
      </c>
      <c r="U631" s="5" t="str">
        <f aca="false">IF(A631="","",IF(J631&gt;Parâmetros!$C$14,"SIM","NAO"))</f>
        <v/>
      </c>
      <c r="V631" s="5" t="str">
        <f aca="false">IF(B631="","",TRIM(LEFT(B631,IFERROR(FIND(" ",B631)-1,LEN(B631)))))</f>
        <v/>
      </c>
      <c r="W631" s="22"/>
      <c r="X631" s="5" t="str">
        <f aca="false">IF(A631="","",IF(W631&lt;&gt;"",W631,V631))</f>
        <v/>
      </c>
      <c r="Y631" s="5" t="str">
        <f aca="false">IF(A631="","",IF(COUNTIFS($X$2:$X$2001,X631,$D$2:$D$2001,"&lt;&gt;"&amp;D631,$C$2:$C$2001,C631)&gt;0,"SIM","NAO"))</f>
        <v/>
      </c>
      <c r="Z631" s="5" t="str">
        <f aca="false">IF(A631="","",IF(J631="","",IFERROR(360/J631,"")))</f>
        <v/>
      </c>
      <c r="AA631" s="5" t="str">
        <f aca="false">IF(A631="","",IF(H631=0,"Parado (sem venda 90d)",IF(Z631&gt;12,"Alto (&gt;12x/ano)",IF(Z631&gt;=4,"Medio (4-12x/ano)","Baixo (&lt;4x/ano)"))))</f>
        <v/>
      </c>
    </row>
    <row r="632" customFormat="false" ht="15" hidden="false" customHeight="true" outlineLevel="0" collapsed="false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18"/>
      <c r="L632" s="19" t="str">
        <f aca="false">IF(A632="","",G632*K632)</f>
        <v/>
      </c>
      <c r="M632" s="20"/>
      <c r="N632" s="6"/>
      <c r="O632" s="6"/>
      <c r="P632" s="5" t="str">
        <f aca="false">IF(A632="","",H632/90)</f>
        <v/>
      </c>
      <c r="Q632" s="5" t="str">
        <f aca="false">IF(A632="","",IFERROR(INDEX(Parâmetros!$C$6:$C$10,MATCH(F632,Parâmetros!$B$6:$B$10,0)),""))</f>
        <v/>
      </c>
      <c r="R632" s="5" t="str">
        <f aca="false">IF(OR(A632="",P632="",Q632=""),"",P632*Q632)</f>
        <v/>
      </c>
      <c r="S632" s="5" t="str">
        <f aca="false">IF(R632="","",MAX(0,R632-G632))</f>
        <v/>
      </c>
      <c r="T632" s="21" t="str">
        <f aca="false">IF(S632="","",S632*K632)</f>
        <v/>
      </c>
      <c r="U632" s="5" t="str">
        <f aca="false">IF(A632="","",IF(J632&gt;Parâmetros!$C$14,"SIM","NAO"))</f>
        <v/>
      </c>
      <c r="V632" s="5" t="str">
        <f aca="false">IF(B632="","",TRIM(LEFT(B632,IFERROR(FIND(" ",B632)-1,LEN(B632)))))</f>
        <v/>
      </c>
      <c r="W632" s="22"/>
      <c r="X632" s="5" t="str">
        <f aca="false">IF(A632="","",IF(W632&lt;&gt;"",W632,V632))</f>
        <v/>
      </c>
      <c r="Y632" s="5" t="str">
        <f aca="false">IF(A632="","",IF(COUNTIFS($X$2:$X$2001,X632,$D$2:$D$2001,"&lt;&gt;"&amp;D632,$C$2:$C$2001,C632)&gt;0,"SIM","NAO"))</f>
        <v/>
      </c>
      <c r="Z632" s="5" t="str">
        <f aca="false">IF(A632="","",IF(J632="","",IFERROR(360/J632,"")))</f>
        <v/>
      </c>
      <c r="AA632" s="5" t="str">
        <f aca="false">IF(A632="","",IF(H632=0,"Parado (sem venda 90d)",IF(Z632&gt;12,"Alto (&gt;12x/ano)",IF(Z632&gt;=4,"Medio (4-12x/ano)","Baixo (&lt;4x/ano)"))))</f>
        <v/>
      </c>
    </row>
    <row r="633" customFormat="false" ht="15" hidden="false" customHeight="true" outlineLevel="0" collapsed="false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18"/>
      <c r="L633" s="19" t="str">
        <f aca="false">IF(A633="","",G633*K633)</f>
        <v/>
      </c>
      <c r="M633" s="20"/>
      <c r="N633" s="6"/>
      <c r="O633" s="6"/>
      <c r="P633" s="5" t="str">
        <f aca="false">IF(A633="","",H633/90)</f>
        <v/>
      </c>
      <c r="Q633" s="5" t="str">
        <f aca="false">IF(A633="","",IFERROR(INDEX(Parâmetros!$C$6:$C$10,MATCH(F633,Parâmetros!$B$6:$B$10,0)),""))</f>
        <v/>
      </c>
      <c r="R633" s="5" t="str">
        <f aca="false">IF(OR(A633="",P633="",Q633=""),"",P633*Q633)</f>
        <v/>
      </c>
      <c r="S633" s="5" t="str">
        <f aca="false">IF(R633="","",MAX(0,R633-G633))</f>
        <v/>
      </c>
      <c r="T633" s="21" t="str">
        <f aca="false">IF(S633="","",S633*K633)</f>
        <v/>
      </c>
      <c r="U633" s="5" t="str">
        <f aca="false">IF(A633="","",IF(J633&gt;Parâmetros!$C$14,"SIM","NAO"))</f>
        <v/>
      </c>
      <c r="V633" s="5" t="str">
        <f aca="false">IF(B633="","",TRIM(LEFT(B633,IFERROR(FIND(" ",B633)-1,LEN(B633)))))</f>
        <v/>
      </c>
      <c r="W633" s="22"/>
      <c r="X633" s="5" t="str">
        <f aca="false">IF(A633="","",IF(W633&lt;&gt;"",W633,V633))</f>
        <v/>
      </c>
      <c r="Y633" s="5" t="str">
        <f aca="false">IF(A633="","",IF(COUNTIFS($X$2:$X$2001,X633,$D$2:$D$2001,"&lt;&gt;"&amp;D633,$C$2:$C$2001,C633)&gt;0,"SIM","NAO"))</f>
        <v/>
      </c>
      <c r="Z633" s="5" t="str">
        <f aca="false">IF(A633="","",IF(J633="","",IFERROR(360/J633,"")))</f>
        <v/>
      </c>
      <c r="AA633" s="5" t="str">
        <f aca="false">IF(A633="","",IF(H633=0,"Parado (sem venda 90d)",IF(Z633&gt;12,"Alto (&gt;12x/ano)",IF(Z633&gt;=4,"Medio (4-12x/ano)","Baixo (&lt;4x/ano)"))))</f>
        <v/>
      </c>
    </row>
    <row r="634" customFormat="false" ht="15" hidden="false" customHeight="true" outlineLevel="0" collapsed="false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18"/>
      <c r="L634" s="19" t="str">
        <f aca="false">IF(A634="","",G634*K634)</f>
        <v/>
      </c>
      <c r="M634" s="20"/>
      <c r="N634" s="6"/>
      <c r="O634" s="6"/>
      <c r="P634" s="5" t="str">
        <f aca="false">IF(A634="","",H634/90)</f>
        <v/>
      </c>
      <c r="Q634" s="5" t="str">
        <f aca="false">IF(A634="","",IFERROR(INDEX(Parâmetros!$C$6:$C$10,MATCH(F634,Parâmetros!$B$6:$B$10,0)),""))</f>
        <v/>
      </c>
      <c r="R634" s="5" t="str">
        <f aca="false">IF(OR(A634="",P634="",Q634=""),"",P634*Q634)</f>
        <v/>
      </c>
      <c r="S634" s="5" t="str">
        <f aca="false">IF(R634="","",MAX(0,R634-G634))</f>
        <v/>
      </c>
      <c r="T634" s="21" t="str">
        <f aca="false">IF(S634="","",S634*K634)</f>
        <v/>
      </c>
      <c r="U634" s="5" t="str">
        <f aca="false">IF(A634="","",IF(J634&gt;Parâmetros!$C$14,"SIM","NAO"))</f>
        <v/>
      </c>
      <c r="V634" s="5" t="str">
        <f aca="false">IF(B634="","",TRIM(LEFT(B634,IFERROR(FIND(" ",B634)-1,LEN(B634)))))</f>
        <v/>
      </c>
      <c r="W634" s="22"/>
      <c r="X634" s="5" t="str">
        <f aca="false">IF(A634="","",IF(W634&lt;&gt;"",W634,V634))</f>
        <v/>
      </c>
      <c r="Y634" s="5" t="str">
        <f aca="false">IF(A634="","",IF(COUNTIFS($X$2:$X$2001,X634,$D$2:$D$2001,"&lt;&gt;"&amp;D634,$C$2:$C$2001,C634)&gt;0,"SIM","NAO"))</f>
        <v/>
      </c>
      <c r="Z634" s="5" t="str">
        <f aca="false">IF(A634="","",IF(J634="","",IFERROR(360/J634,"")))</f>
        <v/>
      </c>
      <c r="AA634" s="5" t="str">
        <f aca="false">IF(A634="","",IF(H634=0,"Parado (sem venda 90d)",IF(Z634&gt;12,"Alto (&gt;12x/ano)",IF(Z634&gt;=4,"Medio (4-12x/ano)","Baixo (&lt;4x/ano)"))))</f>
        <v/>
      </c>
    </row>
    <row r="635" customFormat="false" ht="15" hidden="false" customHeight="true" outlineLevel="0" collapsed="false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18"/>
      <c r="L635" s="19" t="str">
        <f aca="false">IF(A635="","",G635*K635)</f>
        <v/>
      </c>
      <c r="M635" s="20"/>
      <c r="N635" s="6"/>
      <c r="O635" s="6"/>
      <c r="P635" s="5" t="str">
        <f aca="false">IF(A635="","",H635/90)</f>
        <v/>
      </c>
      <c r="Q635" s="5" t="str">
        <f aca="false">IF(A635="","",IFERROR(INDEX(Parâmetros!$C$6:$C$10,MATCH(F635,Parâmetros!$B$6:$B$10,0)),""))</f>
        <v/>
      </c>
      <c r="R635" s="5" t="str">
        <f aca="false">IF(OR(A635="",P635="",Q635=""),"",P635*Q635)</f>
        <v/>
      </c>
      <c r="S635" s="5" t="str">
        <f aca="false">IF(R635="","",MAX(0,R635-G635))</f>
        <v/>
      </c>
      <c r="T635" s="21" t="str">
        <f aca="false">IF(S635="","",S635*K635)</f>
        <v/>
      </c>
      <c r="U635" s="5" t="str">
        <f aca="false">IF(A635="","",IF(J635&gt;Parâmetros!$C$14,"SIM","NAO"))</f>
        <v/>
      </c>
      <c r="V635" s="5" t="str">
        <f aca="false">IF(B635="","",TRIM(LEFT(B635,IFERROR(FIND(" ",B635)-1,LEN(B635)))))</f>
        <v/>
      </c>
      <c r="W635" s="22"/>
      <c r="X635" s="5" t="str">
        <f aca="false">IF(A635="","",IF(W635&lt;&gt;"",W635,V635))</f>
        <v/>
      </c>
      <c r="Y635" s="5" t="str">
        <f aca="false">IF(A635="","",IF(COUNTIFS($X$2:$X$2001,X635,$D$2:$D$2001,"&lt;&gt;"&amp;D635,$C$2:$C$2001,C635)&gt;0,"SIM","NAO"))</f>
        <v/>
      </c>
      <c r="Z635" s="5" t="str">
        <f aca="false">IF(A635="","",IF(J635="","",IFERROR(360/J635,"")))</f>
        <v/>
      </c>
      <c r="AA635" s="5" t="str">
        <f aca="false">IF(A635="","",IF(H635=0,"Parado (sem venda 90d)",IF(Z635&gt;12,"Alto (&gt;12x/ano)",IF(Z635&gt;=4,"Medio (4-12x/ano)","Baixo (&lt;4x/ano)"))))</f>
        <v/>
      </c>
    </row>
    <row r="636" customFormat="false" ht="15" hidden="false" customHeight="true" outlineLevel="0" collapsed="false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18"/>
      <c r="L636" s="19" t="str">
        <f aca="false">IF(A636="","",G636*K636)</f>
        <v/>
      </c>
      <c r="M636" s="20"/>
      <c r="N636" s="6"/>
      <c r="O636" s="6"/>
      <c r="P636" s="5" t="str">
        <f aca="false">IF(A636="","",H636/90)</f>
        <v/>
      </c>
      <c r="Q636" s="5" t="str">
        <f aca="false">IF(A636="","",IFERROR(INDEX(Parâmetros!$C$6:$C$10,MATCH(F636,Parâmetros!$B$6:$B$10,0)),""))</f>
        <v/>
      </c>
      <c r="R636" s="5" t="str">
        <f aca="false">IF(OR(A636="",P636="",Q636=""),"",P636*Q636)</f>
        <v/>
      </c>
      <c r="S636" s="5" t="str">
        <f aca="false">IF(R636="","",MAX(0,R636-G636))</f>
        <v/>
      </c>
      <c r="T636" s="21" t="str">
        <f aca="false">IF(S636="","",S636*K636)</f>
        <v/>
      </c>
      <c r="U636" s="5" t="str">
        <f aca="false">IF(A636="","",IF(J636&gt;Parâmetros!$C$14,"SIM","NAO"))</f>
        <v/>
      </c>
      <c r="V636" s="5" t="str">
        <f aca="false">IF(B636="","",TRIM(LEFT(B636,IFERROR(FIND(" ",B636)-1,LEN(B636)))))</f>
        <v/>
      </c>
      <c r="W636" s="22"/>
      <c r="X636" s="5" t="str">
        <f aca="false">IF(A636="","",IF(W636&lt;&gt;"",W636,V636))</f>
        <v/>
      </c>
      <c r="Y636" s="5" t="str">
        <f aca="false">IF(A636="","",IF(COUNTIFS($X$2:$X$2001,X636,$D$2:$D$2001,"&lt;&gt;"&amp;D636,$C$2:$C$2001,C636)&gt;0,"SIM","NAO"))</f>
        <v/>
      </c>
      <c r="Z636" s="5" t="str">
        <f aca="false">IF(A636="","",IF(J636="","",IFERROR(360/J636,"")))</f>
        <v/>
      </c>
      <c r="AA636" s="5" t="str">
        <f aca="false">IF(A636="","",IF(H636=0,"Parado (sem venda 90d)",IF(Z636&gt;12,"Alto (&gt;12x/ano)",IF(Z636&gt;=4,"Medio (4-12x/ano)","Baixo (&lt;4x/ano)"))))</f>
        <v/>
      </c>
    </row>
    <row r="637" customFormat="false" ht="15" hidden="false" customHeight="true" outlineLevel="0" collapsed="false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18"/>
      <c r="L637" s="19" t="str">
        <f aca="false">IF(A637="","",G637*K637)</f>
        <v/>
      </c>
      <c r="M637" s="20"/>
      <c r="N637" s="6"/>
      <c r="O637" s="6"/>
      <c r="P637" s="5" t="str">
        <f aca="false">IF(A637="","",H637/90)</f>
        <v/>
      </c>
      <c r="Q637" s="5" t="str">
        <f aca="false">IF(A637="","",IFERROR(INDEX(Parâmetros!$C$6:$C$10,MATCH(F637,Parâmetros!$B$6:$B$10,0)),""))</f>
        <v/>
      </c>
      <c r="R637" s="5" t="str">
        <f aca="false">IF(OR(A637="",P637="",Q637=""),"",P637*Q637)</f>
        <v/>
      </c>
      <c r="S637" s="5" t="str">
        <f aca="false">IF(R637="","",MAX(0,R637-G637))</f>
        <v/>
      </c>
      <c r="T637" s="21" t="str">
        <f aca="false">IF(S637="","",S637*K637)</f>
        <v/>
      </c>
      <c r="U637" s="5" t="str">
        <f aca="false">IF(A637="","",IF(J637&gt;Parâmetros!$C$14,"SIM","NAO"))</f>
        <v/>
      </c>
      <c r="V637" s="5" t="str">
        <f aca="false">IF(B637="","",TRIM(LEFT(B637,IFERROR(FIND(" ",B637)-1,LEN(B637)))))</f>
        <v/>
      </c>
      <c r="W637" s="22"/>
      <c r="X637" s="5" t="str">
        <f aca="false">IF(A637="","",IF(W637&lt;&gt;"",W637,V637))</f>
        <v/>
      </c>
      <c r="Y637" s="5" t="str">
        <f aca="false">IF(A637="","",IF(COUNTIFS($X$2:$X$2001,X637,$D$2:$D$2001,"&lt;&gt;"&amp;D637,$C$2:$C$2001,C637)&gt;0,"SIM","NAO"))</f>
        <v/>
      </c>
      <c r="Z637" s="5" t="str">
        <f aca="false">IF(A637="","",IF(J637="","",IFERROR(360/J637,"")))</f>
        <v/>
      </c>
      <c r="AA637" s="5" t="str">
        <f aca="false">IF(A637="","",IF(H637=0,"Parado (sem venda 90d)",IF(Z637&gt;12,"Alto (&gt;12x/ano)",IF(Z637&gt;=4,"Medio (4-12x/ano)","Baixo (&lt;4x/ano)"))))</f>
        <v/>
      </c>
    </row>
    <row r="638" customFormat="false" ht="15" hidden="false" customHeight="true" outlineLevel="0" collapsed="false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18"/>
      <c r="L638" s="19" t="str">
        <f aca="false">IF(A638="","",G638*K638)</f>
        <v/>
      </c>
      <c r="M638" s="20"/>
      <c r="N638" s="6"/>
      <c r="O638" s="6"/>
      <c r="P638" s="5" t="str">
        <f aca="false">IF(A638="","",H638/90)</f>
        <v/>
      </c>
      <c r="Q638" s="5" t="str">
        <f aca="false">IF(A638="","",IFERROR(INDEX(Parâmetros!$C$6:$C$10,MATCH(F638,Parâmetros!$B$6:$B$10,0)),""))</f>
        <v/>
      </c>
      <c r="R638" s="5" t="str">
        <f aca="false">IF(OR(A638="",P638="",Q638=""),"",P638*Q638)</f>
        <v/>
      </c>
      <c r="S638" s="5" t="str">
        <f aca="false">IF(R638="","",MAX(0,R638-G638))</f>
        <v/>
      </c>
      <c r="T638" s="21" t="str">
        <f aca="false">IF(S638="","",S638*K638)</f>
        <v/>
      </c>
      <c r="U638" s="5" t="str">
        <f aca="false">IF(A638="","",IF(J638&gt;Parâmetros!$C$14,"SIM","NAO"))</f>
        <v/>
      </c>
      <c r="V638" s="5" t="str">
        <f aca="false">IF(B638="","",TRIM(LEFT(B638,IFERROR(FIND(" ",B638)-1,LEN(B638)))))</f>
        <v/>
      </c>
      <c r="W638" s="22"/>
      <c r="X638" s="5" t="str">
        <f aca="false">IF(A638="","",IF(W638&lt;&gt;"",W638,V638))</f>
        <v/>
      </c>
      <c r="Y638" s="5" t="str">
        <f aca="false">IF(A638="","",IF(COUNTIFS($X$2:$X$2001,X638,$D$2:$D$2001,"&lt;&gt;"&amp;D638,$C$2:$C$2001,C638)&gt;0,"SIM","NAO"))</f>
        <v/>
      </c>
      <c r="Z638" s="5" t="str">
        <f aca="false">IF(A638="","",IF(J638="","",IFERROR(360/J638,"")))</f>
        <v/>
      </c>
      <c r="AA638" s="5" t="str">
        <f aca="false">IF(A638="","",IF(H638=0,"Parado (sem venda 90d)",IF(Z638&gt;12,"Alto (&gt;12x/ano)",IF(Z638&gt;=4,"Medio (4-12x/ano)","Baixo (&lt;4x/ano)"))))</f>
        <v/>
      </c>
    </row>
    <row r="639" customFormat="false" ht="15" hidden="false" customHeight="true" outlineLevel="0" collapsed="false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18"/>
      <c r="L639" s="19" t="str">
        <f aca="false">IF(A639="","",G639*K639)</f>
        <v/>
      </c>
      <c r="M639" s="20"/>
      <c r="N639" s="6"/>
      <c r="O639" s="6"/>
      <c r="P639" s="5" t="str">
        <f aca="false">IF(A639="","",H639/90)</f>
        <v/>
      </c>
      <c r="Q639" s="5" t="str">
        <f aca="false">IF(A639="","",IFERROR(INDEX(Parâmetros!$C$6:$C$10,MATCH(F639,Parâmetros!$B$6:$B$10,0)),""))</f>
        <v/>
      </c>
      <c r="R639" s="5" t="str">
        <f aca="false">IF(OR(A639="",P639="",Q639=""),"",P639*Q639)</f>
        <v/>
      </c>
      <c r="S639" s="5" t="str">
        <f aca="false">IF(R639="","",MAX(0,R639-G639))</f>
        <v/>
      </c>
      <c r="T639" s="21" t="str">
        <f aca="false">IF(S639="","",S639*K639)</f>
        <v/>
      </c>
      <c r="U639" s="5" t="str">
        <f aca="false">IF(A639="","",IF(J639&gt;Parâmetros!$C$14,"SIM","NAO"))</f>
        <v/>
      </c>
      <c r="V639" s="5" t="str">
        <f aca="false">IF(B639="","",TRIM(LEFT(B639,IFERROR(FIND(" ",B639)-1,LEN(B639)))))</f>
        <v/>
      </c>
      <c r="W639" s="22"/>
      <c r="X639" s="5" t="str">
        <f aca="false">IF(A639="","",IF(W639&lt;&gt;"",W639,V639))</f>
        <v/>
      </c>
      <c r="Y639" s="5" t="str">
        <f aca="false">IF(A639="","",IF(COUNTIFS($X$2:$X$2001,X639,$D$2:$D$2001,"&lt;&gt;"&amp;D639,$C$2:$C$2001,C639)&gt;0,"SIM","NAO"))</f>
        <v/>
      </c>
      <c r="Z639" s="5" t="str">
        <f aca="false">IF(A639="","",IF(J639="","",IFERROR(360/J639,"")))</f>
        <v/>
      </c>
      <c r="AA639" s="5" t="str">
        <f aca="false">IF(A639="","",IF(H639=0,"Parado (sem venda 90d)",IF(Z639&gt;12,"Alto (&gt;12x/ano)",IF(Z639&gt;=4,"Medio (4-12x/ano)","Baixo (&lt;4x/ano)"))))</f>
        <v/>
      </c>
    </row>
    <row r="640" customFormat="false" ht="15" hidden="false" customHeight="true" outlineLevel="0" collapsed="false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18"/>
      <c r="L640" s="19" t="str">
        <f aca="false">IF(A640="","",G640*K640)</f>
        <v/>
      </c>
      <c r="M640" s="20"/>
      <c r="N640" s="6"/>
      <c r="O640" s="6"/>
      <c r="P640" s="5" t="str">
        <f aca="false">IF(A640="","",H640/90)</f>
        <v/>
      </c>
      <c r="Q640" s="5" t="str">
        <f aca="false">IF(A640="","",IFERROR(INDEX(Parâmetros!$C$6:$C$10,MATCH(F640,Parâmetros!$B$6:$B$10,0)),""))</f>
        <v/>
      </c>
      <c r="R640" s="5" t="str">
        <f aca="false">IF(OR(A640="",P640="",Q640=""),"",P640*Q640)</f>
        <v/>
      </c>
      <c r="S640" s="5" t="str">
        <f aca="false">IF(R640="","",MAX(0,R640-G640))</f>
        <v/>
      </c>
      <c r="T640" s="21" t="str">
        <f aca="false">IF(S640="","",S640*K640)</f>
        <v/>
      </c>
      <c r="U640" s="5" t="str">
        <f aca="false">IF(A640="","",IF(J640&gt;Parâmetros!$C$14,"SIM","NAO"))</f>
        <v/>
      </c>
      <c r="V640" s="5" t="str">
        <f aca="false">IF(B640="","",TRIM(LEFT(B640,IFERROR(FIND(" ",B640)-1,LEN(B640)))))</f>
        <v/>
      </c>
      <c r="W640" s="22"/>
      <c r="X640" s="5" t="str">
        <f aca="false">IF(A640="","",IF(W640&lt;&gt;"",W640,V640))</f>
        <v/>
      </c>
      <c r="Y640" s="5" t="str">
        <f aca="false">IF(A640="","",IF(COUNTIFS($X$2:$X$2001,X640,$D$2:$D$2001,"&lt;&gt;"&amp;D640,$C$2:$C$2001,C640)&gt;0,"SIM","NAO"))</f>
        <v/>
      </c>
      <c r="Z640" s="5" t="str">
        <f aca="false">IF(A640="","",IF(J640="","",IFERROR(360/J640,"")))</f>
        <v/>
      </c>
      <c r="AA640" s="5" t="str">
        <f aca="false">IF(A640="","",IF(H640=0,"Parado (sem venda 90d)",IF(Z640&gt;12,"Alto (&gt;12x/ano)",IF(Z640&gt;=4,"Medio (4-12x/ano)","Baixo (&lt;4x/ano)"))))</f>
        <v/>
      </c>
    </row>
    <row r="641" customFormat="false" ht="15" hidden="false" customHeight="true" outlineLevel="0" collapsed="false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18"/>
      <c r="L641" s="19" t="str">
        <f aca="false">IF(A641="","",G641*K641)</f>
        <v/>
      </c>
      <c r="M641" s="20"/>
      <c r="N641" s="6"/>
      <c r="O641" s="6"/>
      <c r="P641" s="5" t="str">
        <f aca="false">IF(A641="","",H641/90)</f>
        <v/>
      </c>
      <c r="Q641" s="5" t="str">
        <f aca="false">IF(A641="","",IFERROR(INDEX(Parâmetros!$C$6:$C$10,MATCH(F641,Parâmetros!$B$6:$B$10,0)),""))</f>
        <v/>
      </c>
      <c r="R641" s="5" t="str">
        <f aca="false">IF(OR(A641="",P641="",Q641=""),"",P641*Q641)</f>
        <v/>
      </c>
      <c r="S641" s="5" t="str">
        <f aca="false">IF(R641="","",MAX(0,R641-G641))</f>
        <v/>
      </c>
      <c r="T641" s="21" t="str">
        <f aca="false">IF(S641="","",S641*K641)</f>
        <v/>
      </c>
      <c r="U641" s="5" t="str">
        <f aca="false">IF(A641="","",IF(J641&gt;Parâmetros!$C$14,"SIM","NAO"))</f>
        <v/>
      </c>
      <c r="V641" s="5" t="str">
        <f aca="false">IF(B641="","",TRIM(LEFT(B641,IFERROR(FIND(" ",B641)-1,LEN(B641)))))</f>
        <v/>
      </c>
      <c r="W641" s="22"/>
      <c r="X641" s="5" t="str">
        <f aca="false">IF(A641="","",IF(W641&lt;&gt;"",W641,V641))</f>
        <v/>
      </c>
      <c r="Y641" s="5" t="str">
        <f aca="false">IF(A641="","",IF(COUNTIFS($X$2:$X$2001,X641,$D$2:$D$2001,"&lt;&gt;"&amp;D641,$C$2:$C$2001,C641)&gt;0,"SIM","NAO"))</f>
        <v/>
      </c>
      <c r="Z641" s="5" t="str">
        <f aca="false">IF(A641="","",IF(J641="","",IFERROR(360/J641,"")))</f>
        <v/>
      </c>
      <c r="AA641" s="5" t="str">
        <f aca="false">IF(A641="","",IF(H641=0,"Parado (sem venda 90d)",IF(Z641&gt;12,"Alto (&gt;12x/ano)",IF(Z641&gt;=4,"Medio (4-12x/ano)","Baixo (&lt;4x/ano)"))))</f>
        <v/>
      </c>
    </row>
    <row r="642" customFormat="false" ht="15" hidden="false" customHeight="true" outlineLevel="0" collapsed="false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18"/>
      <c r="L642" s="19" t="str">
        <f aca="false">IF(A642="","",G642*K642)</f>
        <v/>
      </c>
      <c r="M642" s="20"/>
      <c r="N642" s="6"/>
      <c r="O642" s="6"/>
      <c r="P642" s="5" t="str">
        <f aca="false">IF(A642="","",H642/90)</f>
        <v/>
      </c>
      <c r="Q642" s="5" t="str">
        <f aca="false">IF(A642="","",IFERROR(INDEX(Parâmetros!$C$6:$C$10,MATCH(F642,Parâmetros!$B$6:$B$10,0)),""))</f>
        <v/>
      </c>
      <c r="R642" s="5" t="str">
        <f aca="false">IF(OR(A642="",P642="",Q642=""),"",P642*Q642)</f>
        <v/>
      </c>
      <c r="S642" s="5" t="str">
        <f aca="false">IF(R642="","",MAX(0,R642-G642))</f>
        <v/>
      </c>
      <c r="T642" s="21" t="str">
        <f aca="false">IF(S642="","",S642*K642)</f>
        <v/>
      </c>
      <c r="U642" s="5" t="str">
        <f aca="false">IF(A642="","",IF(J642&gt;Parâmetros!$C$14,"SIM","NAO"))</f>
        <v/>
      </c>
      <c r="V642" s="5" t="str">
        <f aca="false">IF(B642="","",TRIM(LEFT(B642,IFERROR(FIND(" ",B642)-1,LEN(B642)))))</f>
        <v/>
      </c>
      <c r="W642" s="22"/>
      <c r="X642" s="5" t="str">
        <f aca="false">IF(A642="","",IF(W642&lt;&gt;"",W642,V642))</f>
        <v/>
      </c>
      <c r="Y642" s="5" t="str">
        <f aca="false">IF(A642="","",IF(COUNTIFS($X$2:$X$2001,X642,$D$2:$D$2001,"&lt;&gt;"&amp;D642,$C$2:$C$2001,C642)&gt;0,"SIM","NAO"))</f>
        <v/>
      </c>
      <c r="Z642" s="5" t="str">
        <f aca="false">IF(A642="","",IF(J642="","",IFERROR(360/J642,"")))</f>
        <v/>
      </c>
      <c r="AA642" s="5" t="str">
        <f aca="false">IF(A642="","",IF(H642=0,"Parado (sem venda 90d)",IF(Z642&gt;12,"Alto (&gt;12x/ano)",IF(Z642&gt;=4,"Medio (4-12x/ano)","Baixo (&lt;4x/ano)"))))</f>
        <v/>
      </c>
    </row>
    <row r="643" customFormat="false" ht="15" hidden="false" customHeight="true" outlineLevel="0" collapsed="false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18"/>
      <c r="L643" s="19" t="str">
        <f aca="false">IF(A643="","",G643*K643)</f>
        <v/>
      </c>
      <c r="M643" s="20"/>
      <c r="N643" s="6"/>
      <c r="O643" s="6"/>
      <c r="P643" s="5" t="str">
        <f aca="false">IF(A643="","",H643/90)</f>
        <v/>
      </c>
      <c r="Q643" s="5" t="str">
        <f aca="false">IF(A643="","",IFERROR(INDEX(Parâmetros!$C$6:$C$10,MATCH(F643,Parâmetros!$B$6:$B$10,0)),""))</f>
        <v/>
      </c>
      <c r="R643" s="5" t="str">
        <f aca="false">IF(OR(A643="",P643="",Q643=""),"",P643*Q643)</f>
        <v/>
      </c>
      <c r="S643" s="5" t="str">
        <f aca="false">IF(R643="","",MAX(0,R643-G643))</f>
        <v/>
      </c>
      <c r="T643" s="21" t="str">
        <f aca="false">IF(S643="","",S643*K643)</f>
        <v/>
      </c>
      <c r="U643" s="5" t="str">
        <f aca="false">IF(A643="","",IF(J643&gt;Parâmetros!$C$14,"SIM","NAO"))</f>
        <v/>
      </c>
      <c r="V643" s="5" t="str">
        <f aca="false">IF(B643="","",TRIM(LEFT(B643,IFERROR(FIND(" ",B643)-1,LEN(B643)))))</f>
        <v/>
      </c>
      <c r="W643" s="22"/>
      <c r="X643" s="5" t="str">
        <f aca="false">IF(A643="","",IF(W643&lt;&gt;"",W643,V643))</f>
        <v/>
      </c>
      <c r="Y643" s="5" t="str">
        <f aca="false">IF(A643="","",IF(COUNTIFS($X$2:$X$2001,X643,$D$2:$D$2001,"&lt;&gt;"&amp;D643,$C$2:$C$2001,C643)&gt;0,"SIM","NAO"))</f>
        <v/>
      </c>
      <c r="Z643" s="5" t="str">
        <f aca="false">IF(A643="","",IF(J643="","",IFERROR(360/J643,"")))</f>
        <v/>
      </c>
      <c r="AA643" s="5" t="str">
        <f aca="false">IF(A643="","",IF(H643=0,"Parado (sem venda 90d)",IF(Z643&gt;12,"Alto (&gt;12x/ano)",IF(Z643&gt;=4,"Medio (4-12x/ano)","Baixo (&lt;4x/ano)"))))</f>
        <v/>
      </c>
    </row>
    <row r="644" customFormat="false" ht="15" hidden="false" customHeight="true" outlineLevel="0" collapsed="false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18"/>
      <c r="L644" s="19" t="str">
        <f aca="false">IF(A644="","",G644*K644)</f>
        <v/>
      </c>
      <c r="M644" s="20"/>
      <c r="N644" s="6"/>
      <c r="O644" s="6"/>
      <c r="P644" s="5" t="str">
        <f aca="false">IF(A644="","",H644/90)</f>
        <v/>
      </c>
      <c r="Q644" s="5" t="str">
        <f aca="false">IF(A644="","",IFERROR(INDEX(Parâmetros!$C$6:$C$10,MATCH(F644,Parâmetros!$B$6:$B$10,0)),""))</f>
        <v/>
      </c>
      <c r="R644" s="5" t="str">
        <f aca="false">IF(OR(A644="",P644="",Q644=""),"",P644*Q644)</f>
        <v/>
      </c>
      <c r="S644" s="5" t="str">
        <f aca="false">IF(R644="","",MAX(0,R644-G644))</f>
        <v/>
      </c>
      <c r="T644" s="21" t="str">
        <f aca="false">IF(S644="","",S644*K644)</f>
        <v/>
      </c>
      <c r="U644" s="5" t="str">
        <f aca="false">IF(A644="","",IF(J644&gt;Parâmetros!$C$14,"SIM","NAO"))</f>
        <v/>
      </c>
      <c r="V644" s="5" t="str">
        <f aca="false">IF(B644="","",TRIM(LEFT(B644,IFERROR(FIND(" ",B644)-1,LEN(B644)))))</f>
        <v/>
      </c>
      <c r="W644" s="22"/>
      <c r="X644" s="5" t="str">
        <f aca="false">IF(A644="","",IF(W644&lt;&gt;"",W644,V644))</f>
        <v/>
      </c>
      <c r="Y644" s="5" t="str">
        <f aca="false">IF(A644="","",IF(COUNTIFS($X$2:$X$2001,X644,$D$2:$D$2001,"&lt;&gt;"&amp;D644,$C$2:$C$2001,C644)&gt;0,"SIM","NAO"))</f>
        <v/>
      </c>
      <c r="Z644" s="5" t="str">
        <f aca="false">IF(A644="","",IF(J644="","",IFERROR(360/J644,"")))</f>
        <v/>
      </c>
      <c r="AA644" s="5" t="str">
        <f aca="false">IF(A644="","",IF(H644=0,"Parado (sem venda 90d)",IF(Z644&gt;12,"Alto (&gt;12x/ano)",IF(Z644&gt;=4,"Medio (4-12x/ano)","Baixo (&lt;4x/ano)"))))</f>
        <v/>
      </c>
    </row>
    <row r="645" customFormat="false" ht="15" hidden="false" customHeight="true" outlineLevel="0" collapsed="false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18"/>
      <c r="L645" s="19" t="str">
        <f aca="false">IF(A645="","",G645*K645)</f>
        <v/>
      </c>
      <c r="M645" s="20"/>
      <c r="N645" s="6"/>
      <c r="O645" s="6"/>
      <c r="P645" s="5" t="str">
        <f aca="false">IF(A645="","",H645/90)</f>
        <v/>
      </c>
      <c r="Q645" s="5" t="str">
        <f aca="false">IF(A645="","",IFERROR(INDEX(Parâmetros!$C$6:$C$10,MATCH(F645,Parâmetros!$B$6:$B$10,0)),""))</f>
        <v/>
      </c>
      <c r="R645" s="5" t="str">
        <f aca="false">IF(OR(A645="",P645="",Q645=""),"",P645*Q645)</f>
        <v/>
      </c>
      <c r="S645" s="5" t="str">
        <f aca="false">IF(R645="","",MAX(0,R645-G645))</f>
        <v/>
      </c>
      <c r="T645" s="21" t="str">
        <f aca="false">IF(S645="","",S645*K645)</f>
        <v/>
      </c>
      <c r="U645" s="5" t="str">
        <f aca="false">IF(A645="","",IF(J645&gt;Parâmetros!$C$14,"SIM","NAO"))</f>
        <v/>
      </c>
      <c r="V645" s="5" t="str">
        <f aca="false">IF(B645="","",TRIM(LEFT(B645,IFERROR(FIND(" ",B645)-1,LEN(B645)))))</f>
        <v/>
      </c>
      <c r="W645" s="22"/>
      <c r="X645" s="5" t="str">
        <f aca="false">IF(A645="","",IF(W645&lt;&gt;"",W645,V645))</f>
        <v/>
      </c>
      <c r="Y645" s="5" t="str">
        <f aca="false">IF(A645="","",IF(COUNTIFS($X$2:$X$2001,X645,$D$2:$D$2001,"&lt;&gt;"&amp;D645,$C$2:$C$2001,C645)&gt;0,"SIM","NAO"))</f>
        <v/>
      </c>
      <c r="Z645" s="5" t="str">
        <f aca="false">IF(A645="","",IF(J645="","",IFERROR(360/J645,"")))</f>
        <v/>
      </c>
      <c r="AA645" s="5" t="str">
        <f aca="false">IF(A645="","",IF(H645=0,"Parado (sem venda 90d)",IF(Z645&gt;12,"Alto (&gt;12x/ano)",IF(Z645&gt;=4,"Medio (4-12x/ano)","Baixo (&lt;4x/ano)"))))</f>
        <v/>
      </c>
    </row>
    <row r="646" customFormat="false" ht="15" hidden="false" customHeight="true" outlineLevel="0" collapsed="false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18"/>
      <c r="L646" s="19" t="str">
        <f aca="false">IF(A646="","",G646*K646)</f>
        <v/>
      </c>
      <c r="M646" s="20"/>
      <c r="N646" s="6"/>
      <c r="O646" s="6"/>
      <c r="P646" s="5" t="str">
        <f aca="false">IF(A646="","",H646/90)</f>
        <v/>
      </c>
      <c r="Q646" s="5" t="str">
        <f aca="false">IF(A646="","",IFERROR(INDEX(Parâmetros!$C$6:$C$10,MATCH(F646,Parâmetros!$B$6:$B$10,0)),""))</f>
        <v/>
      </c>
      <c r="R646" s="5" t="str">
        <f aca="false">IF(OR(A646="",P646="",Q646=""),"",P646*Q646)</f>
        <v/>
      </c>
      <c r="S646" s="5" t="str">
        <f aca="false">IF(R646="","",MAX(0,R646-G646))</f>
        <v/>
      </c>
      <c r="T646" s="21" t="str">
        <f aca="false">IF(S646="","",S646*K646)</f>
        <v/>
      </c>
      <c r="U646" s="5" t="str">
        <f aca="false">IF(A646="","",IF(J646&gt;Parâmetros!$C$14,"SIM","NAO"))</f>
        <v/>
      </c>
      <c r="V646" s="5" t="str">
        <f aca="false">IF(B646="","",TRIM(LEFT(B646,IFERROR(FIND(" ",B646)-1,LEN(B646)))))</f>
        <v/>
      </c>
      <c r="W646" s="22"/>
      <c r="X646" s="5" t="str">
        <f aca="false">IF(A646="","",IF(W646&lt;&gt;"",W646,V646))</f>
        <v/>
      </c>
      <c r="Y646" s="5" t="str">
        <f aca="false">IF(A646="","",IF(COUNTIFS($X$2:$X$2001,X646,$D$2:$D$2001,"&lt;&gt;"&amp;D646,$C$2:$C$2001,C646)&gt;0,"SIM","NAO"))</f>
        <v/>
      </c>
      <c r="Z646" s="5" t="str">
        <f aca="false">IF(A646="","",IF(J646="","",IFERROR(360/J646,"")))</f>
        <v/>
      </c>
      <c r="AA646" s="5" t="str">
        <f aca="false">IF(A646="","",IF(H646=0,"Parado (sem venda 90d)",IF(Z646&gt;12,"Alto (&gt;12x/ano)",IF(Z646&gt;=4,"Medio (4-12x/ano)","Baixo (&lt;4x/ano)"))))</f>
        <v/>
      </c>
    </row>
    <row r="647" customFormat="false" ht="15" hidden="false" customHeight="true" outlineLevel="0" collapsed="false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18"/>
      <c r="L647" s="19" t="str">
        <f aca="false">IF(A647="","",G647*K647)</f>
        <v/>
      </c>
      <c r="M647" s="20"/>
      <c r="N647" s="6"/>
      <c r="O647" s="6"/>
      <c r="P647" s="5" t="str">
        <f aca="false">IF(A647="","",H647/90)</f>
        <v/>
      </c>
      <c r="Q647" s="5" t="str">
        <f aca="false">IF(A647="","",IFERROR(INDEX(Parâmetros!$C$6:$C$10,MATCH(F647,Parâmetros!$B$6:$B$10,0)),""))</f>
        <v/>
      </c>
      <c r="R647" s="5" t="str">
        <f aca="false">IF(OR(A647="",P647="",Q647=""),"",P647*Q647)</f>
        <v/>
      </c>
      <c r="S647" s="5" t="str">
        <f aca="false">IF(R647="","",MAX(0,R647-G647))</f>
        <v/>
      </c>
      <c r="T647" s="21" t="str">
        <f aca="false">IF(S647="","",S647*K647)</f>
        <v/>
      </c>
      <c r="U647" s="5" t="str">
        <f aca="false">IF(A647="","",IF(J647&gt;Parâmetros!$C$14,"SIM","NAO"))</f>
        <v/>
      </c>
      <c r="V647" s="5" t="str">
        <f aca="false">IF(B647="","",TRIM(LEFT(B647,IFERROR(FIND(" ",B647)-1,LEN(B647)))))</f>
        <v/>
      </c>
      <c r="W647" s="22"/>
      <c r="X647" s="5" t="str">
        <f aca="false">IF(A647="","",IF(W647&lt;&gt;"",W647,V647))</f>
        <v/>
      </c>
      <c r="Y647" s="5" t="str">
        <f aca="false">IF(A647="","",IF(COUNTIFS($X$2:$X$2001,X647,$D$2:$D$2001,"&lt;&gt;"&amp;D647,$C$2:$C$2001,C647)&gt;0,"SIM","NAO"))</f>
        <v/>
      </c>
      <c r="Z647" s="5" t="str">
        <f aca="false">IF(A647="","",IF(J647="","",IFERROR(360/J647,"")))</f>
        <v/>
      </c>
      <c r="AA647" s="5" t="str">
        <f aca="false">IF(A647="","",IF(H647=0,"Parado (sem venda 90d)",IF(Z647&gt;12,"Alto (&gt;12x/ano)",IF(Z647&gt;=4,"Medio (4-12x/ano)","Baixo (&lt;4x/ano)"))))</f>
        <v/>
      </c>
    </row>
    <row r="648" customFormat="false" ht="15" hidden="false" customHeight="true" outlineLevel="0" collapsed="false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18"/>
      <c r="L648" s="19" t="str">
        <f aca="false">IF(A648="","",G648*K648)</f>
        <v/>
      </c>
      <c r="M648" s="20"/>
      <c r="N648" s="6"/>
      <c r="O648" s="6"/>
      <c r="P648" s="5" t="str">
        <f aca="false">IF(A648="","",H648/90)</f>
        <v/>
      </c>
      <c r="Q648" s="5" t="str">
        <f aca="false">IF(A648="","",IFERROR(INDEX(Parâmetros!$C$6:$C$10,MATCH(F648,Parâmetros!$B$6:$B$10,0)),""))</f>
        <v/>
      </c>
      <c r="R648" s="5" t="str">
        <f aca="false">IF(OR(A648="",P648="",Q648=""),"",P648*Q648)</f>
        <v/>
      </c>
      <c r="S648" s="5" t="str">
        <f aca="false">IF(R648="","",MAX(0,R648-G648))</f>
        <v/>
      </c>
      <c r="T648" s="21" t="str">
        <f aca="false">IF(S648="","",S648*K648)</f>
        <v/>
      </c>
      <c r="U648" s="5" t="str">
        <f aca="false">IF(A648="","",IF(J648&gt;Parâmetros!$C$14,"SIM","NAO"))</f>
        <v/>
      </c>
      <c r="V648" s="5" t="str">
        <f aca="false">IF(B648="","",TRIM(LEFT(B648,IFERROR(FIND(" ",B648)-1,LEN(B648)))))</f>
        <v/>
      </c>
      <c r="W648" s="22"/>
      <c r="X648" s="5" t="str">
        <f aca="false">IF(A648="","",IF(W648&lt;&gt;"",W648,V648))</f>
        <v/>
      </c>
      <c r="Y648" s="5" t="str">
        <f aca="false">IF(A648="","",IF(COUNTIFS($X$2:$X$2001,X648,$D$2:$D$2001,"&lt;&gt;"&amp;D648,$C$2:$C$2001,C648)&gt;0,"SIM","NAO"))</f>
        <v/>
      </c>
      <c r="Z648" s="5" t="str">
        <f aca="false">IF(A648="","",IF(J648="","",IFERROR(360/J648,"")))</f>
        <v/>
      </c>
      <c r="AA648" s="5" t="str">
        <f aca="false">IF(A648="","",IF(H648=0,"Parado (sem venda 90d)",IF(Z648&gt;12,"Alto (&gt;12x/ano)",IF(Z648&gt;=4,"Medio (4-12x/ano)","Baixo (&lt;4x/ano)"))))</f>
        <v/>
      </c>
    </row>
    <row r="649" customFormat="false" ht="15" hidden="false" customHeight="true" outlineLevel="0" collapsed="false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18"/>
      <c r="L649" s="19" t="str">
        <f aca="false">IF(A649="","",G649*K649)</f>
        <v/>
      </c>
      <c r="M649" s="20"/>
      <c r="N649" s="6"/>
      <c r="O649" s="6"/>
      <c r="P649" s="5" t="str">
        <f aca="false">IF(A649="","",H649/90)</f>
        <v/>
      </c>
      <c r="Q649" s="5" t="str">
        <f aca="false">IF(A649="","",IFERROR(INDEX(Parâmetros!$C$6:$C$10,MATCH(F649,Parâmetros!$B$6:$B$10,0)),""))</f>
        <v/>
      </c>
      <c r="R649" s="5" t="str">
        <f aca="false">IF(OR(A649="",P649="",Q649=""),"",P649*Q649)</f>
        <v/>
      </c>
      <c r="S649" s="5" t="str">
        <f aca="false">IF(R649="","",MAX(0,R649-G649))</f>
        <v/>
      </c>
      <c r="T649" s="21" t="str">
        <f aca="false">IF(S649="","",S649*K649)</f>
        <v/>
      </c>
      <c r="U649" s="5" t="str">
        <f aca="false">IF(A649="","",IF(J649&gt;Parâmetros!$C$14,"SIM","NAO"))</f>
        <v/>
      </c>
      <c r="V649" s="5" t="str">
        <f aca="false">IF(B649="","",TRIM(LEFT(B649,IFERROR(FIND(" ",B649)-1,LEN(B649)))))</f>
        <v/>
      </c>
      <c r="W649" s="22"/>
      <c r="X649" s="5" t="str">
        <f aca="false">IF(A649="","",IF(W649&lt;&gt;"",W649,V649))</f>
        <v/>
      </c>
      <c r="Y649" s="5" t="str">
        <f aca="false">IF(A649="","",IF(COUNTIFS($X$2:$X$2001,X649,$D$2:$D$2001,"&lt;&gt;"&amp;D649,$C$2:$C$2001,C649)&gt;0,"SIM","NAO"))</f>
        <v/>
      </c>
      <c r="Z649" s="5" t="str">
        <f aca="false">IF(A649="","",IF(J649="","",IFERROR(360/J649,"")))</f>
        <v/>
      </c>
      <c r="AA649" s="5" t="str">
        <f aca="false">IF(A649="","",IF(H649=0,"Parado (sem venda 90d)",IF(Z649&gt;12,"Alto (&gt;12x/ano)",IF(Z649&gt;=4,"Medio (4-12x/ano)","Baixo (&lt;4x/ano)"))))</f>
        <v/>
      </c>
    </row>
    <row r="650" customFormat="false" ht="15" hidden="false" customHeight="true" outlineLevel="0" collapsed="false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18"/>
      <c r="L650" s="19" t="str">
        <f aca="false">IF(A650="","",G650*K650)</f>
        <v/>
      </c>
      <c r="M650" s="20"/>
      <c r="N650" s="6"/>
      <c r="O650" s="6"/>
      <c r="P650" s="5" t="str">
        <f aca="false">IF(A650="","",H650/90)</f>
        <v/>
      </c>
      <c r="Q650" s="5" t="str">
        <f aca="false">IF(A650="","",IFERROR(INDEX(Parâmetros!$C$6:$C$10,MATCH(F650,Parâmetros!$B$6:$B$10,0)),""))</f>
        <v/>
      </c>
      <c r="R650" s="5" t="str">
        <f aca="false">IF(OR(A650="",P650="",Q650=""),"",P650*Q650)</f>
        <v/>
      </c>
      <c r="S650" s="5" t="str">
        <f aca="false">IF(R650="","",MAX(0,R650-G650))</f>
        <v/>
      </c>
      <c r="T650" s="21" t="str">
        <f aca="false">IF(S650="","",S650*K650)</f>
        <v/>
      </c>
      <c r="U650" s="5" t="str">
        <f aca="false">IF(A650="","",IF(J650&gt;Parâmetros!$C$14,"SIM","NAO"))</f>
        <v/>
      </c>
      <c r="V650" s="5" t="str">
        <f aca="false">IF(B650="","",TRIM(LEFT(B650,IFERROR(FIND(" ",B650)-1,LEN(B650)))))</f>
        <v/>
      </c>
      <c r="W650" s="22"/>
      <c r="X650" s="5" t="str">
        <f aca="false">IF(A650="","",IF(W650&lt;&gt;"",W650,V650))</f>
        <v/>
      </c>
      <c r="Y650" s="5" t="str">
        <f aca="false">IF(A650="","",IF(COUNTIFS($X$2:$X$2001,X650,$D$2:$D$2001,"&lt;&gt;"&amp;D650,$C$2:$C$2001,C650)&gt;0,"SIM","NAO"))</f>
        <v/>
      </c>
      <c r="Z650" s="5" t="str">
        <f aca="false">IF(A650="","",IF(J650="","",IFERROR(360/J650,"")))</f>
        <v/>
      </c>
      <c r="AA650" s="5" t="str">
        <f aca="false">IF(A650="","",IF(H650=0,"Parado (sem venda 90d)",IF(Z650&gt;12,"Alto (&gt;12x/ano)",IF(Z650&gt;=4,"Medio (4-12x/ano)","Baixo (&lt;4x/ano)"))))</f>
        <v/>
      </c>
    </row>
    <row r="651" customFormat="false" ht="15" hidden="false" customHeight="true" outlineLevel="0" collapsed="false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18"/>
      <c r="L651" s="19" t="str">
        <f aca="false">IF(A651="","",G651*K651)</f>
        <v/>
      </c>
      <c r="M651" s="20"/>
      <c r="N651" s="6"/>
      <c r="O651" s="6"/>
      <c r="P651" s="5" t="str">
        <f aca="false">IF(A651="","",H651/90)</f>
        <v/>
      </c>
      <c r="Q651" s="5" t="str">
        <f aca="false">IF(A651="","",IFERROR(INDEX(Parâmetros!$C$6:$C$10,MATCH(F651,Parâmetros!$B$6:$B$10,0)),""))</f>
        <v/>
      </c>
      <c r="R651" s="5" t="str">
        <f aca="false">IF(OR(A651="",P651="",Q651=""),"",P651*Q651)</f>
        <v/>
      </c>
      <c r="S651" s="5" t="str">
        <f aca="false">IF(R651="","",MAX(0,R651-G651))</f>
        <v/>
      </c>
      <c r="T651" s="21" t="str">
        <f aca="false">IF(S651="","",S651*K651)</f>
        <v/>
      </c>
      <c r="U651" s="5" t="str">
        <f aca="false">IF(A651="","",IF(J651&gt;Parâmetros!$C$14,"SIM","NAO"))</f>
        <v/>
      </c>
      <c r="V651" s="5" t="str">
        <f aca="false">IF(B651="","",TRIM(LEFT(B651,IFERROR(FIND(" ",B651)-1,LEN(B651)))))</f>
        <v/>
      </c>
      <c r="W651" s="22"/>
      <c r="X651" s="5" t="str">
        <f aca="false">IF(A651="","",IF(W651&lt;&gt;"",W651,V651))</f>
        <v/>
      </c>
      <c r="Y651" s="5" t="str">
        <f aca="false">IF(A651="","",IF(COUNTIFS($X$2:$X$2001,X651,$D$2:$D$2001,"&lt;&gt;"&amp;D651,$C$2:$C$2001,C651)&gt;0,"SIM","NAO"))</f>
        <v/>
      </c>
      <c r="Z651" s="5" t="str">
        <f aca="false">IF(A651="","",IF(J651="","",IFERROR(360/J651,"")))</f>
        <v/>
      </c>
      <c r="AA651" s="5" t="str">
        <f aca="false">IF(A651="","",IF(H651=0,"Parado (sem venda 90d)",IF(Z651&gt;12,"Alto (&gt;12x/ano)",IF(Z651&gt;=4,"Medio (4-12x/ano)","Baixo (&lt;4x/ano)"))))</f>
        <v/>
      </c>
    </row>
    <row r="652" customFormat="false" ht="15" hidden="false" customHeight="true" outlineLevel="0" collapsed="false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18"/>
      <c r="L652" s="19" t="str">
        <f aca="false">IF(A652="","",G652*K652)</f>
        <v/>
      </c>
      <c r="M652" s="20"/>
      <c r="N652" s="6"/>
      <c r="O652" s="6"/>
      <c r="P652" s="5" t="str">
        <f aca="false">IF(A652="","",H652/90)</f>
        <v/>
      </c>
      <c r="Q652" s="5" t="str">
        <f aca="false">IF(A652="","",IFERROR(INDEX(Parâmetros!$C$6:$C$10,MATCH(F652,Parâmetros!$B$6:$B$10,0)),""))</f>
        <v/>
      </c>
      <c r="R652" s="5" t="str">
        <f aca="false">IF(OR(A652="",P652="",Q652=""),"",P652*Q652)</f>
        <v/>
      </c>
      <c r="S652" s="5" t="str">
        <f aca="false">IF(R652="","",MAX(0,R652-G652))</f>
        <v/>
      </c>
      <c r="T652" s="21" t="str">
        <f aca="false">IF(S652="","",S652*K652)</f>
        <v/>
      </c>
      <c r="U652" s="5" t="str">
        <f aca="false">IF(A652="","",IF(J652&gt;Parâmetros!$C$14,"SIM","NAO"))</f>
        <v/>
      </c>
      <c r="V652" s="5" t="str">
        <f aca="false">IF(B652="","",TRIM(LEFT(B652,IFERROR(FIND(" ",B652)-1,LEN(B652)))))</f>
        <v/>
      </c>
      <c r="W652" s="22"/>
      <c r="X652" s="5" t="str">
        <f aca="false">IF(A652="","",IF(W652&lt;&gt;"",W652,V652))</f>
        <v/>
      </c>
      <c r="Y652" s="5" t="str">
        <f aca="false">IF(A652="","",IF(COUNTIFS($X$2:$X$2001,X652,$D$2:$D$2001,"&lt;&gt;"&amp;D652,$C$2:$C$2001,C652)&gt;0,"SIM","NAO"))</f>
        <v/>
      </c>
      <c r="Z652" s="5" t="str">
        <f aca="false">IF(A652="","",IF(J652="","",IFERROR(360/J652,"")))</f>
        <v/>
      </c>
      <c r="AA652" s="5" t="str">
        <f aca="false">IF(A652="","",IF(H652=0,"Parado (sem venda 90d)",IF(Z652&gt;12,"Alto (&gt;12x/ano)",IF(Z652&gt;=4,"Medio (4-12x/ano)","Baixo (&lt;4x/ano)"))))</f>
        <v/>
      </c>
    </row>
    <row r="653" customFormat="false" ht="15" hidden="false" customHeight="true" outlineLevel="0" collapsed="false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18"/>
      <c r="L653" s="19" t="str">
        <f aca="false">IF(A653="","",G653*K653)</f>
        <v/>
      </c>
      <c r="M653" s="20"/>
      <c r="N653" s="6"/>
      <c r="O653" s="6"/>
      <c r="P653" s="5" t="str">
        <f aca="false">IF(A653="","",H653/90)</f>
        <v/>
      </c>
      <c r="Q653" s="5" t="str">
        <f aca="false">IF(A653="","",IFERROR(INDEX(Parâmetros!$C$6:$C$10,MATCH(F653,Parâmetros!$B$6:$B$10,0)),""))</f>
        <v/>
      </c>
      <c r="R653" s="5" t="str">
        <f aca="false">IF(OR(A653="",P653="",Q653=""),"",P653*Q653)</f>
        <v/>
      </c>
      <c r="S653" s="5" t="str">
        <f aca="false">IF(R653="","",MAX(0,R653-G653))</f>
        <v/>
      </c>
      <c r="T653" s="21" t="str">
        <f aca="false">IF(S653="","",S653*K653)</f>
        <v/>
      </c>
      <c r="U653" s="5" t="str">
        <f aca="false">IF(A653="","",IF(J653&gt;Parâmetros!$C$14,"SIM","NAO"))</f>
        <v/>
      </c>
      <c r="V653" s="5" t="str">
        <f aca="false">IF(B653="","",TRIM(LEFT(B653,IFERROR(FIND(" ",B653)-1,LEN(B653)))))</f>
        <v/>
      </c>
      <c r="W653" s="22"/>
      <c r="X653" s="5" t="str">
        <f aca="false">IF(A653="","",IF(W653&lt;&gt;"",W653,V653))</f>
        <v/>
      </c>
      <c r="Y653" s="5" t="str">
        <f aca="false">IF(A653="","",IF(COUNTIFS($X$2:$X$2001,X653,$D$2:$D$2001,"&lt;&gt;"&amp;D653,$C$2:$C$2001,C653)&gt;0,"SIM","NAO"))</f>
        <v/>
      </c>
      <c r="Z653" s="5" t="str">
        <f aca="false">IF(A653="","",IF(J653="","",IFERROR(360/J653,"")))</f>
        <v/>
      </c>
      <c r="AA653" s="5" t="str">
        <f aca="false">IF(A653="","",IF(H653=0,"Parado (sem venda 90d)",IF(Z653&gt;12,"Alto (&gt;12x/ano)",IF(Z653&gt;=4,"Medio (4-12x/ano)","Baixo (&lt;4x/ano)"))))</f>
        <v/>
      </c>
    </row>
    <row r="654" customFormat="false" ht="15" hidden="false" customHeight="true" outlineLevel="0" collapsed="false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18"/>
      <c r="L654" s="19" t="str">
        <f aca="false">IF(A654="","",G654*K654)</f>
        <v/>
      </c>
      <c r="M654" s="20"/>
      <c r="N654" s="6"/>
      <c r="O654" s="6"/>
      <c r="P654" s="5" t="str">
        <f aca="false">IF(A654="","",H654/90)</f>
        <v/>
      </c>
      <c r="Q654" s="5" t="str">
        <f aca="false">IF(A654="","",IFERROR(INDEX(Parâmetros!$C$6:$C$10,MATCH(F654,Parâmetros!$B$6:$B$10,0)),""))</f>
        <v/>
      </c>
      <c r="R654" s="5" t="str">
        <f aca="false">IF(OR(A654="",P654="",Q654=""),"",P654*Q654)</f>
        <v/>
      </c>
      <c r="S654" s="5" t="str">
        <f aca="false">IF(R654="","",MAX(0,R654-G654))</f>
        <v/>
      </c>
      <c r="T654" s="21" t="str">
        <f aca="false">IF(S654="","",S654*K654)</f>
        <v/>
      </c>
      <c r="U654" s="5" t="str">
        <f aca="false">IF(A654="","",IF(J654&gt;Parâmetros!$C$14,"SIM","NAO"))</f>
        <v/>
      </c>
      <c r="V654" s="5" t="str">
        <f aca="false">IF(B654="","",TRIM(LEFT(B654,IFERROR(FIND(" ",B654)-1,LEN(B654)))))</f>
        <v/>
      </c>
      <c r="W654" s="22"/>
      <c r="X654" s="5" t="str">
        <f aca="false">IF(A654="","",IF(W654&lt;&gt;"",W654,V654))</f>
        <v/>
      </c>
      <c r="Y654" s="5" t="str">
        <f aca="false">IF(A654="","",IF(COUNTIFS($X$2:$X$2001,X654,$D$2:$D$2001,"&lt;&gt;"&amp;D654,$C$2:$C$2001,C654)&gt;0,"SIM","NAO"))</f>
        <v/>
      </c>
      <c r="Z654" s="5" t="str">
        <f aca="false">IF(A654="","",IF(J654="","",IFERROR(360/J654,"")))</f>
        <v/>
      </c>
      <c r="AA654" s="5" t="str">
        <f aca="false">IF(A654="","",IF(H654=0,"Parado (sem venda 90d)",IF(Z654&gt;12,"Alto (&gt;12x/ano)",IF(Z654&gt;=4,"Medio (4-12x/ano)","Baixo (&lt;4x/ano)"))))</f>
        <v/>
      </c>
    </row>
    <row r="655" customFormat="false" ht="15" hidden="false" customHeight="true" outlineLevel="0" collapsed="false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18"/>
      <c r="L655" s="19" t="str">
        <f aca="false">IF(A655="","",G655*K655)</f>
        <v/>
      </c>
      <c r="M655" s="20"/>
      <c r="N655" s="6"/>
      <c r="O655" s="6"/>
      <c r="P655" s="5" t="str">
        <f aca="false">IF(A655="","",H655/90)</f>
        <v/>
      </c>
      <c r="Q655" s="5" t="str">
        <f aca="false">IF(A655="","",IFERROR(INDEX(Parâmetros!$C$6:$C$10,MATCH(F655,Parâmetros!$B$6:$B$10,0)),""))</f>
        <v/>
      </c>
      <c r="R655" s="5" t="str">
        <f aca="false">IF(OR(A655="",P655="",Q655=""),"",P655*Q655)</f>
        <v/>
      </c>
      <c r="S655" s="5" t="str">
        <f aca="false">IF(R655="","",MAX(0,R655-G655))</f>
        <v/>
      </c>
      <c r="T655" s="21" t="str">
        <f aca="false">IF(S655="","",S655*K655)</f>
        <v/>
      </c>
      <c r="U655" s="5" t="str">
        <f aca="false">IF(A655="","",IF(J655&gt;Parâmetros!$C$14,"SIM","NAO"))</f>
        <v/>
      </c>
      <c r="V655" s="5" t="str">
        <f aca="false">IF(B655="","",TRIM(LEFT(B655,IFERROR(FIND(" ",B655)-1,LEN(B655)))))</f>
        <v/>
      </c>
      <c r="W655" s="22"/>
      <c r="X655" s="5" t="str">
        <f aca="false">IF(A655="","",IF(W655&lt;&gt;"",W655,V655))</f>
        <v/>
      </c>
      <c r="Y655" s="5" t="str">
        <f aca="false">IF(A655="","",IF(COUNTIFS($X$2:$X$2001,X655,$D$2:$D$2001,"&lt;&gt;"&amp;D655,$C$2:$C$2001,C655)&gt;0,"SIM","NAO"))</f>
        <v/>
      </c>
      <c r="Z655" s="5" t="str">
        <f aca="false">IF(A655="","",IF(J655="","",IFERROR(360/J655,"")))</f>
        <v/>
      </c>
      <c r="AA655" s="5" t="str">
        <f aca="false">IF(A655="","",IF(H655=0,"Parado (sem venda 90d)",IF(Z655&gt;12,"Alto (&gt;12x/ano)",IF(Z655&gt;=4,"Medio (4-12x/ano)","Baixo (&lt;4x/ano)"))))</f>
        <v/>
      </c>
    </row>
    <row r="656" customFormat="false" ht="15" hidden="false" customHeight="true" outlineLevel="0" collapsed="false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18"/>
      <c r="L656" s="19" t="str">
        <f aca="false">IF(A656="","",G656*K656)</f>
        <v/>
      </c>
      <c r="M656" s="20"/>
      <c r="N656" s="6"/>
      <c r="O656" s="6"/>
      <c r="P656" s="5" t="str">
        <f aca="false">IF(A656="","",H656/90)</f>
        <v/>
      </c>
      <c r="Q656" s="5" t="str">
        <f aca="false">IF(A656="","",IFERROR(INDEX(Parâmetros!$C$6:$C$10,MATCH(F656,Parâmetros!$B$6:$B$10,0)),""))</f>
        <v/>
      </c>
      <c r="R656" s="5" t="str">
        <f aca="false">IF(OR(A656="",P656="",Q656=""),"",P656*Q656)</f>
        <v/>
      </c>
      <c r="S656" s="5" t="str">
        <f aca="false">IF(R656="","",MAX(0,R656-G656))</f>
        <v/>
      </c>
      <c r="T656" s="21" t="str">
        <f aca="false">IF(S656="","",S656*K656)</f>
        <v/>
      </c>
      <c r="U656" s="5" t="str">
        <f aca="false">IF(A656="","",IF(J656&gt;Parâmetros!$C$14,"SIM","NAO"))</f>
        <v/>
      </c>
      <c r="V656" s="5" t="str">
        <f aca="false">IF(B656="","",TRIM(LEFT(B656,IFERROR(FIND(" ",B656)-1,LEN(B656)))))</f>
        <v/>
      </c>
      <c r="W656" s="22"/>
      <c r="X656" s="5" t="str">
        <f aca="false">IF(A656="","",IF(W656&lt;&gt;"",W656,V656))</f>
        <v/>
      </c>
      <c r="Y656" s="5" t="str">
        <f aca="false">IF(A656="","",IF(COUNTIFS($X$2:$X$2001,X656,$D$2:$D$2001,"&lt;&gt;"&amp;D656,$C$2:$C$2001,C656)&gt;0,"SIM","NAO"))</f>
        <v/>
      </c>
      <c r="Z656" s="5" t="str">
        <f aca="false">IF(A656="","",IF(J656="","",IFERROR(360/J656,"")))</f>
        <v/>
      </c>
      <c r="AA656" s="5" t="str">
        <f aca="false">IF(A656="","",IF(H656=0,"Parado (sem venda 90d)",IF(Z656&gt;12,"Alto (&gt;12x/ano)",IF(Z656&gt;=4,"Medio (4-12x/ano)","Baixo (&lt;4x/ano)"))))</f>
        <v/>
      </c>
    </row>
    <row r="657" customFormat="false" ht="15" hidden="false" customHeight="true" outlineLevel="0" collapsed="false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18"/>
      <c r="L657" s="19" t="str">
        <f aca="false">IF(A657="","",G657*K657)</f>
        <v/>
      </c>
      <c r="M657" s="20"/>
      <c r="N657" s="6"/>
      <c r="O657" s="6"/>
      <c r="P657" s="5" t="str">
        <f aca="false">IF(A657="","",H657/90)</f>
        <v/>
      </c>
      <c r="Q657" s="5" t="str">
        <f aca="false">IF(A657="","",IFERROR(INDEX(Parâmetros!$C$6:$C$10,MATCH(F657,Parâmetros!$B$6:$B$10,0)),""))</f>
        <v/>
      </c>
      <c r="R657" s="5" t="str">
        <f aca="false">IF(OR(A657="",P657="",Q657=""),"",P657*Q657)</f>
        <v/>
      </c>
      <c r="S657" s="5" t="str">
        <f aca="false">IF(R657="","",MAX(0,R657-G657))</f>
        <v/>
      </c>
      <c r="T657" s="21" t="str">
        <f aca="false">IF(S657="","",S657*K657)</f>
        <v/>
      </c>
      <c r="U657" s="5" t="str">
        <f aca="false">IF(A657="","",IF(J657&gt;Parâmetros!$C$14,"SIM","NAO"))</f>
        <v/>
      </c>
      <c r="V657" s="5" t="str">
        <f aca="false">IF(B657="","",TRIM(LEFT(B657,IFERROR(FIND(" ",B657)-1,LEN(B657)))))</f>
        <v/>
      </c>
      <c r="W657" s="22"/>
      <c r="X657" s="5" t="str">
        <f aca="false">IF(A657="","",IF(W657&lt;&gt;"",W657,V657))</f>
        <v/>
      </c>
      <c r="Y657" s="5" t="str">
        <f aca="false">IF(A657="","",IF(COUNTIFS($X$2:$X$2001,X657,$D$2:$D$2001,"&lt;&gt;"&amp;D657,$C$2:$C$2001,C657)&gt;0,"SIM","NAO"))</f>
        <v/>
      </c>
      <c r="Z657" s="5" t="str">
        <f aca="false">IF(A657="","",IF(J657="","",IFERROR(360/J657,"")))</f>
        <v/>
      </c>
      <c r="AA657" s="5" t="str">
        <f aca="false">IF(A657="","",IF(H657=0,"Parado (sem venda 90d)",IF(Z657&gt;12,"Alto (&gt;12x/ano)",IF(Z657&gt;=4,"Medio (4-12x/ano)","Baixo (&lt;4x/ano)"))))</f>
        <v/>
      </c>
    </row>
    <row r="658" customFormat="false" ht="15" hidden="false" customHeight="true" outlineLevel="0" collapsed="false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18"/>
      <c r="L658" s="19" t="str">
        <f aca="false">IF(A658="","",G658*K658)</f>
        <v/>
      </c>
      <c r="M658" s="20"/>
      <c r="N658" s="6"/>
      <c r="O658" s="6"/>
      <c r="P658" s="5" t="str">
        <f aca="false">IF(A658="","",H658/90)</f>
        <v/>
      </c>
      <c r="Q658" s="5" t="str">
        <f aca="false">IF(A658="","",IFERROR(INDEX(Parâmetros!$C$6:$C$10,MATCH(F658,Parâmetros!$B$6:$B$10,0)),""))</f>
        <v/>
      </c>
      <c r="R658" s="5" t="str">
        <f aca="false">IF(OR(A658="",P658="",Q658=""),"",P658*Q658)</f>
        <v/>
      </c>
      <c r="S658" s="5" t="str">
        <f aca="false">IF(R658="","",MAX(0,R658-G658))</f>
        <v/>
      </c>
      <c r="T658" s="21" t="str">
        <f aca="false">IF(S658="","",S658*K658)</f>
        <v/>
      </c>
      <c r="U658" s="5" t="str">
        <f aca="false">IF(A658="","",IF(J658&gt;Parâmetros!$C$14,"SIM","NAO"))</f>
        <v/>
      </c>
      <c r="V658" s="5" t="str">
        <f aca="false">IF(B658="","",TRIM(LEFT(B658,IFERROR(FIND(" ",B658)-1,LEN(B658)))))</f>
        <v/>
      </c>
      <c r="W658" s="22"/>
      <c r="X658" s="5" t="str">
        <f aca="false">IF(A658="","",IF(W658&lt;&gt;"",W658,V658))</f>
        <v/>
      </c>
      <c r="Y658" s="5" t="str">
        <f aca="false">IF(A658="","",IF(COUNTIFS($X$2:$X$2001,X658,$D$2:$D$2001,"&lt;&gt;"&amp;D658,$C$2:$C$2001,C658)&gt;0,"SIM","NAO"))</f>
        <v/>
      </c>
      <c r="Z658" s="5" t="str">
        <f aca="false">IF(A658="","",IF(J658="","",IFERROR(360/J658,"")))</f>
        <v/>
      </c>
      <c r="AA658" s="5" t="str">
        <f aca="false">IF(A658="","",IF(H658=0,"Parado (sem venda 90d)",IF(Z658&gt;12,"Alto (&gt;12x/ano)",IF(Z658&gt;=4,"Medio (4-12x/ano)","Baixo (&lt;4x/ano)"))))</f>
        <v/>
      </c>
    </row>
    <row r="659" customFormat="false" ht="15" hidden="false" customHeight="true" outlineLevel="0" collapsed="false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18"/>
      <c r="L659" s="19" t="str">
        <f aca="false">IF(A659="","",G659*K659)</f>
        <v/>
      </c>
      <c r="M659" s="20"/>
      <c r="N659" s="6"/>
      <c r="O659" s="6"/>
      <c r="P659" s="5" t="str">
        <f aca="false">IF(A659="","",H659/90)</f>
        <v/>
      </c>
      <c r="Q659" s="5" t="str">
        <f aca="false">IF(A659="","",IFERROR(INDEX(Parâmetros!$C$6:$C$10,MATCH(F659,Parâmetros!$B$6:$B$10,0)),""))</f>
        <v/>
      </c>
      <c r="R659" s="5" t="str">
        <f aca="false">IF(OR(A659="",P659="",Q659=""),"",P659*Q659)</f>
        <v/>
      </c>
      <c r="S659" s="5" t="str">
        <f aca="false">IF(R659="","",MAX(0,R659-G659))</f>
        <v/>
      </c>
      <c r="T659" s="21" t="str">
        <f aca="false">IF(S659="","",S659*K659)</f>
        <v/>
      </c>
      <c r="U659" s="5" t="str">
        <f aca="false">IF(A659="","",IF(J659&gt;Parâmetros!$C$14,"SIM","NAO"))</f>
        <v/>
      </c>
      <c r="V659" s="5" t="str">
        <f aca="false">IF(B659="","",TRIM(LEFT(B659,IFERROR(FIND(" ",B659)-1,LEN(B659)))))</f>
        <v/>
      </c>
      <c r="W659" s="22"/>
      <c r="X659" s="5" t="str">
        <f aca="false">IF(A659="","",IF(W659&lt;&gt;"",W659,V659))</f>
        <v/>
      </c>
      <c r="Y659" s="5" t="str">
        <f aca="false">IF(A659="","",IF(COUNTIFS($X$2:$X$2001,X659,$D$2:$D$2001,"&lt;&gt;"&amp;D659,$C$2:$C$2001,C659)&gt;0,"SIM","NAO"))</f>
        <v/>
      </c>
      <c r="Z659" s="5" t="str">
        <f aca="false">IF(A659="","",IF(J659="","",IFERROR(360/J659,"")))</f>
        <v/>
      </c>
      <c r="AA659" s="5" t="str">
        <f aca="false">IF(A659="","",IF(H659=0,"Parado (sem venda 90d)",IF(Z659&gt;12,"Alto (&gt;12x/ano)",IF(Z659&gt;=4,"Medio (4-12x/ano)","Baixo (&lt;4x/ano)"))))</f>
        <v/>
      </c>
    </row>
    <row r="660" customFormat="false" ht="15" hidden="false" customHeight="true" outlineLevel="0" collapsed="false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18"/>
      <c r="L660" s="19" t="str">
        <f aca="false">IF(A660="","",G660*K660)</f>
        <v/>
      </c>
      <c r="M660" s="20"/>
      <c r="N660" s="6"/>
      <c r="O660" s="6"/>
      <c r="P660" s="5" t="str">
        <f aca="false">IF(A660="","",H660/90)</f>
        <v/>
      </c>
      <c r="Q660" s="5" t="str">
        <f aca="false">IF(A660="","",IFERROR(INDEX(Parâmetros!$C$6:$C$10,MATCH(F660,Parâmetros!$B$6:$B$10,0)),""))</f>
        <v/>
      </c>
      <c r="R660" s="5" t="str">
        <f aca="false">IF(OR(A660="",P660="",Q660=""),"",P660*Q660)</f>
        <v/>
      </c>
      <c r="S660" s="5" t="str">
        <f aca="false">IF(R660="","",MAX(0,R660-G660))</f>
        <v/>
      </c>
      <c r="T660" s="21" t="str">
        <f aca="false">IF(S660="","",S660*K660)</f>
        <v/>
      </c>
      <c r="U660" s="5" t="str">
        <f aca="false">IF(A660="","",IF(J660&gt;Parâmetros!$C$14,"SIM","NAO"))</f>
        <v/>
      </c>
      <c r="V660" s="5" t="str">
        <f aca="false">IF(B660="","",TRIM(LEFT(B660,IFERROR(FIND(" ",B660)-1,LEN(B660)))))</f>
        <v/>
      </c>
      <c r="W660" s="22"/>
      <c r="X660" s="5" t="str">
        <f aca="false">IF(A660="","",IF(W660&lt;&gt;"",W660,V660))</f>
        <v/>
      </c>
      <c r="Y660" s="5" t="str">
        <f aca="false">IF(A660="","",IF(COUNTIFS($X$2:$X$2001,X660,$D$2:$D$2001,"&lt;&gt;"&amp;D660,$C$2:$C$2001,C660)&gt;0,"SIM","NAO"))</f>
        <v/>
      </c>
      <c r="Z660" s="5" t="str">
        <f aca="false">IF(A660="","",IF(J660="","",IFERROR(360/J660,"")))</f>
        <v/>
      </c>
      <c r="AA660" s="5" t="str">
        <f aca="false">IF(A660="","",IF(H660=0,"Parado (sem venda 90d)",IF(Z660&gt;12,"Alto (&gt;12x/ano)",IF(Z660&gt;=4,"Medio (4-12x/ano)","Baixo (&lt;4x/ano)"))))</f>
        <v/>
      </c>
    </row>
    <row r="661" customFormat="false" ht="15" hidden="false" customHeight="true" outlineLevel="0" collapsed="false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18"/>
      <c r="L661" s="19" t="str">
        <f aca="false">IF(A661="","",G661*K661)</f>
        <v/>
      </c>
      <c r="M661" s="20"/>
      <c r="N661" s="6"/>
      <c r="O661" s="6"/>
      <c r="P661" s="5" t="str">
        <f aca="false">IF(A661="","",H661/90)</f>
        <v/>
      </c>
      <c r="Q661" s="5" t="str">
        <f aca="false">IF(A661="","",IFERROR(INDEX(Parâmetros!$C$6:$C$10,MATCH(F661,Parâmetros!$B$6:$B$10,0)),""))</f>
        <v/>
      </c>
      <c r="R661" s="5" t="str">
        <f aca="false">IF(OR(A661="",P661="",Q661=""),"",P661*Q661)</f>
        <v/>
      </c>
      <c r="S661" s="5" t="str">
        <f aca="false">IF(R661="","",MAX(0,R661-G661))</f>
        <v/>
      </c>
      <c r="T661" s="21" t="str">
        <f aca="false">IF(S661="","",S661*K661)</f>
        <v/>
      </c>
      <c r="U661" s="5" t="str">
        <f aca="false">IF(A661="","",IF(J661&gt;Parâmetros!$C$14,"SIM","NAO"))</f>
        <v/>
      </c>
      <c r="V661" s="5" t="str">
        <f aca="false">IF(B661="","",TRIM(LEFT(B661,IFERROR(FIND(" ",B661)-1,LEN(B661)))))</f>
        <v/>
      </c>
      <c r="W661" s="22"/>
      <c r="X661" s="5" t="str">
        <f aca="false">IF(A661="","",IF(W661&lt;&gt;"",W661,V661))</f>
        <v/>
      </c>
      <c r="Y661" s="5" t="str">
        <f aca="false">IF(A661="","",IF(COUNTIFS($X$2:$X$2001,X661,$D$2:$D$2001,"&lt;&gt;"&amp;D661,$C$2:$C$2001,C661)&gt;0,"SIM","NAO"))</f>
        <v/>
      </c>
      <c r="Z661" s="5" t="str">
        <f aca="false">IF(A661="","",IF(J661="","",IFERROR(360/J661,"")))</f>
        <v/>
      </c>
      <c r="AA661" s="5" t="str">
        <f aca="false">IF(A661="","",IF(H661=0,"Parado (sem venda 90d)",IF(Z661&gt;12,"Alto (&gt;12x/ano)",IF(Z661&gt;=4,"Medio (4-12x/ano)","Baixo (&lt;4x/ano)"))))</f>
        <v/>
      </c>
    </row>
    <row r="662" customFormat="false" ht="15" hidden="false" customHeight="true" outlineLevel="0" collapsed="false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18"/>
      <c r="L662" s="19" t="str">
        <f aca="false">IF(A662="","",G662*K662)</f>
        <v/>
      </c>
      <c r="M662" s="20"/>
      <c r="N662" s="6"/>
      <c r="O662" s="6"/>
      <c r="P662" s="5" t="str">
        <f aca="false">IF(A662="","",H662/90)</f>
        <v/>
      </c>
      <c r="Q662" s="5" t="str">
        <f aca="false">IF(A662="","",IFERROR(INDEX(Parâmetros!$C$6:$C$10,MATCH(F662,Parâmetros!$B$6:$B$10,0)),""))</f>
        <v/>
      </c>
      <c r="R662" s="5" t="str">
        <f aca="false">IF(OR(A662="",P662="",Q662=""),"",P662*Q662)</f>
        <v/>
      </c>
      <c r="S662" s="5" t="str">
        <f aca="false">IF(R662="","",MAX(0,R662-G662))</f>
        <v/>
      </c>
      <c r="T662" s="21" t="str">
        <f aca="false">IF(S662="","",S662*K662)</f>
        <v/>
      </c>
      <c r="U662" s="5" t="str">
        <f aca="false">IF(A662="","",IF(J662&gt;Parâmetros!$C$14,"SIM","NAO"))</f>
        <v/>
      </c>
      <c r="V662" s="5" t="str">
        <f aca="false">IF(B662="","",TRIM(LEFT(B662,IFERROR(FIND(" ",B662)-1,LEN(B662)))))</f>
        <v/>
      </c>
      <c r="W662" s="22"/>
      <c r="X662" s="5" t="str">
        <f aca="false">IF(A662="","",IF(W662&lt;&gt;"",W662,V662))</f>
        <v/>
      </c>
      <c r="Y662" s="5" t="str">
        <f aca="false">IF(A662="","",IF(COUNTIFS($X$2:$X$2001,X662,$D$2:$D$2001,"&lt;&gt;"&amp;D662,$C$2:$C$2001,C662)&gt;0,"SIM","NAO"))</f>
        <v/>
      </c>
      <c r="Z662" s="5" t="str">
        <f aca="false">IF(A662="","",IF(J662="","",IFERROR(360/J662,"")))</f>
        <v/>
      </c>
      <c r="AA662" s="5" t="str">
        <f aca="false">IF(A662="","",IF(H662=0,"Parado (sem venda 90d)",IF(Z662&gt;12,"Alto (&gt;12x/ano)",IF(Z662&gt;=4,"Medio (4-12x/ano)","Baixo (&lt;4x/ano)"))))</f>
        <v/>
      </c>
    </row>
    <row r="663" customFormat="false" ht="15" hidden="false" customHeight="true" outlineLevel="0" collapsed="false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18"/>
      <c r="L663" s="19" t="str">
        <f aca="false">IF(A663="","",G663*K663)</f>
        <v/>
      </c>
      <c r="M663" s="20"/>
      <c r="N663" s="6"/>
      <c r="O663" s="6"/>
      <c r="P663" s="5" t="str">
        <f aca="false">IF(A663="","",H663/90)</f>
        <v/>
      </c>
      <c r="Q663" s="5" t="str">
        <f aca="false">IF(A663="","",IFERROR(INDEX(Parâmetros!$C$6:$C$10,MATCH(F663,Parâmetros!$B$6:$B$10,0)),""))</f>
        <v/>
      </c>
      <c r="R663" s="5" t="str">
        <f aca="false">IF(OR(A663="",P663="",Q663=""),"",P663*Q663)</f>
        <v/>
      </c>
      <c r="S663" s="5" t="str">
        <f aca="false">IF(R663="","",MAX(0,R663-G663))</f>
        <v/>
      </c>
      <c r="T663" s="21" t="str">
        <f aca="false">IF(S663="","",S663*K663)</f>
        <v/>
      </c>
      <c r="U663" s="5" t="str">
        <f aca="false">IF(A663="","",IF(J663&gt;Parâmetros!$C$14,"SIM","NAO"))</f>
        <v/>
      </c>
      <c r="V663" s="5" t="str">
        <f aca="false">IF(B663="","",TRIM(LEFT(B663,IFERROR(FIND(" ",B663)-1,LEN(B663)))))</f>
        <v/>
      </c>
      <c r="W663" s="22"/>
      <c r="X663" s="5" t="str">
        <f aca="false">IF(A663="","",IF(W663&lt;&gt;"",W663,V663))</f>
        <v/>
      </c>
      <c r="Y663" s="5" t="str">
        <f aca="false">IF(A663="","",IF(COUNTIFS($X$2:$X$2001,X663,$D$2:$D$2001,"&lt;&gt;"&amp;D663,$C$2:$C$2001,C663)&gt;0,"SIM","NAO"))</f>
        <v/>
      </c>
      <c r="Z663" s="5" t="str">
        <f aca="false">IF(A663="","",IF(J663="","",IFERROR(360/J663,"")))</f>
        <v/>
      </c>
      <c r="AA663" s="5" t="str">
        <f aca="false">IF(A663="","",IF(H663=0,"Parado (sem venda 90d)",IF(Z663&gt;12,"Alto (&gt;12x/ano)",IF(Z663&gt;=4,"Medio (4-12x/ano)","Baixo (&lt;4x/ano)"))))</f>
        <v/>
      </c>
    </row>
    <row r="664" customFormat="false" ht="15" hidden="false" customHeight="true" outlineLevel="0" collapsed="false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18"/>
      <c r="L664" s="19" t="str">
        <f aca="false">IF(A664="","",G664*K664)</f>
        <v/>
      </c>
      <c r="M664" s="20"/>
      <c r="N664" s="6"/>
      <c r="O664" s="6"/>
      <c r="P664" s="5" t="str">
        <f aca="false">IF(A664="","",H664/90)</f>
        <v/>
      </c>
      <c r="Q664" s="5" t="str">
        <f aca="false">IF(A664="","",IFERROR(INDEX(Parâmetros!$C$6:$C$10,MATCH(F664,Parâmetros!$B$6:$B$10,0)),""))</f>
        <v/>
      </c>
      <c r="R664" s="5" t="str">
        <f aca="false">IF(OR(A664="",P664="",Q664=""),"",P664*Q664)</f>
        <v/>
      </c>
      <c r="S664" s="5" t="str">
        <f aca="false">IF(R664="","",MAX(0,R664-G664))</f>
        <v/>
      </c>
      <c r="T664" s="21" t="str">
        <f aca="false">IF(S664="","",S664*K664)</f>
        <v/>
      </c>
      <c r="U664" s="5" t="str">
        <f aca="false">IF(A664="","",IF(J664&gt;Parâmetros!$C$14,"SIM","NAO"))</f>
        <v/>
      </c>
      <c r="V664" s="5" t="str">
        <f aca="false">IF(B664="","",TRIM(LEFT(B664,IFERROR(FIND(" ",B664)-1,LEN(B664)))))</f>
        <v/>
      </c>
      <c r="W664" s="22"/>
      <c r="X664" s="5" t="str">
        <f aca="false">IF(A664="","",IF(W664&lt;&gt;"",W664,V664))</f>
        <v/>
      </c>
      <c r="Y664" s="5" t="str">
        <f aca="false">IF(A664="","",IF(COUNTIFS($X$2:$X$2001,X664,$D$2:$D$2001,"&lt;&gt;"&amp;D664,$C$2:$C$2001,C664)&gt;0,"SIM","NAO"))</f>
        <v/>
      </c>
      <c r="Z664" s="5" t="str">
        <f aca="false">IF(A664="","",IF(J664="","",IFERROR(360/J664,"")))</f>
        <v/>
      </c>
      <c r="AA664" s="5" t="str">
        <f aca="false">IF(A664="","",IF(H664=0,"Parado (sem venda 90d)",IF(Z664&gt;12,"Alto (&gt;12x/ano)",IF(Z664&gt;=4,"Medio (4-12x/ano)","Baixo (&lt;4x/ano)"))))</f>
        <v/>
      </c>
    </row>
    <row r="665" customFormat="false" ht="15" hidden="false" customHeight="true" outlineLevel="0" collapsed="false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18"/>
      <c r="L665" s="19" t="str">
        <f aca="false">IF(A665="","",G665*K665)</f>
        <v/>
      </c>
      <c r="M665" s="20"/>
      <c r="N665" s="6"/>
      <c r="O665" s="6"/>
      <c r="P665" s="5" t="str">
        <f aca="false">IF(A665="","",H665/90)</f>
        <v/>
      </c>
      <c r="Q665" s="5" t="str">
        <f aca="false">IF(A665="","",IFERROR(INDEX(Parâmetros!$C$6:$C$10,MATCH(F665,Parâmetros!$B$6:$B$10,0)),""))</f>
        <v/>
      </c>
      <c r="R665" s="5" t="str">
        <f aca="false">IF(OR(A665="",P665="",Q665=""),"",P665*Q665)</f>
        <v/>
      </c>
      <c r="S665" s="5" t="str">
        <f aca="false">IF(R665="","",MAX(0,R665-G665))</f>
        <v/>
      </c>
      <c r="T665" s="21" t="str">
        <f aca="false">IF(S665="","",S665*K665)</f>
        <v/>
      </c>
      <c r="U665" s="5" t="str">
        <f aca="false">IF(A665="","",IF(J665&gt;Parâmetros!$C$14,"SIM","NAO"))</f>
        <v/>
      </c>
      <c r="V665" s="5" t="str">
        <f aca="false">IF(B665="","",TRIM(LEFT(B665,IFERROR(FIND(" ",B665)-1,LEN(B665)))))</f>
        <v/>
      </c>
      <c r="W665" s="22"/>
      <c r="X665" s="5" t="str">
        <f aca="false">IF(A665="","",IF(W665&lt;&gt;"",W665,V665))</f>
        <v/>
      </c>
      <c r="Y665" s="5" t="str">
        <f aca="false">IF(A665="","",IF(COUNTIFS($X$2:$X$2001,X665,$D$2:$D$2001,"&lt;&gt;"&amp;D665,$C$2:$C$2001,C665)&gt;0,"SIM","NAO"))</f>
        <v/>
      </c>
      <c r="Z665" s="5" t="str">
        <f aca="false">IF(A665="","",IF(J665="","",IFERROR(360/J665,"")))</f>
        <v/>
      </c>
      <c r="AA665" s="5" t="str">
        <f aca="false">IF(A665="","",IF(H665=0,"Parado (sem venda 90d)",IF(Z665&gt;12,"Alto (&gt;12x/ano)",IF(Z665&gt;=4,"Medio (4-12x/ano)","Baixo (&lt;4x/ano)"))))</f>
        <v/>
      </c>
    </row>
    <row r="666" customFormat="false" ht="15" hidden="false" customHeight="true" outlineLevel="0" collapsed="false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18"/>
      <c r="L666" s="19" t="str">
        <f aca="false">IF(A666="","",G666*K666)</f>
        <v/>
      </c>
      <c r="M666" s="20"/>
      <c r="N666" s="6"/>
      <c r="O666" s="6"/>
      <c r="P666" s="5" t="str">
        <f aca="false">IF(A666="","",H666/90)</f>
        <v/>
      </c>
      <c r="Q666" s="5" t="str">
        <f aca="false">IF(A666="","",IFERROR(INDEX(Parâmetros!$C$6:$C$10,MATCH(F666,Parâmetros!$B$6:$B$10,0)),""))</f>
        <v/>
      </c>
      <c r="R666" s="5" t="str">
        <f aca="false">IF(OR(A666="",P666="",Q666=""),"",P666*Q666)</f>
        <v/>
      </c>
      <c r="S666" s="5" t="str">
        <f aca="false">IF(R666="","",MAX(0,R666-G666))</f>
        <v/>
      </c>
      <c r="T666" s="21" t="str">
        <f aca="false">IF(S666="","",S666*K666)</f>
        <v/>
      </c>
      <c r="U666" s="5" t="str">
        <f aca="false">IF(A666="","",IF(J666&gt;Parâmetros!$C$14,"SIM","NAO"))</f>
        <v/>
      </c>
      <c r="V666" s="5" t="str">
        <f aca="false">IF(B666="","",TRIM(LEFT(B666,IFERROR(FIND(" ",B666)-1,LEN(B666)))))</f>
        <v/>
      </c>
      <c r="W666" s="22"/>
      <c r="X666" s="5" t="str">
        <f aca="false">IF(A666="","",IF(W666&lt;&gt;"",W666,V666))</f>
        <v/>
      </c>
      <c r="Y666" s="5" t="str">
        <f aca="false">IF(A666="","",IF(COUNTIFS($X$2:$X$2001,X666,$D$2:$D$2001,"&lt;&gt;"&amp;D666,$C$2:$C$2001,C666)&gt;0,"SIM","NAO"))</f>
        <v/>
      </c>
      <c r="Z666" s="5" t="str">
        <f aca="false">IF(A666="","",IF(J666="","",IFERROR(360/J666,"")))</f>
        <v/>
      </c>
      <c r="AA666" s="5" t="str">
        <f aca="false">IF(A666="","",IF(H666=0,"Parado (sem venda 90d)",IF(Z666&gt;12,"Alto (&gt;12x/ano)",IF(Z666&gt;=4,"Medio (4-12x/ano)","Baixo (&lt;4x/ano)"))))</f>
        <v/>
      </c>
    </row>
    <row r="667" customFormat="false" ht="15" hidden="false" customHeight="true" outlineLevel="0" collapsed="false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18"/>
      <c r="L667" s="19" t="str">
        <f aca="false">IF(A667="","",G667*K667)</f>
        <v/>
      </c>
      <c r="M667" s="20"/>
      <c r="N667" s="6"/>
      <c r="O667" s="6"/>
      <c r="P667" s="5" t="str">
        <f aca="false">IF(A667="","",H667/90)</f>
        <v/>
      </c>
      <c r="Q667" s="5" t="str">
        <f aca="false">IF(A667="","",IFERROR(INDEX(Parâmetros!$C$6:$C$10,MATCH(F667,Parâmetros!$B$6:$B$10,0)),""))</f>
        <v/>
      </c>
      <c r="R667" s="5" t="str">
        <f aca="false">IF(OR(A667="",P667="",Q667=""),"",P667*Q667)</f>
        <v/>
      </c>
      <c r="S667" s="5" t="str">
        <f aca="false">IF(R667="","",MAX(0,R667-G667))</f>
        <v/>
      </c>
      <c r="T667" s="21" t="str">
        <f aca="false">IF(S667="","",S667*K667)</f>
        <v/>
      </c>
      <c r="U667" s="5" t="str">
        <f aca="false">IF(A667="","",IF(J667&gt;Parâmetros!$C$14,"SIM","NAO"))</f>
        <v/>
      </c>
      <c r="V667" s="5" t="str">
        <f aca="false">IF(B667="","",TRIM(LEFT(B667,IFERROR(FIND(" ",B667)-1,LEN(B667)))))</f>
        <v/>
      </c>
      <c r="W667" s="22"/>
      <c r="X667" s="5" t="str">
        <f aca="false">IF(A667="","",IF(W667&lt;&gt;"",W667,V667))</f>
        <v/>
      </c>
      <c r="Y667" s="5" t="str">
        <f aca="false">IF(A667="","",IF(COUNTIFS($X$2:$X$2001,X667,$D$2:$D$2001,"&lt;&gt;"&amp;D667,$C$2:$C$2001,C667)&gt;0,"SIM","NAO"))</f>
        <v/>
      </c>
      <c r="Z667" s="5" t="str">
        <f aca="false">IF(A667="","",IF(J667="","",IFERROR(360/J667,"")))</f>
        <v/>
      </c>
      <c r="AA667" s="5" t="str">
        <f aca="false">IF(A667="","",IF(H667=0,"Parado (sem venda 90d)",IF(Z667&gt;12,"Alto (&gt;12x/ano)",IF(Z667&gt;=4,"Medio (4-12x/ano)","Baixo (&lt;4x/ano)"))))</f>
        <v/>
      </c>
    </row>
    <row r="668" customFormat="false" ht="15" hidden="false" customHeight="true" outlineLevel="0" collapsed="false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18"/>
      <c r="L668" s="19" t="str">
        <f aca="false">IF(A668="","",G668*K668)</f>
        <v/>
      </c>
      <c r="M668" s="20"/>
      <c r="N668" s="6"/>
      <c r="O668" s="6"/>
      <c r="P668" s="5" t="str">
        <f aca="false">IF(A668="","",H668/90)</f>
        <v/>
      </c>
      <c r="Q668" s="5" t="str">
        <f aca="false">IF(A668="","",IFERROR(INDEX(Parâmetros!$C$6:$C$10,MATCH(F668,Parâmetros!$B$6:$B$10,0)),""))</f>
        <v/>
      </c>
      <c r="R668" s="5" t="str">
        <f aca="false">IF(OR(A668="",P668="",Q668=""),"",P668*Q668)</f>
        <v/>
      </c>
      <c r="S668" s="5" t="str">
        <f aca="false">IF(R668="","",MAX(0,R668-G668))</f>
        <v/>
      </c>
      <c r="T668" s="21" t="str">
        <f aca="false">IF(S668="","",S668*K668)</f>
        <v/>
      </c>
      <c r="U668" s="5" t="str">
        <f aca="false">IF(A668="","",IF(J668&gt;Parâmetros!$C$14,"SIM","NAO"))</f>
        <v/>
      </c>
      <c r="V668" s="5" t="str">
        <f aca="false">IF(B668="","",TRIM(LEFT(B668,IFERROR(FIND(" ",B668)-1,LEN(B668)))))</f>
        <v/>
      </c>
      <c r="W668" s="22"/>
      <c r="X668" s="5" t="str">
        <f aca="false">IF(A668="","",IF(W668&lt;&gt;"",W668,V668))</f>
        <v/>
      </c>
      <c r="Y668" s="5" t="str">
        <f aca="false">IF(A668="","",IF(COUNTIFS($X$2:$X$2001,X668,$D$2:$D$2001,"&lt;&gt;"&amp;D668,$C$2:$C$2001,C668)&gt;0,"SIM","NAO"))</f>
        <v/>
      </c>
      <c r="Z668" s="5" t="str">
        <f aca="false">IF(A668="","",IF(J668="","",IFERROR(360/J668,"")))</f>
        <v/>
      </c>
      <c r="AA668" s="5" t="str">
        <f aca="false">IF(A668="","",IF(H668=0,"Parado (sem venda 90d)",IF(Z668&gt;12,"Alto (&gt;12x/ano)",IF(Z668&gt;=4,"Medio (4-12x/ano)","Baixo (&lt;4x/ano)"))))</f>
        <v/>
      </c>
    </row>
    <row r="669" customFormat="false" ht="15" hidden="false" customHeight="true" outlineLevel="0" collapsed="false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18"/>
      <c r="L669" s="19" t="str">
        <f aca="false">IF(A669="","",G669*K669)</f>
        <v/>
      </c>
      <c r="M669" s="20"/>
      <c r="N669" s="6"/>
      <c r="O669" s="6"/>
      <c r="P669" s="5" t="str">
        <f aca="false">IF(A669="","",H669/90)</f>
        <v/>
      </c>
      <c r="Q669" s="5" t="str">
        <f aca="false">IF(A669="","",IFERROR(INDEX(Parâmetros!$C$6:$C$10,MATCH(F669,Parâmetros!$B$6:$B$10,0)),""))</f>
        <v/>
      </c>
      <c r="R669" s="5" t="str">
        <f aca="false">IF(OR(A669="",P669="",Q669=""),"",P669*Q669)</f>
        <v/>
      </c>
      <c r="S669" s="5" t="str">
        <f aca="false">IF(R669="","",MAX(0,R669-G669))</f>
        <v/>
      </c>
      <c r="T669" s="21" t="str">
        <f aca="false">IF(S669="","",S669*K669)</f>
        <v/>
      </c>
      <c r="U669" s="5" t="str">
        <f aca="false">IF(A669="","",IF(J669&gt;Parâmetros!$C$14,"SIM","NAO"))</f>
        <v/>
      </c>
      <c r="V669" s="5" t="str">
        <f aca="false">IF(B669="","",TRIM(LEFT(B669,IFERROR(FIND(" ",B669)-1,LEN(B669)))))</f>
        <v/>
      </c>
      <c r="W669" s="22"/>
      <c r="X669" s="5" t="str">
        <f aca="false">IF(A669="","",IF(W669&lt;&gt;"",W669,V669))</f>
        <v/>
      </c>
      <c r="Y669" s="5" t="str">
        <f aca="false">IF(A669="","",IF(COUNTIFS($X$2:$X$2001,X669,$D$2:$D$2001,"&lt;&gt;"&amp;D669,$C$2:$C$2001,C669)&gt;0,"SIM","NAO"))</f>
        <v/>
      </c>
      <c r="Z669" s="5" t="str">
        <f aca="false">IF(A669="","",IF(J669="","",IFERROR(360/J669,"")))</f>
        <v/>
      </c>
      <c r="AA669" s="5" t="str">
        <f aca="false">IF(A669="","",IF(H669=0,"Parado (sem venda 90d)",IF(Z669&gt;12,"Alto (&gt;12x/ano)",IF(Z669&gt;=4,"Medio (4-12x/ano)","Baixo (&lt;4x/ano)"))))</f>
        <v/>
      </c>
    </row>
    <row r="670" customFormat="false" ht="15" hidden="false" customHeight="true" outlineLevel="0" collapsed="false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18"/>
      <c r="L670" s="19" t="str">
        <f aca="false">IF(A670="","",G670*K670)</f>
        <v/>
      </c>
      <c r="M670" s="20"/>
      <c r="N670" s="6"/>
      <c r="O670" s="6"/>
      <c r="P670" s="5" t="str">
        <f aca="false">IF(A670="","",H670/90)</f>
        <v/>
      </c>
      <c r="Q670" s="5" t="str">
        <f aca="false">IF(A670="","",IFERROR(INDEX(Parâmetros!$C$6:$C$10,MATCH(F670,Parâmetros!$B$6:$B$10,0)),""))</f>
        <v/>
      </c>
      <c r="R670" s="5" t="str">
        <f aca="false">IF(OR(A670="",P670="",Q670=""),"",P670*Q670)</f>
        <v/>
      </c>
      <c r="S670" s="5" t="str">
        <f aca="false">IF(R670="","",MAX(0,R670-G670))</f>
        <v/>
      </c>
      <c r="T670" s="21" t="str">
        <f aca="false">IF(S670="","",S670*K670)</f>
        <v/>
      </c>
      <c r="U670" s="5" t="str">
        <f aca="false">IF(A670="","",IF(J670&gt;Parâmetros!$C$14,"SIM","NAO"))</f>
        <v/>
      </c>
      <c r="V670" s="5" t="str">
        <f aca="false">IF(B670="","",TRIM(LEFT(B670,IFERROR(FIND(" ",B670)-1,LEN(B670)))))</f>
        <v/>
      </c>
      <c r="W670" s="22"/>
      <c r="X670" s="5" t="str">
        <f aca="false">IF(A670="","",IF(W670&lt;&gt;"",W670,V670))</f>
        <v/>
      </c>
      <c r="Y670" s="5" t="str">
        <f aca="false">IF(A670="","",IF(COUNTIFS($X$2:$X$2001,X670,$D$2:$D$2001,"&lt;&gt;"&amp;D670,$C$2:$C$2001,C670)&gt;0,"SIM","NAO"))</f>
        <v/>
      </c>
      <c r="Z670" s="5" t="str">
        <f aca="false">IF(A670="","",IF(J670="","",IFERROR(360/J670,"")))</f>
        <v/>
      </c>
      <c r="AA670" s="5" t="str">
        <f aca="false">IF(A670="","",IF(H670=0,"Parado (sem venda 90d)",IF(Z670&gt;12,"Alto (&gt;12x/ano)",IF(Z670&gt;=4,"Medio (4-12x/ano)","Baixo (&lt;4x/ano)"))))</f>
        <v/>
      </c>
    </row>
    <row r="671" customFormat="false" ht="15" hidden="false" customHeight="true" outlineLevel="0" collapsed="false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18"/>
      <c r="L671" s="19" t="str">
        <f aca="false">IF(A671="","",G671*K671)</f>
        <v/>
      </c>
      <c r="M671" s="20"/>
      <c r="N671" s="6"/>
      <c r="O671" s="6"/>
      <c r="P671" s="5" t="str">
        <f aca="false">IF(A671="","",H671/90)</f>
        <v/>
      </c>
      <c r="Q671" s="5" t="str">
        <f aca="false">IF(A671="","",IFERROR(INDEX(Parâmetros!$C$6:$C$10,MATCH(F671,Parâmetros!$B$6:$B$10,0)),""))</f>
        <v/>
      </c>
      <c r="R671" s="5" t="str">
        <f aca="false">IF(OR(A671="",P671="",Q671=""),"",P671*Q671)</f>
        <v/>
      </c>
      <c r="S671" s="5" t="str">
        <f aca="false">IF(R671="","",MAX(0,R671-G671))</f>
        <v/>
      </c>
      <c r="T671" s="21" t="str">
        <f aca="false">IF(S671="","",S671*K671)</f>
        <v/>
      </c>
      <c r="U671" s="5" t="str">
        <f aca="false">IF(A671="","",IF(J671&gt;Parâmetros!$C$14,"SIM","NAO"))</f>
        <v/>
      </c>
      <c r="V671" s="5" t="str">
        <f aca="false">IF(B671="","",TRIM(LEFT(B671,IFERROR(FIND(" ",B671)-1,LEN(B671)))))</f>
        <v/>
      </c>
      <c r="W671" s="22"/>
      <c r="X671" s="5" t="str">
        <f aca="false">IF(A671="","",IF(W671&lt;&gt;"",W671,V671))</f>
        <v/>
      </c>
      <c r="Y671" s="5" t="str">
        <f aca="false">IF(A671="","",IF(COUNTIFS($X$2:$X$2001,X671,$D$2:$D$2001,"&lt;&gt;"&amp;D671,$C$2:$C$2001,C671)&gt;0,"SIM","NAO"))</f>
        <v/>
      </c>
      <c r="Z671" s="5" t="str">
        <f aca="false">IF(A671="","",IF(J671="","",IFERROR(360/J671,"")))</f>
        <v/>
      </c>
      <c r="AA671" s="5" t="str">
        <f aca="false">IF(A671="","",IF(H671=0,"Parado (sem venda 90d)",IF(Z671&gt;12,"Alto (&gt;12x/ano)",IF(Z671&gt;=4,"Medio (4-12x/ano)","Baixo (&lt;4x/ano)"))))</f>
        <v/>
      </c>
    </row>
    <row r="672" customFormat="false" ht="15" hidden="false" customHeight="true" outlineLevel="0" collapsed="false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18"/>
      <c r="L672" s="19" t="str">
        <f aca="false">IF(A672="","",G672*K672)</f>
        <v/>
      </c>
      <c r="M672" s="20"/>
      <c r="N672" s="6"/>
      <c r="O672" s="6"/>
      <c r="P672" s="5" t="str">
        <f aca="false">IF(A672="","",H672/90)</f>
        <v/>
      </c>
      <c r="Q672" s="5" t="str">
        <f aca="false">IF(A672="","",IFERROR(INDEX(Parâmetros!$C$6:$C$10,MATCH(F672,Parâmetros!$B$6:$B$10,0)),""))</f>
        <v/>
      </c>
      <c r="R672" s="5" t="str">
        <f aca="false">IF(OR(A672="",P672="",Q672=""),"",P672*Q672)</f>
        <v/>
      </c>
      <c r="S672" s="5" t="str">
        <f aca="false">IF(R672="","",MAX(0,R672-G672))</f>
        <v/>
      </c>
      <c r="T672" s="21" t="str">
        <f aca="false">IF(S672="","",S672*K672)</f>
        <v/>
      </c>
      <c r="U672" s="5" t="str">
        <f aca="false">IF(A672="","",IF(J672&gt;Parâmetros!$C$14,"SIM","NAO"))</f>
        <v/>
      </c>
      <c r="V672" s="5" t="str">
        <f aca="false">IF(B672="","",TRIM(LEFT(B672,IFERROR(FIND(" ",B672)-1,LEN(B672)))))</f>
        <v/>
      </c>
      <c r="W672" s="22"/>
      <c r="X672" s="5" t="str">
        <f aca="false">IF(A672="","",IF(W672&lt;&gt;"",W672,V672))</f>
        <v/>
      </c>
      <c r="Y672" s="5" t="str">
        <f aca="false">IF(A672="","",IF(COUNTIFS($X$2:$X$2001,X672,$D$2:$D$2001,"&lt;&gt;"&amp;D672,$C$2:$C$2001,C672)&gt;0,"SIM","NAO"))</f>
        <v/>
      </c>
      <c r="Z672" s="5" t="str">
        <f aca="false">IF(A672="","",IF(J672="","",IFERROR(360/J672,"")))</f>
        <v/>
      </c>
      <c r="AA672" s="5" t="str">
        <f aca="false">IF(A672="","",IF(H672=0,"Parado (sem venda 90d)",IF(Z672&gt;12,"Alto (&gt;12x/ano)",IF(Z672&gt;=4,"Medio (4-12x/ano)","Baixo (&lt;4x/ano)"))))</f>
        <v/>
      </c>
    </row>
    <row r="673" customFormat="false" ht="15" hidden="false" customHeight="true" outlineLevel="0" collapsed="false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18"/>
      <c r="L673" s="19" t="str">
        <f aca="false">IF(A673="","",G673*K673)</f>
        <v/>
      </c>
      <c r="M673" s="20"/>
      <c r="N673" s="6"/>
      <c r="O673" s="6"/>
      <c r="P673" s="5" t="str">
        <f aca="false">IF(A673="","",H673/90)</f>
        <v/>
      </c>
      <c r="Q673" s="5" t="str">
        <f aca="false">IF(A673="","",IFERROR(INDEX(Parâmetros!$C$6:$C$10,MATCH(F673,Parâmetros!$B$6:$B$10,0)),""))</f>
        <v/>
      </c>
      <c r="R673" s="5" t="str">
        <f aca="false">IF(OR(A673="",P673="",Q673=""),"",P673*Q673)</f>
        <v/>
      </c>
      <c r="S673" s="5" t="str">
        <f aca="false">IF(R673="","",MAX(0,R673-G673))</f>
        <v/>
      </c>
      <c r="T673" s="21" t="str">
        <f aca="false">IF(S673="","",S673*K673)</f>
        <v/>
      </c>
      <c r="U673" s="5" t="str">
        <f aca="false">IF(A673="","",IF(J673&gt;Parâmetros!$C$14,"SIM","NAO"))</f>
        <v/>
      </c>
      <c r="V673" s="5" t="str">
        <f aca="false">IF(B673="","",TRIM(LEFT(B673,IFERROR(FIND(" ",B673)-1,LEN(B673)))))</f>
        <v/>
      </c>
      <c r="W673" s="22"/>
      <c r="X673" s="5" t="str">
        <f aca="false">IF(A673="","",IF(W673&lt;&gt;"",W673,V673))</f>
        <v/>
      </c>
      <c r="Y673" s="5" t="str">
        <f aca="false">IF(A673="","",IF(COUNTIFS($X$2:$X$2001,X673,$D$2:$D$2001,"&lt;&gt;"&amp;D673,$C$2:$C$2001,C673)&gt;0,"SIM","NAO"))</f>
        <v/>
      </c>
      <c r="Z673" s="5" t="str">
        <f aca="false">IF(A673="","",IF(J673="","",IFERROR(360/J673,"")))</f>
        <v/>
      </c>
      <c r="AA673" s="5" t="str">
        <f aca="false">IF(A673="","",IF(H673=0,"Parado (sem venda 90d)",IF(Z673&gt;12,"Alto (&gt;12x/ano)",IF(Z673&gt;=4,"Medio (4-12x/ano)","Baixo (&lt;4x/ano)"))))</f>
        <v/>
      </c>
    </row>
    <row r="674" customFormat="false" ht="15" hidden="false" customHeight="true" outlineLevel="0" collapsed="false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18"/>
      <c r="L674" s="19" t="str">
        <f aca="false">IF(A674="","",G674*K674)</f>
        <v/>
      </c>
      <c r="M674" s="20"/>
      <c r="N674" s="6"/>
      <c r="O674" s="6"/>
      <c r="P674" s="5" t="str">
        <f aca="false">IF(A674="","",H674/90)</f>
        <v/>
      </c>
      <c r="Q674" s="5" t="str">
        <f aca="false">IF(A674="","",IFERROR(INDEX(Parâmetros!$C$6:$C$10,MATCH(F674,Parâmetros!$B$6:$B$10,0)),""))</f>
        <v/>
      </c>
      <c r="R674" s="5" t="str">
        <f aca="false">IF(OR(A674="",P674="",Q674=""),"",P674*Q674)</f>
        <v/>
      </c>
      <c r="S674" s="5" t="str">
        <f aca="false">IF(R674="","",MAX(0,R674-G674))</f>
        <v/>
      </c>
      <c r="T674" s="21" t="str">
        <f aca="false">IF(S674="","",S674*K674)</f>
        <v/>
      </c>
      <c r="U674" s="5" t="str">
        <f aca="false">IF(A674="","",IF(J674&gt;Parâmetros!$C$14,"SIM","NAO"))</f>
        <v/>
      </c>
      <c r="V674" s="5" t="str">
        <f aca="false">IF(B674="","",TRIM(LEFT(B674,IFERROR(FIND(" ",B674)-1,LEN(B674)))))</f>
        <v/>
      </c>
      <c r="W674" s="22"/>
      <c r="X674" s="5" t="str">
        <f aca="false">IF(A674="","",IF(W674&lt;&gt;"",W674,V674))</f>
        <v/>
      </c>
      <c r="Y674" s="5" t="str">
        <f aca="false">IF(A674="","",IF(COUNTIFS($X$2:$X$2001,X674,$D$2:$D$2001,"&lt;&gt;"&amp;D674,$C$2:$C$2001,C674)&gt;0,"SIM","NAO"))</f>
        <v/>
      </c>
      <c r="Z674" s="5" t="str">
        <f aca="false">IF(A674="","",IF(J674="","",IFERROR(360/J674,"")))</f>
        <v/>
      </c>
      <c r="AA674" s="5" t="str">
        <f aca="false">IF(A674="","",IF(H674=0,"Parado (sem venda 90d)",IF(Z674&gt;12,"Alto (&gt;12x/ano)",IF(Z674&gt;=4,"Medio (4-12x/ano)","Baixo (&lt;4x/ano)"))))</f>
        <v/>
      </c>
    </row>
    <row r="675" customFormat="false" ht="15" hidden="false" customHeight="true" outlineLevel="0" collapsed="false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18"/>
      <c r="L675" s="19" t="str">
        <f aca="false">IF(A675="","",G675*K675)</f>
        <v/>
      </c>
      <c r="M675" s="20"/>
      <c r="N675" s="6"/>
      <c r="O675" s="6"/>
      <c r="P675" s="5" t="str">
        <f aca="false">IF(A675="","",H675/90)</f>
        <v/>
      </c>
      <c r="Q675" s="5" t="str">
        <f aca="false">IF(A675="","",IFERROR(INDEX(Parâmetros!$C$6:$C$10,MATCH(F675,Parâmetros!$B$6:$B$10,0)),""))</f>
        <v/>
      </c>
      <c r="R675" s="5" t="str">
        <f aca="false">IF(OR(A675="",P675="",Q675=""),"",P675*Q675)</f>
        <v/>
      </c>
      <c r="S675" s="5" t="str">
        <f aca="false">IF(R675="","",MAX(0,R675-G675))</f>
        <v/>
      </c>
      <c r="T675" s="21" t="str">
        <f aca="false">IF(S675="","",S675*K675)</f>
        <v/>
      </c>
      <c r="U675" s="5" t="str">
        <f aca="false">IF(A675="","",IF(J675&gt;Parâmetros!$C$14,"SIM","NAO"))</f>
        <v/>
      </c>
      <c r="V675" s="5" t="str">
        <f aca="false">IF(B675="","",TRIM(LEFT(B675,IFERROR(FIND(" ",B675)-1,LEN(B675)))))</f>
        <v/>
      </c>
      <c r="W675" s="22"/>
      <c r="X675" s="5" t="str">
        <f aca="false">IF(A675="","",IF(W675&lt;&gt;"",W675,V675))</f>
        <v/>
      </c>
      <c r="Y675" s="5" t="str">
        <f aca="false">IF(A675="","",IF(COUNTIFS($X$2:$X$2001,X675,$D$2:$D$2001,"&lt;&gt;"&amp;D675,$C$2:$C$2001,C675)&gt;0,"SIM","NAO"))</f>
        <v/>
      </c>
      <c r="Z675" s="5" t="str">
        <f aca="false">IF(A675="","",IF(J675="","",IFERROR(360/J675,"")))</f>
        <v/>
      </c>
      <c r="AA675" s="5" t="str">
        <f aca="false">IF(A675="","",IF(H675=0,"Parado (sem venda 90d)",IF(Z675&gt;12,"Alto (&gt;12x/ano)",IF(Z675&gt;=4,"Medio (4-12x/ano)","Baixo (&lt;4x/ano)"))))</f>
        <v/>
      </c>
    </row>
    <row r="676" customFormat="false" ht="15" hidden="false" customHeight="true" outlineLevel="0" collapsed="false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18"/>
      <c r="L676" s="19" t="str">
        <f aca="false">IF(A676="","",G676*K676)</f>
        <v/>
      </c>
      <c r="M676" s="20"/>
      <c r="N676" s="6"/>
      <c r="O676" s="6"/>
      <c r="P676" s="5" t="str">
        <f aca="false">IF(A676="","",H676/90)</f>
        <v/>
      </c>
      <c r="Q676" s="5" t="str">
        <f aca="false">IF(A676="","",IFERROR(INDEX(Parâmetros!$C$6:$C$10,MATCH(F676,Parâmetros!$B$6:$B$10,0)),""))</f>
        <v/>
      </c>
      <c r="R676" s="5" t="str">
        <f aca="false">IF(OR(A676="",P676="",Q676=""),"",P676*Q676)</f>
        <v/>
      </c>
      <c r="S676" s="5" t="str">
        <f aca="false">IF(R676="","",MAX(0,R676-G676))</f>
        <v/>
      </c>
      <c r="T676" s="21" t="str">
        <f aca="false">IF(S676="","",S676*K676)</f>
        <v/>
      </c>
      <c r="U676" s="5" t="str">
        <f aca="false">IF(A676="","",IF(J676&gt;Parâmetros!$C$14,"SIM","NAO"))</f>
        <v/>
      </c>
      <c r="V676" s="5" t="str">
        <f aca="false">IF(B676="","",TRIM(LEFT(B676,IFERROR(FIND(" ",B676)-1,LEN(B676)))))</f>
        <v/>
      </c>
      <c r="W676" s="22"/>
      <c r="X676" s="5" t="str">
        <f aca="false">IF(A676="","",IF(W676&lt;&gt;"",W676,V676))</f>
        <v/>
      </c>
      <c r="Y676" s="5" t="str">
        <f aca="false">IF(A676="","",IF(COUNTIFS($X$2:$X$2001,X676,$D$2:$D$2001,"&lt;&gt;"&amp;D676,$C$2:$C$2001,C676)&gt;0,"SIM","NAO"))</f>
        <v/>
      </c>
      <c r="Z676" s="5" t="str">
        <f aca="false">IF(A676="","",IF(J676="","",IFERROR(360/J676,"")))</f>
        <v/>
      </c>
      <c r="AA676" s="5" t="str">
        <f aca="false">IF(A676="","",IF(H676=0,"Parado (sem venda 90d)",IF(Z676&gt;12,"Alto (&gt;12x/ano)",IF(Z676&gt;=4,"Medio (4-12x/ano)","Baixo (&lt;4x/ano)"))))</f>
        <v/>
      </c>
    </row>
    <row r="677" customFormat="false" ht="15" hidden="false" customHeight="true" outlineLevel="0" collapsed="false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18"/>
      <c r="L677" s="19" t="str">
        <f aca="false">IF(A677="","",G677*K677)</f>
        <v/>
      </c>
      <c r="M677" s="20"/>
      <c r="N677" s="6"/>
      <c r="O677" s="6"/>
      <c r="P677" s="5" t="str">
        <f aca="false">IF(A677="","",H677/90)</f>
        <v/>
      </c>
      <c r="Q677" s="5" t="str">
        <f aca="false">IF(A677="","",IFERROR(INDEX(Parâmetros!$C$6:$C$10,MATCH(F677,Parâmetros!$B$6:$B$10,0)),""))</f>
        <v/>
      </c>
      <c r="R677" s="5" t="str">
        <f aca="false">IF(OR(A677="",P677="",Q677=""),"",P677*Q677)</f>
        <v/>
      </c>
      <c r="S677" s="5" t="str">
        <f aca="false">IF(R677="","",MAX(0,R677-G677))</f>
        <v/>
      </c>
      <c r="T677" s="21" t="str">
        <f aca="false">IF(S677="","",S677*K677)</f>
        <v/>
      </c>
      <c r="U677" s="5" t="str">
        <f aca="false">IF(A677="","",IF(J677&gt;Parâmetros!$C$14,"SIM","NAO"))</f>
        <v/>
      </c>
      <c r="V677" s="5" t="str">
        <f aca="false">IF(B677="","",TRIM(LEFT(B677,IFERROR(FIND(" ",B677)-1,LEN(B677)))))</f>
        <v/>
      </c>
      <c r="W677" s="22"/>
      <c r="X677" s="5" t="str">
        <f aca="false">IF(A677="","",IF(W677&lt;&gt;"",W677,V677))</f>
        <v/>
      </c>
      <c r="Y677" s="5" t="str">
        <f aca="false">IF(A677="","",IF(COUNTIFS($X$2:$X$2001,X677,$D$2:$D$2001,"&lt;&gt;"&amp;D677,$C$2:$C$2001,C677)&gt;0,"SIM","NAO"))</f>
        <v/>
      </c>
      <c r="Z677" s="5" t="str">
        <f aca="false">IF(A677="","",IF(J677="","",IFERROR(360/J677,"")))</f>
        <v/>
      </c>
      <c r="AA677" s="5" t="str">
        <f aca="false">IF(A677="","",IF(H677=0,"Parado (sem venda 90d)",IF(Z677&gt;12,"Alto (&gt;12x/ano)",IF(Z677&gt;=4,"Medio (4-12x/ano)","Baixo (&lt;4x/ano)"))))</f>
        <v/>
      </c>
    </row>
    <row r="678" customFormat="false" ht="15" hidden="false" customHeight="true" outlineLevel="0" collapsed="false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18"/>
      <c r="L678" s="19" t="str">
        <f aca="false">IF(A678="","",G678*K678)</f>
        <v/>
      </c>
      <c r="M678" s="20"/>
      <c r="N678" s="6"/>
      <c r="O678" s="6"/>
      <c r="P678" s="5" t="str">
        <f aca="false">IF(A678="","",H678/90)</f>
        <v/>
      </c>
      <c r="Q678" s="5" t="str">
        <f aca="false">IF(A678="","",IFERROR(INDEX(Parâmetros!$C$6:$C$10,MATCH(F678,Parâmetros!$B$6:$B$10,0)),""))</f>
        <v/>
      </c>
      <c r="R678" s="5" t="str">
        <f aca="false">IF(OR(A678="",P678="",Q678=""),"",P678*Q678)</f>
        <v/>
      </c>
      <c r="S678" s="5" t="str">
        <f aca="false">IF(R678="","",MAX(0,R678-G678))</f>
        <v/>
      </c>
      <c r="T678" s="21" t="str">
        <f aca="false">IF(S678="","",S678*K678)</f>
        <v/>
      </c>
      <c r="U678" s="5" t="str">
        <f aca="false">IF(A678="","",IF(J678&gt;Parâmetros!$C$14,"SIM","NAO"))</f>
        <v/>
      </c>
      <c r="V678" s="5" t="str">
        <f aca="false">IF(B678="","",TRIM(LEFT(B678,IFERROR(FIND(" ",B678)-1,LEN(B678)))))</f>
        <v/>
      </c>
      <c r="W678" s="22"/>
      <c r="X678" s="5" t="str">
        <f aca="false">IF(A678="","",IF(W678&lt;&gt;"",W678,V678))</f>
        <v/>
      </c>
      <c r="Y678" s="5" t="str">
        <f aca="false">IF(A678="","",IF(COUNTIFS($X$2:$X$2001,X678,$D$2:$D$2001,"&lt;&gt;"&amp;D678,$C$2:$C$2001,C678)&gt;0,"SIM","NAO"))</f>
        <v/>
      </c>
      <c r="Z678" s="5" t="str">
        <f aca="false">IF(A678="","",IF(J678="","",IFERROR(360/J678,"")))</f>
        <v/>
      </c>
      <c r="AA678" s="5" t="str">
        <f aca="false">IF(A678="","",IF(H678=0,"Parado (sem venda 90d)",IF(Z678&gt;12,"Alto (&gt;12x/ano)",IF(Z678&gt;=4,"Medio (4-12x/ano)","Baixo (&lt;4x/ano)"))))</f>
        <v/>
      </c>
    </row>
    <row r="679" customFormat="false" ht="15" hidden="false" customHeight="true" outlineLevel="0" collapsed="false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18"/>
      <c r="L679" s="19" t="str">
        <f aca="false">IF(A679="","",G679*K679)</f>
        <v/>
      </c>
      <c r="M679" s="20"/>
      <c r="N679" s="6"/>
      <c r="O679" s="6"/>
      <c r="P679" s="5" t="str">
        <f aca="false">IF(A679="","",H679/90)</f>
        <v/>
      </c>
      <c r="Q679" s="5" t="str">
        <f aca="false">IF(A679="","",IFERROR(INDEX(Parâmetros!$C$6:$C$10,MATCH(F679,Parâmetros!$B$6:$B$10,0)),""))</f>
        <v/>
      </c>
      <c r="R679" s="5" t="str">
        <f aca="false">IF(OR(A679="",P679="",Q679=""),"",P679*Q679)</f>
        <v/>
      </c>
      <c r="S679" s="5" t="str">
        <f aca="false">IF(R679="","",MAX(0,R679-G679))</f>
        <v/>
      </c>
      <c r="T679" s="21" t="str">
        <f aca="false">IF(S679="","",S679*K679)</f>
        <v/>
      </c>
      <c r="U679" s="5" t="str">
        <f aca="false">IF(A679="","",IF(J679&gt;Parâmetros!$C$14,"SIM","NAO"))</f>
        <v/>
      </c>
      <c r="V679" s="5" t="str">
        <f aca="false">IF(B679="","",TRIM(LEFT(B679,IFERROR(FIND(" ",B679)-1,LEN(B679)))))</f>
        <v/>
      </c>
      <c r="W679" s="22"/>
      <c r="X679" s="5" t="str">
        <f aca="false">IF(A679="","",IF(W679&lt;&gt;"",W679,V679))</f>
        <v/>
      </c>
      <c r="Y679" s="5" t="str">
        <f aca="false">IF(A679="","",IF(COUNTIFS($X$2:$X$2001,X679,$D$2:$D$2001,"&lt;&gt;"&amp;D679,$C$2:$C$2001,C679)&gt;0,"SIM","NAO"))</f>
        <v/>
      </c>
      <c r="Z679" s="5" t="str">
        <f aca="false">IF(A679="","",IF(J679="","",IFERROR(360/J679,"")))</f>
        <v/>
      </c>
      <c r="AA679" s="5" t="str">
        <f aca="false">IF(A679="","",IF(H679=0,"Parado (sem venda 90d)",IF(Z679&gt;12,"Alto (&gt;12x/ano)",IF(Z679&gt;=4,"Medio (4-12x/ano)","Baixo (&lt;4x/ano)"))))</f>
        <v/>
      </c>
    </row>
    <row r="680" customFormat="false" ht="15" hidden="false" customHeight="true" outlineLevel="0" collapsed="false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18"/>
      <c r="L680" s="19" t="str">
        <f aca="false">IF(A680="","",G680*K680)</f>
        <v/>
      </c>
      <c r="M680" s="20"/>
      <c r="N680" s="6"/>
      <c r="O680" s="6"/>
      <c r="P680" s="5" t="str">
        <f aca="false">IF(A680="","",H680/90)</f>
        <v/>
      </c>
      <c r="Q680" s="5" t="str">
        <f aca="false">IF(A680="","",IFERROR(INDEX(Parâmetros!$C$6:$C$10,MATCH(F680,Parâmetros!$B$6:$B$10,0)),""))</f>
        <v/>
      </c>
      <c r="R680" s="5" t="str">
        <f aca="false">IF(OR(A680="",P680="",Q680=""),"",P680*Q680)</f>
        <v/>
      </c>
      <c r="S680" s="5" t="str">
        <f aca="false">IF(R680="","",MAX(0,R680-G680))</f>
        <v/>
      </c>
      <c r="T680" s="21" t="str">
        <f aca="false">IF(S680="","",S680*K680)</f>
        <v/>
      </c>
      <c r="U680" s="5" t="str">
        <f aca="false">IF(A680="","",IF(J680&gt;Parâmetros!$C$14,"SIM","NAO"))</f>
        <v/>
      </c>
      <c r="V680" s="5" t="str">
        <f aca="false">IF(B680="","",TRIM(LEFT(B680,IFERROR(FIND(" ",B680)-1,LEN(B680)))))</f>
        <v/>
      </c>
      <c r="W680" s="22"/>
      <c r="X680" s="5" t="str">
        <f aca="false">IF(A680="","",IF(W680&lt;&gt;"",W680,V680))</f>
        <v/>
      </c>
      <c r="Y680" s="5" t="str">
        <f aca="false">IF(A680="","",IF(COUNTIFS($X$2:$X$2001,X680,$D$2:$D$2001,"&lt;&gt;"&amp;D680,$C$2:$C$2001,C680)&gt;0,"SIM","NAO"))</f>
        <v/>
      </c>
      <c r="Z680" s="5" t="str">
        <f aca="false">IF(A680="","",IF(J680="","",IFERROR(360/J680,"")))</f>
        <v/>
      </c>
      <c r="AA680" s="5" t="str">
        <f aca="false">IF(A680="","",IF(H680=0,"Parado (sem venda 90d)",IF(Z680&gt;12,"Alto (&gt;12x/ano)",IF(Z680&gt;=4,"Medio (4-12x/ano)","Baixo (&lt;4x/ano)"))))</f>
        <v/>
      </c>
    </row>
    <row r="681" customFormat="false" ht="15" hidden="false" customHeight="true" outlineLevel="0" collapsed="false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18"/>
      <c r="L681" s="19" t="str">
        <f aca="false">IF(A681="","",G681*K681)</f>
        <v/>
      </c>
      <c r="M681" s="20"/>
      <c r="N681" s="6"/>
      <c r="O681" s="6"/>
      <c r="P681" s="5" t="str">
        <f aca="false">IF(A681="","",H681/90)</f>
        <v/>
      </c>
      <c r="Q681" s="5" t="str">
        <f aca="false">IF(A681="","",IFERROR(INDEX(Parâmetros!$C$6:$C$10,MATCH(F681,Parâmetros!$B$6:$B$10,0)),""))</f>
        <v/>
      </c>
      <c r="R681" s="5" t="str">
        <f aca="false">IF(OR(A681="",P681="",Q681=""),"",P681*Q681)</f>
        <v/>
      </c>
      <c r="S681" s="5" t="str">
        <f aca="false">IF(R681="","",MAX(0,R681-G681))</f>
        <v/>
      </c>
      <c r="T681" s="21" t="str">
        <f aca="false">IF(S681="","",S681*K681)</f>
        <v/>
      </c>
      <c r="U681" s="5" t="str">
        <f aca="false">IF(A681="","",IF(J681&gt;Parâmetros!$C$14,"SIM","NAO"))</f>
        <v/>
      </c>
      <c r="V681" s="5" t="str">
        <f aca="false">IF(B681="","",TRIM(LEFT(B681,IFERROR(FIND(" ",B681)-1,LEN(B681)))))</f>
        <v/>
      </c>
      <c r="W681" s="22"/>
      <c r="X681" s="5" t="str">
        <f aca="false">IF(A681="","",IF(W681&lt;&gt;"",W681,V681))</f>
        <v/>
      </c>
      <c r="Y681" s="5" t="str">
        <f aca="false">IF(A681="","",IF(COUNTIFS($X$2:$X$2001,X681,$D$2:$D$2001,"&lt;&gt;"&amp;D681,$C$2:$C$2001,C681)&gt;0,"SIM","NAO"))</f>
        <v/>
      </c>
      <c r="Z681" s="5" t="str">
        <f aca="false">IF(A681="","",IF(J681="","",IFERROR(360/J681,"")))</f>
        <v/>
      </c>
      <c r="AA681" s="5" t="str">
        <f aca="false">IF(A681="","",IF(H681=0,"Parado (sem venda 90d)",IF(Z681&gt;12,"Alto (&gt;12x/ano)",IF(Z681&gt;=4,"Medio (4-12x/ano)","Baixo (&lt;4x/ano)"))))</f>
        <v/>
      </c>
    </row>
    <row r="682" customFormat="false" ht="15" hidden="false" customHeight="true" outlineLevel="0" collapsed="false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18"/>
      <c r="L682" s="19" t="str">
        <f aca="false">IF(A682="","",G682*K682)</f>
        <v/>
      </c>
      <c r="M682" s="20"/>
      <c r="N682" s="6"/>
      <c r="O682" s="6"/>
      <c r="P682" s="5" t="str">
        <f aca="false">IF(A682="","",H682/90)</f>
        <v/>
      </c>
      <c r="Q682" s="5" t="str">
        <f aca="false">IF(A682="","",IFERROR(INDEX(Parâmetros!$C$6:$C$10,MATCH(F682,Parâmetros!$B$6:$B$10,0)),""))</f>
        <v/>
      </c>
      <c r="R682" s="5" t="str">
        <f aca="false">IF(OR(A682="",P682="",Q682=""),"",P682*Q682)</f>
        <v/>
      </c>
      <c r="S682" s="5" t="str">
        <f aca="false">IF(R682="","",MAX(0,R682-G682))</f>
        <v/>
      </c>
      <c r="T682" s="21" t="str">
        <f aca="false">IF(S682="","",S682*K682)</f>
        <v/>
      </c>
      <c r="U682" s="5" t="str">
        <f aca="false">IF(A682="","",IF(J682&gt;Parâmetros!$C$14,"SIM","NAO"))</f>
        <v/>
      </c>
      <c r="V682" s="5" t="str">
        <f aca="false">IF(B682="","",TRIM(LEFT(B682,IFERROR(FIND(" ",B682)-1,LEN(B682)))))</f>
        <v/>
      </c>
      <c r="W682" s="22"/>
      <c r="X682" s="5" t="str">
        <f aca="false">IF(A682="","",IF(W682&lt;&gt;"",W682,V682))</f>
        <v/>
      </c>
      <c r="Y682" s="5" t="str">
        <f aca="false">IF(A682="","",IF(COUNTIFS($X$2:$X$2001,X682,$D$2:$D$2001,"&lt;&gt;"&amp;D682,$C$2:$C$2001,C682)&gt;0,"SIM","NAO"))</f>
        <v/>
      </c>
      <c r="Z682" s="5" t="str">
        <f aca="false">IF(A682="","",IF(J682="","",IFERROR(360/J682,"")))</f>
        <v/>
      </c>
      <c r="AA682" s="5" t="str">
        <f aca="false">IF(A682="","",IF(H682=0,"Parado (sem venda 90d)",IF(Z682&gt;12,"Alto (&gt;12x/ano)",IF(Z682&gt;=4,"Medio (4-12x/ano)","Baixo (&lt;4x/ano)"))))</f>
        <v/>
      </c>
    </row>
    <row r="683" customFormat="false" ht="15" hidden="false" customHeight="true" outlineLevel="0" collapsed="false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18"/>
      <c r="L683" s="19" t="str">
        <f aca="false">IF(A683="","",G683*K683)</f>
        <v/>
      </c>
      <c r="M683" s="20"/>
      <c r="N683" s="6"/>
      <c r="O683" s="6"/>
      <c r="P683" s="5" t="str">
        <f aca="false">IF(A683="","",H683/90)</f>
        <v/>
      </c>
      <c r="Q683" s="5" t="str">
        <f aca="false">IF(A683="","",IFERROR(INDEX(Parâmetros!$C$6:$C$10,MATCH(F683,Parâmetros!$B$6:$B$10,0)),""))</f>
        <v/>
      </c>
      <c r="R683" s="5" t="str">
        <f aca="false">IF(OR(A683="",P683="",Q683=""),"",P683*Q683)</f>
        <v/>
      </c>
      <c r="S683" s="5" t="str">
        <f aca="false">IF(R683="","",MAX(0,R683-G683))</f>
        <v/>
      </c>
      <c r="T683" s="21" t="str">
        <f aca="false">IF(S683="","",S683*K683)</f>
        <v/>
      </c>
      <c r="U683" s="5" t="str">
        <f aca="false">IF(A683="","",IF(J683&gt;Parâmetros!$C$14,"SIM","NAO"))</f>
        <v/>
      </c>
      <c r="V683" s="5" t="str">
        <f aca="false">IF(B683="","",TRIM(LEFT(B683,IFERROR(FIND(" ",B683)-1,LEN(B683)))))</f>
        <v/>
      </c>
      <c r="W683" s="22"/>
      <c r="X683" s="5" t="str">
        <f aca="false">IF(A683="","",IF(W683&lt;&gt;"",W683,V683))</f>
        <v/>
      </c>
      <c r="Y683" s="5" t="str">
        <f aca="false">IF(A683="","",IF(COUNTIFS($X$2:$X$2001,X683,$D$2:$D$2001,"&lt;&gt;"&amp;D683,$C$2:$C$2001,C683)&gt;0,"SIM","NAO"))</f>
        <v/>
      </c>
      <c r="Z683" s="5" t="str">
        <f aca="false">IF(A683="","",IF(J683="","",IFERROR(360/J683,"")))</f>
        <v/>
      </c>
      <c r="AA683" s="5" t="str">
        <f aca="false">IF(A683="","",IF(H683=0,"Parado (sem venda 90d)",IF(Z683&gt;12,"Alto (&gt;12x/ano)",IF(Z683&gt;=4,"Medio (4-12x/ano)","Baixo (&lt;4x/ano)"))))</f>
        <v/>
      </c>
    </row>
    <row r="684" customFormat="false" ht="15" hidden="false" customHeight="true" outlineLevel="0" collapsed="false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18"/>
      <c r="L684" s="19" t="str">
        <f aca="false">IF(A684="","",G684*K684)</f>
        <v/>
      </c>
      <c r="M684" s="20"/>
      <c r="N684" s="6"/>
      <c r="O684" s="6"/>
      <c r="P684" s="5" t="str">
        <f aca="false">IF(A684="","",H684/90)</f>
        <v/>
      </c>
      <c r="Q684" s="5" t="str">
        <f aca="false">IF(A684="","",IFERROR(INDEX(Parâmetros!$C$6:$C$10,MATCH(F684,Parâmetros!$B$6:$B$10,0)),""))</f>
        <v/>
      </c>
      <c r="R684" s="5" t="str">
        <f aca="false">IF(OR(A684="",P684="",Q684=""),"",P684*Q684)</f>
        <v/>
      </c>
      <c r="S684" s="5" t="str">
        <f aca="false">IF(R684="","",MAX(0,R684-G684))</f>
        <v/>
      </c>
      <c r="T684" s="21" t="str">
        <f aca="false">IF(S684="","",S684*K684)</f>
        <v/>
      </c>
      <c r="U684" s="5" t="str">
        <f aca="false">IF(A684="","",IF(J684&gt;Parâmetros!$C$14,"SIM","NAO"))</f>
        <v/>
      </c>
      <c r="V684" s="5" t="str">
        <f aca="false">IF(B684="","",TRIM(LEFT(B684,IFERROR(FIND(" ",B684)-1,LEN(B684)))))</f>
        <v/>
      </c>
      <c r="W684" s="22"/>
      <c r="X684" s="5" t="str">
        <f aca="false">IF(A684="","",IF(W684&lt;&gt;"",W684,V684))</f>
        <v/>
      </c>
      <c r="Y684" s="5" t="str">
        <f aca="false">IF(A684="","",IF(COUNTIFS($X$2:$X$2001,X684,$D$2:$D$2001,"&lt;&gt;"&amp;D684,$C$2:$C$2001,C684)&gt;0,"SIM","NAO"))</f>
        <v/>
      </c>
      <c r="Z684" s="5" t="str">
        <f aca="false">IF(A684="","",IF(J684="","",IFERROR(360/J684,"")))</f>
        <v/>
      </c>
      <c r="AA684" s="5" t="str">
        <f aca="false">IF(A684="","",IF(H684=0,"Parado (sem venda 90d)",IF(Z684&gt;12,"Alto (&gt;12x/ano)",IF(Z684&gt;=4,"Medio (4-12x/ano)","Baixo (&lt;4x/ano)"))))</f>
        <v/>
      </c>
    </row>
    <row r="685" customFormat="false" ht="15" hidden="false" customHeight="true" outlineLevel="0" collapsed="false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18"/>
      <c r="L685" s="19" t="str">
        <f aca="false">IF(A685="","",G685*K685)</f>
        <v/>
      </c>
      <c r="M685" s="20"/>
      <c r="N685" s="6"/>
      <c r="O685" s="6"/>
      <c r="P685" s="5" t="str">
        <f aca="false">IF(A685="","",H685/90)</f>
        <v/>
      </c>
      <c r="Q685" s="5" t="str">
        <f aca="false">IF(A685="","",IFERROR(INDEX(Parâmetros!$C$6:$C$10,MATCH(F685,Parâmetros!$B$6:$B$10,0)),""))</f>
        <v/>
      </c>
      <c r="R685" s="5" t="str">
        <f aca="false">IF(OR(A685="",P685="",Q685=""),"",P685*Q685)</f>
        <v/>
      </c>
      <c r="S685" s="5" t="str">
        <f aca="false">IF(R685="","",MAX(0,R685-G685))</f>
        <v/>
      </c>
      <c r="T685" s="21" t="str">
        <f aca="false">IF(S685="","",S685*K685)</f>
        <v/>
      </c>
      <c r="U685" s="5" t="str">
        <f aca="false">IF(A685="","",IF(J685&gt;Parâmetros!$C$14,"SIM","NAO"))</f>
        <v/>
      </c>
      <c r="V685" s="5" t="str">
        <f aca="false">IF(B685="","",TRIM(LEFT(B685,IFERROR(FIND(" ",B685)-1,LEN(B685)))))</f>
        <v/>
      </c>
      <c r="W685" s="22"/>
      <c r="X685" s="5" t="str">
        <f aca="false">IF(A685="","",IF(W685&lt;&gt;"",W685,V685))</f>
        <v/>
      </c>
      <c r="Y685" s="5" t="str">
        <f aca="false">IF(A685="","",IF(COUNTIFS($X$2:$X$2001,X685,$D$2:$D$2001,"&lt;&gt;"&amp;D685,$C$2:$C$2001,C685)&gt;0,"SIM","NAO"))</f>
        <v/>
      </c>
      <c r="Z685" s="5" t="str">
        <f aca="false">IF(A685="","",IF(J685="","",IFERROR(360/J685,"")))</f>
        <v/>
      </c>
      <c r="AA685" s="5" t="str">
        <f aca="false">IF(A685="","",IF(H685=0,"Parado (sem venda 90d)",IF(Z685&gt;12,"Alto (&gt;12x/ano)",IF(Z685&gt;=4,"Medio (4-12x/ano)","Baixo (&lt;4x/ano)"))))</f>
        <v/>
      </c>
    </row>
    <row r="686" customFormat="false" ht="15" hidden="false" customHeight="true" outlineLevel="0" collapsed="false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18"/>
      <c r="L686" s="19" t="str">
        <f aca="false">IF(A686="","",G686*K686)</f>
        <v/>
      </c>
      <c r="M686" s="20"/>
      <c r="N686" s="6"/>
      <c r="O686" s="6"/>
      <c r="P686" s="5" t="str">
        <f aca="false">IF(A686="","",H686/90)</f>
        <v/>
      </c>
      <c r="Q686" s="5" t="str">
        <f aca="false">IF(A686="","",IFERROR(INDEX(Parâmetros!$C$6:$C$10,MATCH(F686,Parâmetros!$B$6:$B$10,0)),""))</f>
        <v/>
      </c>
      <c r="R686" s="5" t="str">
        <f aca="false">IF(OR(A686="",P686="",Q686=""),"",P686*Q686)</f>
        <v/>
      </c>
      <c r="S686" s="5" t="str">
        <f aca="false">IF(R686="","",MAX(0,R686-G686))</f>
        <v/>
      </c>
      <c r="T686" s="21" t="str">
        <f aca="false">IF(S686="","",S686*K686)</f>
        <v/>
      </c>
      <c r="U686" s="5" t="str">
        <f aca="false">IF(A686="","",IF(J686&gt;Parâmetros!$C$14,"SIM","NAO"))</f>
        <v/>
      </c>
      <c r="V686" s="5" t="str">
        <f aca="false">IF(B686="","",TRIM(LEFT(B686,IFERROR(FIND(" ",B686)-1,LEN(B686)))))</f>
        <v/>
      </c>
      <c r="W686" s="22"/>
      <c r="X686" s="5" t="str">
        <f aca="false">IF(A686="","",IF(W686&lt;&gt;"",W686,V686))</f>
        <v/>
      </c>
      <c r="Y686" s="5" t="str">
        <f aca="false">IF(A686="","",IF(COUNTIFS($X$2:$X$2001,X686,$D$2:$D$2001,"&lt;&gt;"&amp;D686,$C$2:$C$2001,C686)&gt;0,"SIM","NAO"))</f>
        <v/>
      </c>
      <c r="Z686" s="5" t="str">
        <f aca="false">IF(A686="","",IF(J686="","",IFERROR(360/J686,"")))</f>
        <v/>
      </c>
      <c r="AA686" s="5" t="str">
        <f aca="false">IF(A686="","",IF(H686=0,"Parado (sem venda 90d)",IF(Z686&gt;12,"Alto (&gt;12x/ano)",IF(Z686&gt;=4,"Medio (4-12x/ano)","Baixo (&lt;4x/ano)"))))</f>
        <v/>
      </c>
    </row>
    <row r="687" customFormat="false" ht="15" hidden="false" customHeight="true" outlineLevel="0" collapsed="false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18"/>
      <c r="L687" s="19" t="str">
        <f aca="false">IF(A687="","",G687*K687)</f>
        <v/>
      </c>
      <c r="M687" s="20"/>
      <c r="N687" s="6"/>
      <c r="O687" s="6"/>
      <c r="P687" s="5" t="str">
        <f aca="false">IF(A687="","",H687/90)</f>
        <v/>
      </c>
      <c r="Q687" s="5" t="str">
        <f aca="false">IF(A687="","",IFERROR(INDEX(Parâmetros!$C$6:$C$10,MATCH(F687,Parâmetros!$B$6:$B$10,0)),""))</f>
        <v/>
      </c>
      <c r="R687" s="5" t="str">
        <f aca="false">IF(OR(A687="",P687="",Q687=""),"",P687*Q687)</f>
        <v/>
      </c>
      <c r="S687" s="5" t="str">
        <f aca="false">IF(R687="","",MAX(0,R687-G687))</f>
        <v/>
      </c>
      <c r="T687" s="21" t="str">
        <f aca="false">IF(S687="","",S687*K687)</f>
        <v/>
      </c>
      <c r="U687" s="5" t="str">
        <f aca="false">IF(A687="","",IF(J687&gt;Parâmetros!$C$14,"SIM","NAO"))</f>
        <v/>
      </c>
      <c r="V687" s="5" t="str">
        <f aca="false">IF(B687="","",TRIM(LEFT(B687,IFERROR(FIND(" ",B687)-1,LEN(B687)))))</f>
        <v/>
      </c>
      <c r="W687" s="22"/>
      <c r="X687" s="5" t="str">
        <f aca="false">IF(A687="","",IF(W687&lt;&gt;"",W687,V687))</f>
        <v/>
      </c>
      <c r="Y687" s="5" t="str">
        <f aca="false">IF(A687="","",IF(COUNTIFS($X$2:$X$2001,X687,$D$2:$D$2001,"&lt;&gt;"&amp;D687,$C$2:$C$2001,C687)&gt;0,"SIM","NAO"))</f>
        <v/>
      </c>
      <c r="Z687" s="5" t="str">
        <f aca="false">IF(A687="","",IF(J687="","",IFERROR(360/J687,"")))</f>
        <v/>
      </c>
      <c r="AA687" s="5" t="str">
        <f aca="false">IF(A687="","",IF(H687=0,"Parado (sem venda 90d)",IF(Z687&gt;12,"Alto (&gt;12x/ano)",IF(Z687&gt;=4,"Medio (4-12x/ano)","Baixo (&lt;4x/ano)"))))</f>
        <v/>
      </c>
    </row>
    <row r="688" customFormat="false" ht="15" hidden="false" customHeight="true" outlineLevel="0" collapsed="false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18"/>
      <c r="L688" s="19" t="str">
        <f aca="false">IF(A688="","",G688*K688)</f>
        <v/>
      </c>
      <c r="M688" s="20"/>
      <c r="N688" s="6"/>
      <c r="O688" s="6"/>
      <c r="P688" s="5" t="str">
        <f aca="false">IF(A688="","",H688/90)</f>
        <v/>
      </c>
      <c r="Q688" s="5" t="str">
        <f aca="false">IF(A688="","",IFERROR(INDEX(Parâmetros!$C$6:$C$10,MATCH(F688,Parâmetros!$B$6:$B$10,0)),""))</f>
        <v/>
      </c>
      <c r="R688" s="5" t="str">
        <f aca="false">IF(OR(A688="",P688="",Q688=""),"",P688*Q688)</f>
        <v/>
      </c>
      <c r="S688" s="5" t="str">
        <f aca="false">IF(R688="","",MAX(0,R688-G688))</f>
        <v/>
      </c>
      <c r="T688" s="21" t="str">
        <f aca="false">IF(S688="","",S688*K688)</f>
        <v/>
      </c>
      <c r="U688" s="5" t="str">
        <f aca="false">IF(A688="","",IF(J688&gt;Parâmetros!$C$14,"SIM","NAO"))</f>
        <v/>
      </c>
      <c r="V688" s="5" t="str">
        <f aca="false">IF(B688="","",TRIM(LEFT(B688,IFERROR(FIND(" ",B688)-1,LEN(B688)))))</f>
        <v/>
      </c>
      <c r="W688" s="22"/>
      <c r="X688" s="5" t="str">
        <f aca="false">IF(A688="","",IF(W688&lt;&gt;"",W688,V688))</f>
        <v/>
      </c>
      <c r="Y688" s="5" t="str">
        <f aca="false">IF(A688="","",IF(COUNTIFS($X$2:$X$2001,X688,$D$2:$D$2001,"&lt;&gt;"&amp;D688,$C$2:$C$2001,C688)&gt;0,"SIM","NAO"))</f>
        <v/>
      </c>
      <c r="Z688" s="5" t="str">
        <f aca="false">IF(A688="","",IF(J688="","",IFERROR(360/J688,"")))</f>
        <v/>
      </c>
      <c r="AA688" s="5" t="str">
        <f aca="false">IF(A688="","",IF(H688=0,"Parado (sem venda 90d)",IF(Z688&gt;12,"Alto (&gt;12x/ano)",IF(Z688&gt;=4,"Medio (4-12x/ano)","Baixo (&lt;4x/ano)"))))</f>
        <v/>
      </c>
    </row>
    <row r="689" customFormat="false" ht="15" hidden="false" customHeight="true" outlineLevel="0" collapsed="false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18"/>
      <c r="L689" s="19" t="str">
        <f aca="false">IF(A689="","",G689*K689)</f>
        <v/>
      </c>
      <c r="M689" s="20"/>
      <c r="N689" s="6"/>
      <c r="O689" s="6"/>
      <c r="P689" s="5" t="str">
        <f aca="false">IF(A689="","",H689/90)</f>
        <v/>
      </c>
      <c r="Q689" s="5" t="str">
        <f aca="false">IF(A689="","",IFERROR(INDEX(Parâmetros!$C$6:$C$10,MATCH(F689,Parâmetros!$B$6:$B$10,0)),""))</f>
        <v/>
      </c>
      <c r="R689" s="5" t="str">
        <f aca="false">IF(OR(A689="",P689="",Q689=""),"",P689*Q689)</f>
        <v/>
      </c>
      <c r="S689" s="5" t="str">
        <f aca="false">IF(R689="","",MAX(0,R689-G689))</f>
        <v/>
      </c>
      <c r="T689" s="21" t="str">
        <f aca="false">IF(S689="","",S689*K689)</f>
        <v/>
      </c>
      <c r="U689" s="5" t="str">
        <f aca="false">IF(A689="","",IF(J689&gt;Parâmetros!$C$14,"SIM","NAO"))</f>
        <v/>
      </c>
      <c r="V689" s="5" t="str">
        <f aca="false">IF(B689="","",TRIM(LEFT(B689,IFERROR(FIND(" ",B689)-1,LEN(B689)))))</f>
        <v/>
      </c>
      <c r="W689" s="22"/>
      <c r="X689" s="5" t="str">
        <f aca="false">IF(A689="","",IF(W689&lt;&gt;"",W689,V689))</f>
        <v/>
      </c>
      <c r="Y689" s="5" t="str">
        <f aca="false">IF(A689="","",IF(COUNTIFS($X$2:$X$2001,X689,$D$2:$D$2001,"&lt;&gt;"&amp;D689,$C$2:$C$2001,C689)&gt;0,"SIM","NAO"))</f>
        <v/>
      </c>
      <c r="Z689" s="5" t="str">
        <f aca="false">IF(A689="","",IF(J689="","",IFERROR(360/J689,"")))</f>
        <v/>
      </c>
      <c r="AA689" s="5" t="str">
        <f aca="false">IF(A689="","",IF(H689=0,"Parado (sem venda 90d)",IF(Z689&gt;12,"Alto (&gt;12x/ano)",IF(Z689&gt;=4,"Medio (4-12x/ano)","Baixo (&lt;4x/ano)"))))</f>
        <v/>
      </c>
    </row>
    <row r="690" customFormat="false" ht="15" hidden="false" customHeight="true" outlineLevel="0" collapsed="false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18"/>
      <c r="L690" s="19" t="str">
        <f aca="false">IF(A690="","",G690*K690)</f>
        <v/>
      </c>
      <c r="M690" s="20"/>
      <c r="N690" s="6"/>
      <c r="O690" s="6"/>
      <c r="P690" s="5" t="str">
        <f aca="false">IF(A690="","",H690/90)</f>
        <v/>
      </c>
      <c r="Q690" s="5" t="str">
        <f aca="false">IF(A690="","",IFERROR(INDEX(Parâmetros!$C$6:$C$10,MATCH(F690,Parâmetros!$B$6:$B$10,0)),""))</f>
        <v/>
      </c>
      <c r="R690" s="5" t="str">
        <f aca="false">IF(OR(A690="",P690="",Q690=""),"",P690*Q690)</f>
        <v/>
      </c>
      <c r="S690" s="5" t="str">
        <f aca="false">IF(R690="","",MAX(0,R690-G690))</f>
        <v/>
      </c>
      <c r="T690" s="21" t="str">
        <f aca="false">IF(S690="","",S690*K690)</f>
        <v/>
      </c>
      <c r="U690" s="5" t="str">
        <f aca="false">IF(A690="","",IF(J690&gt;Parâmetros!$C$14,"SIM","NAO"))</f>
        <v/>
      </c>
      <c r="V690" s="5" t="str">
        <f aca="false">IF(B690="","",TRIM(LEFT(B690,IFERROR(FIND(" ",B690)-1,LEN(B690)))))</f>
        <v/>
      </c>
      <c r="W690" s="22"/>
      <c r="X690" s="5" t="str">
        <f aca="false">IF(A690="","",IF(W690&lt;&gt;"",W690,V690))</f>
        <v/>
      </c>
      <c r="Y690" s="5" t="str">
        <f aca="false">IF(A690="","",IF(COUNTIFS($X$2:$X$2001,X690,$D$2:$D$2001,"&lt;&gt;"&amp;D690,$C$2:$C$2001,C690)&gt;0,"SIM","NAO"))</f>
        <v/>
      </c>
      <c r="Z690" s="5" t="str">
        <f aca="false">IF(A690="","",IF(J690="","",IFERROR(360/J690,"")))</f>
        <v/>
      </c>
      <c r="AA690" s="5" t="str">
        <f aca="false">IF(A690="","",IF(H690=0,"Parado (sem venda 90d)",IF(Z690&gt;12,"Alto (&gt;12x/ano)",IF(Z690&gt;=4,"Medio (4-12x/ano)","Baixo (&lt;4x/ano)"))))</f>
        <v/>
      </c>
    </row>
    <row r="691" customFormat="false" ht="15" hidden="false" customHeight="true" outlineLevel="0" collapsed="false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18"/>
      <c r="L691" s="19" t="str">
        <f aca="false">IF(A691="","",G691*K691)</f>
        <v/>
      </c>
      <c r="M691" s="20"/>
      <c r="N691" s="6"/>
      <c r="O691" s="6"/>
      <c r="P691" s="5" t="str">
        <f aca="false">IF(A691="","",H691/90)</f>
        <v/>
      </c>
      <c r="Q691" s="5" t="str">
        <f aca="false">IF(A691="","",IFERROR(INDEX(Parâmetros!$C$6:$C$10,MATCH(F691,Parâmetros!$B$6:$B$10,0)),""))</f>
        <v/>
      </c>
      <c r="R691" s="5" t="str">
        <f aca="false">IF(OR(A691="",P691="",Q691=""),"",P691*Q691)</f>
        <v/>
      </c>
      <c r="S691" s="5" t="str">
        <f aca="false">IF(R691="","",MAX(0,R691-G691))</f>
        <v/>
      </c>
      <c r="T691" s="21" t="str">
        <f aca="false">IF(S691="","",S691*K691)</f>
        <v/>
      </c>
      <c r="U691" s="5" t="str">
        <f aca="false">IF(A691="","",IF(J691&gt;Parâmetros!$C$14,"SIM","NAO"))</f>
        <v/>
      </c>
      <c r="V691" s="5" t="str">
        <f aca="false">IF(B691="","",TRIM(LEFT(B691,IFERROR(FIND(" ",B691)-1,LEN(B691)))))</f>
        <v/>
      </c>
      <c r="W691" s="22"/>
      <c r="X691" s="5" t="str">
        <f aca="false">IF(A691="","",IF(W691&lt;&gt;"",W691,V691))</f>
        <v/>
      </c>
      <c r="Y691" s="5" t="str">
        <f aca="false">IF(A691="","",IF(COUNTIFS($X$2:$X$2001,X691,$D$2:$D$2001,"&lt;&gt;"&amp;D691,$C$2:$C$2001,C691)&gt;0,"SIM","NAO"))</f>
        <v/>
      </c>
      <c r="Z691" s="5" t="str">
        <f aca="false">IF(A691="","",IF(J691="","",IFERROR(360/J691,"")))</f>
        <v/>
      </c>
      <c r="AA691" s="5" t="str">
        <f aca="false">IF(A691="","",IF(H691=0,"Parado (sem venda 90d)",IF(Z691&gt;12,"Alto (&gt;12x/ano)",IF(Z691&gt;=4,"Medio (4-12x/ano)","Baixo (&lt;4x/ano)"))))</f>
        <v/>
      </c>
    </row>
    <row r="692" customFormat="false" ht="15" hidden="false" customHeight="true" outlineLevel="0" collapsed="false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18"/>
      <c r="L692" s="19" t="str">
        <f aca="false">IF(A692="","",G692*K692)</f>
        <v/>
      </c>
      <c r="M692" s="20"/>
      <c r="N692" s="6"/>
      <c r="O692" s="6"/>
      <c r="P692" s="5" t="str">
        <f aca="false">IF(A692="","",H692/90)</f>
        <v/>
      </c>
      <c r="Q692" s="5" t="str">
        <f aca="false">IF(A692="","",IFERROR(INDEX(Parâmetros!$C$6:$C$10,MATCH(F692,Parâmetros!$B$6:$B$10,0)),""))</f>
        <v/>
      </c>
      <c r="R692" s="5" t="str">
        <f aca="false">IF(OR(A692="",P692="",Q692=""),"",P692*Q692)</f>
        <v/>
      </c>
      <c r="S692" s="5" t="str">
        <f aca="false">IF(R692="","",MAX(0,R692-G692))</f>
        <v/>
      </c>
      <c r="T692" s="21" t="str">
        <f aca="false">IF(S692="","",S692*K692)</f>
        <v/>
      </c>
      <c r="U692" s="5" t="str">
        <f aca="false">IF(A692="","",IF(J692&gt;Parâmetros!$C$14,"SIM","NAO"))</f>
        <v/>
      </c>
      <c r="V692" s="5" t="str">
        <f aca="false">IF(B692="","",TRIM(LEFT(B692,IFERROR(FIND(" ",B692)-1,LEN(B692)))))</f>
        <v/>
      </c>
      <c r="W692" s="22"/>
      <c r="X692" s="5" t="str">
        <f aca="false">IF(A692="","",IF(W692&lt;&gt;"",W692,V692))</f>
        <v/>
      </c>
      <c r="Y692" s="5" t="str">
        <f aca="false">IF(A692="","",IF(COUNTIFS($X$2:$X$2001,X692,$D$2:$D$2001,"&lt;&gt;"&amp;D692,$C$2:$C$2001,C692)&gt;0,"SIM","NAO"))</f>
        <v/>
      </c>
      <c r="Z692" s="5" t="str">
        <f aca="false">IF(A692="","",IF(J692="","",IFERROR(360/J692,"")))</f>
        <v/>
      </c>
      <c r="AA692" s="5" t="str">
        <f aca="false">IF(A692="","",IF(H692=0,"Parado (sem venda 90d)",IF(Z692&gt;12,"Alto (&gt;12x/ano)",IF(Z692&gt;=4,"Medio (4-12x/ano)","Baixo (&lt;4x/ano)"))))</f>
        <v/>
      </c>
    </row>
    <row r="693" customFormat="false" ht="15" hidden="false" customHeight="true" outlineLevel="0" collapsed="false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18"/>
      <c r="L693" s="19" t="str">
        <f aca="false">IF(A693="","",G693*K693)</f>
        <v/>
      </c>
      <c r="M693" s="20"/>
      <c r="N693" s="6"/>
      <c r="O693" s="6"/>
      <c r="P693" s="5" t="str">
        <f aca="false">IF(A693="","",H693/90)</f>
        <v/>
      </c>
      <c r="Q693" s="5" t="str">
        <f aca="false">IF(A693="","",IFERROR(INDEX(Parâmetros!$C$6:$C$10,MATCH(F693,Parâmetros!$B$6:$B$10,0)),""))</f>
        <v/>
      </c>
      <c r="R693" s="5" t="str">
        <f aca="false">IF(OR(A693="",P693="",Q693=""),"",P693*Q693)</f>
        <v/>
      </c>
      <c r="S693" s="5" t="str">
        <f aca="false">IF(R693="","",MAX(0,R693-G693))</f>
        <v/>
      </c>
      <c r="T693" s="21" t="str">
        <f aca="false">IF(S693="","",S693*K693)</f>
        <v/>
      </c>
      <c r="U693" s="5" t="str">
        <f aca="false">IF(A693="","",IF(J693&gt;Parâmetros!$C$14,"SIM","NAO"))</f>
        <v/>
      </c>
      <c r="V693" s="5" t="str">
        <f aca="false">IF(B693="","",TRIM(LEFT(B693,IFERROR(FIND(" ",B693)-1,LEN(B693)))))</f>
        <v/>
      </c>
      <c r="W693" s="22"/>
      <c r="X693" s="5" t="str">
        <f aca="false">IF(A693="","",IF(W693&lt;&gt;"",W693,V693))</f>
        <v/>
      </c>
      <c r="Y693" s="5" t="str">
        <f aca="false">IF(A693="","",IF(COUNTIFS($X$2:$X$2001,X693,$D$2:$D$2001,"&lt;&gt;"&amp;D693,$C$2:$C$2001,C693)&gt;0,"SIM","NAO"))</f>
        <v/>
      </c>
      <c r="Z693" s="5" t="str">
        <f aca="false">IF(A693="","",IF(J693="","",IFERROR(360/J693,"")))</f>
        <v/>
      </c>
      <c r="AA693" s="5" t="str">
        <f aca="false">IF(A693="","",IF(H693=0,"Parado (sem venda 90d)",IF(Z693&gt;12,"Alto (&gt;12x/ano)",IF(Z693&gt;=4,"Medio (4-12x/ano)","Baixo (&lt;4x/ano)"))))</f>
        <v/>
      </c>
    </row>
    <row r="694" customFormat="false" ht="15" hidden="false" customHeight="true" outlineLevel="0" collapsed="false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18"/>
      <c r="L694" s="19" t="str">
        <f aca="false">IF(A694="","",G694*K694)</f>
        <v/>
      </c>
      <c r="M694" s="20"/>
      <c r="N694" s="6"/>
      <c r="O694" s="6"/>
      <c r="P694" s="5" t="str">
        <f aca="false">IF(A694="","",H694/90)</f>
        <v/>
      </c>
      <c r="Q694" s="5" t="str">
        <f aca="false">IF(A694="","",IFERROR(INDEX(Parâmetros!$C$6:$C$10,MATCH(F694,Parâmetros!$B$6:$B$10,0)),""))</f>
        <v/>
      </c>
      <c r="R694" s="5" t="str">
        <f aca="false">IF(OR(A694="",P694="",Q694=""),"",P694*Q694)</f>
        <v/>
      </c>
      <c r="S694" s="5" t="str">
        <f aca="false">IF(R694="","",MAX(0,R694-G694))</f>
        <v/>
      </c>
      <c r="T694" s="21" t="str">
        <f aca="false">IF(S694="","",S694*K694)</f>
        <v/>
      </c>
      <c r="U694" s="5" t="str">
        <f aca="false">IF(A694="","",IF(J694&gt;Parâmetros!$C$14,"SIM","NAO"))</f>
        <v/>
      </c>
      <c r="V694" s="5" t="str">
        <f aca="false">IF(B694="","",TRIM(LEFT(B694,IFERROR(FIND(" ",B694)-1,LEN(B694)))))</f>
        <v/>
      </c>
      <c r="W694" s="22"/>
      <c r="X694" s="5" t="str">
        <f aca="false">IF(A694="","",IF(W694&lt;&gt;"",W694,V694))</f>
        <v/>
      </c>
      <c r="Y694" s="5" t="str">
        <f aca="false">IF(A694="","",IF(COUNTIFS($X$2:$X$2001,X694,$D$2:$D$2001,"&lt;&gt;"&amp;D694,$C$2:$C$2001,C694)&gt;0,"SIM","NAO"))</f>
        <v/>
      </c>
      <c r="Z694" s="5" t="str">
        <f aca="false">IF(A694="","",IF(J694="","",IFERROR(360/J694,"")))</f>
        <v/>
      </c>
      <c r="AA694" s="5" t="str">
        <f aca="false">IF(A694="","",IF(H694=0,"Parado (sem venda 90d)",IF(Z694&gt;12,"Alto (&gt;12x/ano)",IF(Z694&gt;=4,"Medio (4-12x/ano)","Baixo (&lt;4x/ano)"))))</f>
        <v/>
      </c>
    </row>
    <row r="695" customFormat="false" ht="15" hidden="false" customHeight="true" outlineLevel="0" collapsed="false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18"/>
      <c r="L695" s="19" t="str">
        <f aca="false">IF(A695="","",G695*K695)</f>
        <v/>
      </c>
      <c r="M695" s="20"/>
      <c r="N695" s="6"/>
      <c r="O695" s="6"/>
      <c r="P695" s="5" t="str">
        <f aca="false">IF(A695="","",H695/90)</f>
        <v/>
      </c>
      <c r="Q695" s="5" t="str">
        <f aca="false">IF(A695="","",IFERROR(INDEX(Parâmetros!$C$6:$C$10,MATCH(F695,Parâmetros!$B$6:$B$10,0)),""))</f>
        <v/>
      </c>
      <c r="R695" s="5" t="str">
        <f aca="false">IF(OR(A695="",P695="",Q695=""),"",P695*Q695)</f>
        <v/>
      </c>
      <c r="S695" s="5" t="str">
        <f aca="false">IF(R695="","",MAX(0,R695-G695))</f>
        <v/>
      </c>
      <c r="T695" s="21" t="str">
        <f aca="false">IF(S695="","",S695*K695)</f>
        <v/>
      </c>
      <c r="U695" s="5" t="str">
        <f aca="false">IF(A695="","",IF(J695&gt;Parâmetros!$C$14,"SIM","NAO"))</f>
        <v/>
      </c>
      <c r="V695" s="5" t="str">
        <f aca="false">IF(B695="","",TRIM(LEFT(B695,IFERROR(FIND(" ",B695)-1,LEN(B695)))))</f>
        <v/>
      </c>
      <c r="W695" s="22"/>
      <c r="X695" s="5" t="str">
        <f aca="false">IF(A695="","",IF(W695&lt;&gt;"",W695,V695))</f>
        <v/>
      </c>
      <c r="Y695" s="5" t="str">
        <f aca="false">IF(A695="","",IF(COUNTIFS($X$2:$X$2001,X695,$D$2:$D$2001,"&lt;&gt;"&amp;D695,$C$2:$C$2001,C695)&gt;0,"SIM","NAO"))</f>
        <v/>
      </c>
      <c r="Z695" s="5" t="str">
        <f aca="false">IF(A695="","",IF(J695="","",IFERROR(360/J695,"")))</f>
        <v/>
      </c>
      <c r="AA695" s="5" t="str">
        <f aca="false">IF(A695="","",IF(H695=0,"Parado (sem venda 90d)",IF(Z695&gt;12,"Alto (&gt;12x/ano)",IF(Z695&gt;=4,"Medio (4-12x/ano)","Baixo (&lt;4x/ano)"))))</f>
        <v/>
      </c>
    </row>
    <row r="696" customFormat="false" ht="15" hidden="false" customHeight="true" outlineLevel="0" collapsed="false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18"/>
      <c r="L696" s="19" t="str">
        <f aca="false">IF(A696="","",G696*K696)</f>
        <v/>
      </c>
      <c r="M696" s="20"/>
      <c r="N696" s="6"/>
      <c r="O696" s="6"/>
      <c r="P696" s="5" t="str">
        <f aca="false">IF(A696="","",H696/90)</f>
        <v/>
      </c>
      <c r="Q696" s="5" t="str">
        <f aca="false">IF(A696="","",IFERROR(INDEX(Parâmetros!$C$6:$C$10,MATCH(F696,Parâmetros!$B$6:$B$10,0)),""))</f>
        <v/>
      </c>
      <c r="R696" s="5" t="str">
        <f aca="false">IF(OR(A696="",P696="",Q696=""),"",P696*Q696)</f>
        <v/>
      </c>
      <c r="S696" s="5" t="str">
        <f aca="false">IF(R696="","",MAX(0,R696-G696))</f>
        <v/>
      </c>
      <c r="T696" s="21" t="str">
        <f aca="false">IF(S696="","",S696*K696)</f>
        <v/>
      </c>
      <c r="U696" s="5" t="str">
        <f aca="false">IF(A696="","",IF(J696&gt;Parâmetros!$C$14,"SIM","NAO"))</f>
        <v/>
      </c>
      <c r="V696" s="5" t="str">
        <f aca="false">IF(B696="","",TRIM(LEFT(B696,IFERROR(FIND(" ",B696)-1,LEN(B696)))))</f>
        <v/>
      </c>
      <c r="W696" s="22"/>
      <c r="X696" s="5" t="str">
        <f aca="false">IF(A696="","",IF(W696&lt;&gt;"",W696,V696))</f>
        <v/>
      </c>
      <c r="Y696" s="5" t="str">
        <f aca="false">IF(A696="","",IF(COUNTIFS($X$2:$X$2001,X696,$D$2:$D$2001,"&lt;&gt;"&amp;D696,$C$2:$C$2001,C696)&gt;0,"SIM","NAO"))</f>
        <v/>
      </c>
      <c r="Z696" s="5" t="str">
        <f aca="false">IF(A696="","",IF(J696="","",IFERROR(360/J696,"")))</f>
        <v/>
      </c>
      <c r="AA696" s="5" t="str">
        <f aca="false">IF(A696="","",IF(H696=0,"Parado (sem venda 90d)",IF(Z696&gt;12,"Alto (&gt;12x/ano)",IF(Z696&gt;=4,"Medio (4-12x/ano)","Baixo (&lt;4x/ano)"))))</f>
        <v/>
      </c>
    </row>
    <row r="697" customFormat="false" ht="15" hidden="false" customHeight="true" outlineLevel="0" collapsed="false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18"/>
      <c r="L697" s="19" t="str">
        <f aca="false">IF(A697="","",G697*K697)</f>
        <v/>
      </c>
      <c r="M697" s="20"/>
      <c r="N697" s="6"/>
      <c r="O697" s="6"/>
      <c r="P697" s="5" t="str">
        <f aca="false">IF(A697="","",H697/90)</f>
        <v/>
      </c>
      <c r="Q697" s="5" t="str">
        <f aca="false">IF(A697="","",IFERROR(INDEX(Parâmetros!$C$6:$C$10,MATCH(F697,Parâmetros!$B$6:$B$10,0)),""))</f>
        <v/>
      </c>
      <c r="R697" s="5" t="str">
        <f aca="false">IF(OR(A697="",P697="",Q697=""),"",P697*Q697)</f>
        <v/>
      </c>
      <c r="S697" s="5" t="str">
        <f aca="false">IF(R697="","",MAX(0,R697-G697))</f>
        <v/>
      </c>
      <c r="T697" s="21" t="str">
        <f aca="false">IF(S697="","",S697*K697)</f>
        <v/>
      </c>
      <c r="U697" s="5" t="str">
        <f aca="false">IF(A697="","",IF(J697&gt;Parâmetros!$C$14,"SIM","NAO"))</f>
        <v/>
      </c>
      <c r="V697" s="5" t="str">
        <f aca="false">IF(B697="","",TRIM(LEFT(B697,IFERROR(FIND(" ",B697)-1,LEN(B697)))))</f>
        <v/>
      </c>
      <c r="W697" s="22"/>
      <c r="X697" s="5" t="str">
        <f aca="false">IF(A697="","",IF(W697&lt;&gt;"",W697,V697))</f>
        <v/>
      </c>
      <c r="Y697" s="5" t="str">
        <f aca="false">IF(A697="","",IF(COUNTIFS($X$2:$X$2001,X697,$D$2:$D$2001,"&lt;&gt;"&amp;D697,$C$2:$C$2001,C697)&gt;0,"SIM","NAO"))</f>
        <v/>
      </c>
      <c r="Z697" s="5" t="str">
        <f aca="false">IF(A697="","",IF(J697="","",IFERROR(360/J697,"")))</f>
        <v/>
      </c>
      <c r="AA697" s="5" t="str">
        <f aca="false">IF(A697="","",IF(H697=0,"Parado (sem venda 90d)",IF(Z697&gt;12,"Alto (&gt;12x/ano)",IF(Z697&gt;=4,"Medio (4-12x/ano)","Baixo (&lt;4x/ano)"))))</f>
        <v/>
      </c>
    </row>
    <row r="698" customFormat="false" ht="15" hidden="false" customHeight="true" outlineLevel="0" collapsed="false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18"/>
      <c r="L698" s="19" t="str">
        <f aca="false">IF(A698="","",G698*K698)</f>
        <v/>
      </c>
      <c r="M698" s="20"/>
      <c r="N698" s="6"/>
      <c r="O698" s="6"/>
      <c r="P698" s="5" t="str">
        <f aca="false">IF(A698="","",H698/90)</f>
        <v/>
      </c>
      <c r="Q698" s="5" t="str">
        <f aca="false">IF(A698="","",IFERROR(INDEX(Parâmetros!$C$6:$C$10,MATCH(F698,Parâmetros!$B$6:$B$10,0)),""))</f>
        <v/>
      </c>
      <c r="R698" s="5" t="str">
        <f aca="false">IF(OR(A698="",P698="",Q698=""),"",P698*Q698)</f>
        <v/>
      </c>
      <c r="S698" s="5" t="str">
        <f aca="false">IF(R698="","",MAX(0,R698-G698))</f>
        <v/>
      </c>
      <c r="T698" s="21" t="str">
        <f aca="false">IF(S698="","",S698*K698)</f>
        <v/>
      </c>
      <c r="U698" s="5" t="str">
        <f aca="false">IF(A698="","",IF(J698&gt;Parâmetros!$C$14,"SIM","NAO"))</f>
        <v/>
      </c>
      <c r="V698" s="5" t="str">
        <f aca="false">IF(B698="","",TRIM(LEFT(B698,IFERROR(FIND(" ",B698)-1,LEN(B698)))))</f>
        <v/>
      </c>
      <c r="W698" s="22"/>
      <c r="X698" s="5" t="str">
        <f aca="false">IF(A698="","",IF(W698&lt;&gt;"",W698,V698))</f>
        <v/>
      </c>
      <c r="Y698" s="5" t="str">
        <f aca="false">IF(A698="","",IF(COUNTIFS($X$2:$X$2001,X698,$D$2:$D$2001,"&lt;&gt;"&amp;D698,$C$2:$C$2001,C698)&gt;0,"SIM","NAO"))</f>
        <v/>
      </c>
      <c r="Z698" s="5" t="str">
        <f aca="false">IF(A698="","",IF(J698="","",IFERROR(360/J698,"")))</f>
        <v/>
      </c>
      <c r="AA698" s="5" t="str">
        <f aca="false">IF(A698="","",IF(H698=0,"Parado (sem venda 90d)",IF(Z698&gt;12,"Alto (&gt;12x/ano)",IF(Z698&gt;=4,"Medio (4-12x/ano)","Baixo (&lt;4x/ano)"))))</f>
        <v/>
      </c>
    </row>
    <row r="699" customFormat="false" ht="15" hidden="false" customHeight="true" outlineLevel="0" collapsed="false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18"/>
      <c r="L699" s="19" t="str">
        <f aca="false">IF(A699="","",G699*K699)</f>
        <v/>
      </c>
      <c r="M699" s="20"/>
      <c r="N699" s="6"/>
      <c r="O699" s="6"/>
      <c r="P699" s="5" t="str">
        <f aca="false">IF(A699="","",H699/90)</f>
        <v/>
      </c>
      <c r="Q699" s="5" t="str">
        <f aca="false">IF(A699="","",IFERROR(INDEX(Parâmetros!$C$6:$C$10,MATCH(F699,Parâmetros!$B$6:$B$10,0)),""))</f>
        <v/>
      </c>
      <c r="R699" s="5" t="str">
        <f aca="false">IF(OR(A699="",P699="",Q699=""),"",P699*Q699)</f>
        <v/>
      </c>
      <c r="S699" s="5" t="str">
        <f aca="false">IF(R699="","",MAX(0,R699-G699))</f>
        <v/>
      </c>
      <c r="T699" s="21" t="str">
        <f aca="false">IF(S699="","",S699*K699)</f>
        <v/>
      </c>
      <c r="U699" s="5" t="str">
        <f aca="false">IF(A699="","",IF(J699&gt;Parâmetros!$C$14,"SIM","NAO"))</f>
        <v/>
      </c>
      <c r="V699" s="5" t="str">
        <f aca="false">IF(B699="","",TRIM(LEFT(B699,IFERROR(FIND(" ",B699)-1,LEN(B699)))))</f>
        <v/>
      </c>
      <c r="W699" s="22"/>
      <c r="X699" s="5" t="str">
        <f aca="false">IF(A699="","",IF(W699&lt;&gt;"",W699,V699))</f>
        <v/>
      </c>
      <c r="Y699" s="5" t="str">
        <f aca="false">IF(A699="","",IF(COUNTIFS($X$2:$X$2001,X699,$D$2:$D$2001,"&lt;&gt;"&amp;D699,$C$2:$C$2001,C699)&gt;0,"SIM","NAO"))</f>
        <v/>
      </c>
      <c r="Z699" s="5" t="str">
        <f aca="false">IF(A699="","",IF(J699="","",IFERROR(360/J699,"")))</f>
        <v/>
      </c>
      <c r="AA699" s="5" t="str">
        <f aca="false">IF(A699="","",IF(H699=0,"Parado (sem venda 90d)",IF(Z699&gt;12,"Alto (&gt;12x/ano)",IF(Z699&gt;=4,"Medio (4-12x/ano)","Baixo (&lt;4x/ano)"))))</f>
        <v/>
      </c>
    </row>
    <row r="700" customFormat="false" ht="15" hidden="false" customHeight="true" outlineLevel="0" collapsed="false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18"/>
      <c r="L700" s="19" t="str">
        <f aca="false">IF(A700="","",G700*K700)</f>
        <v/>
      </c>
      <c r="M700" s="20"/>
      <c r="N700" s="6"/>
      <c r="O700" s="6"/>
      <c r="P700" s="5" t="str">
        <f aca="false">IF(A700="","",H700/90)</f>
        <v/>
      </c>
      <c r="Q700" s="5" t="str">
        <f aca="false">IF(A700="","",IFERROR(INDEX(Parâmetros!$C$6:$C$10,MATCH(F700,Parâmetros!$B$6:$B$10,0)),""))</f>
        <v/>
      </c>
      <c r="R700" s="5" t="str">
        <f aca="false">IF(OR(A700="",P700="",Q700=""),"",P700*Q700)</f>
        <v/>
      </c>
      <c r="S700" s="5" t="str">
        <f aca="false">IF(R700="","",MAX(0,R700-G700))</f>
        <v/>
      </c>
      <c r="T700" s="21" t="str">
        <f aca="false">IF(S700="","",S700*K700)</f>
        <v/>
      </c>
      <c r="U700" s="5" t="str">
        <f aca="false">IF(A700="","",IF(J700&gt;Parâmetros!$C$14,"SIM","NAO"))</f>
        <v/>
      </c>
      <c r="V700" s="5" t="str">
        <f aca="false">IF(B700="","",TRIM(LEFT(B700,IFERROR(FIND(" ",B700)-1,LEN(B700)))))</f>
        <v/>
      </c>
      <c r="W700" s="22"/>
      <c r="X700" s="5" t="str">
        <f aca="false">IF(A700="","",IF(W700&lt;&gt;"",W700,V700))</f>
        <v/>
      </c>
      <c r="Y700" s="5" t="str">
        <f aca="false">IF(A700="","",IF(COUNTIFS($X$2:$X$2001,X700,$D$2:$D$2001,"&lt;&gt;"&amp;D700,$C$2:$C$2001,C700)&gt;0,"SIM","NAO"))</f>
        <v/>
      </c>
      <c r="Z700" s="5" t="str">
        <f aca="false">IF(A700="","",IF(J700="","",IFERROR(360/J700,"")))</f>
        <v/>
      </c>
      <c r="AA700" s="5" t="str">
        <f aca="false">IF(A700="","",IF(H700=0,"Parado (sem venda 90d)",IF(Z700&gt;12,"Alto (&gt;12x/ano)",IF(Z700&gt;=4,"Medio (4-12x/ano)","Baixo (&lt;4x/ano)"))))</f>
        <v/>
      </c>
    </row>
    <row r="701" customFormat="false" ht="15" hidden="false" customHeight="true" outlineLevel="0" collapsed="false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18"/>
      <c r="L701" s="19" t="str">
        <f aca="false">IF(A701="","",G701*K701)</f>
        <v/>
      </c>
      <c r="M701" s="20"/>
      <c r="N701" s="6"/>
      <c r="O701" s="6"/>
      <c r="P701" s="5" t="str">
        <f aca="false">IF(A701="","",H701/90)</f>
        <v/>
      </c>
      <c r="Q701" s="5" t="str">
        <f aca="false">IF(A701="","",IFERROR(INDEX(Parâmetros!$C$6:$C$10,MATCH(F701,Parâmetros!$B$6:$B$10,0)),""))</f>
        <v/>
      </c>
      <c r="R701" s="5" t="str">
        <f aca="false">IF(OR(A701="",P701="",Q701=""),"",P701*Q701)</f>
        <v/>
      </c>
      <c r="S701" s="5" t="str">
        <f aca="false">IF(R701="","",MAX(0,R701-G701))</f>
        <v/>
      </c>
      <c r="T701" s="21" t="str">
        <f aca="false">IF(S701="","",S701*K701)</f>
        <v/>
      </c>
      <c r="U701" s="5" t="str">
        <f aca="false">IF(A701="","",IF(J701&gt;Parâmetros!$C$14,"SIM","NAO"))</f>
        <v/>
      </c>
      <c r="V701" s="5" t="str">
        <f aca="false">IF(B701="","",TRIM(LEFT(B701,IFERROR(FIND(" ",B701)-1,LEN(B701)))))</f>
        <v/>
      </c>
      <c r="W701" s="22"/>
      <c r="X701" s="5" t="str">
        <f aca="false">IF(A701="","",IF(W701&lt;&gt;"",W701,V701))</f>
        <v/>
      </c>
      <c r="Y701" s="5" t="str">
        <f aca="false">IF(A701="","",IF(COUNTIFS($X$2:$X$2001,X701,$D$2:$D$2001,"&lt;&gt;"&amp;D701,$C$2:$C$2001,C701)&gt;0,"SIM","NAO"))</f>
        <v/>
      </c>
      <c r="Z701" s="5" t="str">
        <f aca="false">IF(A701="","",IF(J701="","",IFERROR(360/J701,"")))</f>
        <v/>
      </c>
      <c r="AA701" s="5" t="str">
        <f aca="false">IF(A701="","",IF(H701=0,"Parado (sem venda 90d)",IF(Z701&gt;12,"Alto (&gt;12x/ano)",IF(Z701&gt;=4,"Medio (4-12x/ano)","Baixo (&lt;4x/ano)"))))</f>
        <v/>
      </c>
    </row>
    <row r="702" customFormat="false" ht="15" hidden="false" customHeight="true" outlineLevel="0" collapsed="false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18"/>
      <c r="L702" s="19" t="str">
        <f aca="false">IF(A702="","",G702*K702)</f>
        <v/>
      </c>
      <c r="M702" s="20"/>
      <c r="N702" s="6"/>
      <c r="O702" s="6"/>
      <c r="P702" s="5" t="str">
        <f aca="false">IF(A702="","",H702/90)</f>
        <v/>
      </c>
      <c r="Q702" s="5" t="str">
        <f aca="false">IF(A702="","",IFERROR(INDEX(Parâmetros!$C$6:$C$10,MATCH(F702,Parâmetros!$B$6:$B$10,0)),""))</f>
        <v/>
      </c>
      <c r="R702" s="5" t="str">
        <f aca="false">IF(OR(A702="",P702="",Q702=""),"",P702*Q702)</f>
        <v/>
      </c>
      <c r="S702" s="5" t="str">
        <f aca="false">IF(R702="","",MAX(0,R702-G702))</f>
        <v/>
      </c>
      <c r="T702" s="21" t="str">
        <f aca="false">IF(S702="","",S702*K702)</f>
        <v/>
      </c>
      <c r="U702" s="5" t="str">
        <f aca="false">IF(A702="","",IF(J702&gt;Parâmetros!$C$14,"SIM","NAO"))</f>
        <v/>
      </c>
      <c r="V702" s="5" t="str">
        <f aca="false">IF(B702="","",TRIM(LEFT(B702,IFERROR(FIND(" ",B702)-1,LEN(B702)))))</f>
        <v/>
      </c>
      <c r="W702" s="22"/>
      <c r="X702" s="5" t="str">
        <f aca="false">IF(A702="","",IF(W702&lt;&gt;"",W702,V702))</f>
        <v/>
      </c>
      <c r="Y702" s="5" t="str">
        <f aca="false">IF(A702="","",IF(COUNTIFS($X$2:$X$2001,X702,$D$2:$D$2001,"&lt;&gt;"&amp;D702,$C$2:$C$2001,C702)&gt;0,"SIM","NAO"))</f>
        <v/>
      </c>
      <c r="Z702" s="5" t="str">
        <f aca="false">IF(A702="","",IF(J702="","",IFERROR(360/J702,"")))</f>
        <v/>
      </c>
      <c r="AA702" s="5" t="str">
        <f aca="false">IF(A702="","",IF(H702=0,"Parado (sem venda 90d)",IF(Z702&gt;12,"Alto (&gt;12x/ano)",IF(Z702&gt;=4,"Medio (4-12x/ano)","Baixo (&lt;4x/ano)"))))</f>
        <v/>
      </c>
    </row>
    <row r="703" customFormat="false" ht="15" hidden="false" customHeight="true" outlineLevel="0" collapsed="false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18"/>
      <c r="L703" s="19" t="str">
        <f aca="false">IF(A703="","",G703*K703)</f>
        <v/>
      </c>
      <c r="M703" s="20"/>
      <c r="N703" s="6"/>
      <c r="O703" s="6"/>
      <c r="P703" s="5" t="str">
        <f aca="false">IF(A703="","",H703/90)</f>
        <v/>
      </c>
      <c r="Q703" s="5" t="str">
        <f aca="false">IF(A703="","",IFERROR(INDEX(Parâmetros!$C$6:$C$10,MATCH(F703,Parâmetros!$B$6:$B$10,0)),""))</f>
        <v/>
      </c>
      <c r="R703" s="5" t="str">
        <f aca="false">IF(OR(A703="",P703="",Q703=""),"",P703*Q703)</f>
        <v/>
      </c>
      <c r="S703" s="5" t="str">
        <f aca="false">IF(R703="","",MAX(0,R703-G703))</f>
        <v/>
      </c>
      <c r="T703" s="21" t="str">
        <f aca="false">IF(S703="","",S703*K703)</f>
        <v/>
      </c>
      <c r="U703" s="5" t="str">
        <f aca="false">IF(A703="","",IF(J703&gt;Parâmetros!$C$14,"SIM","NAO"))</f>
        <v/>
      </c>
      <c r="V703" s="5" t="str">
        <f aca="false">IF(B703="","",TRIM(LEFT(B703,IFERROR(FIND(" ",B703)-1,LEN(B703)))))</f>
        <v/>
      </c>
      <c r="W703" s="22"/>
      <c r="X703" s="5" t="str">
        <f aca="false">IF(A703="","",IF(W703&lt;&gt;"",W703,V703))</f>
        <v/>
      </c>
      <c r="Y703" s="5" t="str">
        <f aca="false">IF(A703="","",IF(COUNTIFS($X$2:$X$2001,X703,$D$2:$D$2001,"&lt;&gt;"&amp;D703,$C$2:$C$2001,C703)&gt;0,"SIM","NAO"))</f>
        <v/>
      </c>
      <c r="Z703" s="5" t="str">
        <f aca="false">IF(A703="","",IF(J703="","",IFERROR(360/J703,"")))</f>
        <v/>
      </c>
      <c r="AA703" s="5" t="str">
        <f aca="false">IF(A703="","",IF(H703=0,"Parado (sem venda 90d)",IF(Z703&gt;12,"Alto (&gt;12x/ano)",IF(Z703&gt;=4,"Medio (4-12x/ano)","Baixo (&lt;4x/ano)"))))</f>
        <v/>
      </c>
    </row>
    <row r="704" customFormat="false" ht="15" hidden="false" customHeight="true" outlineLevel="0" collapsed="false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18"/>
      <c r="L704" s="19" t="str">
        <f aca="false">IF(A704="","",G704*K704)</f>
        <v/>
      </c>
      <c r="M704" s="20"/>
      <c r="N704" s="6"/>
      <c r="O704" s="6"/>
      <c r="P704" s="5" t="str">
        <f aca="false">IF(A704="","",H704/90)</f>
        <v/>
      </c>
      <c r="Q704" s="5" t="str">
        <f aca="false">IF(A704="","",IFERROR(INDEX(Parâmetros!$C$6:$C$10,MATCH(F704,Parâmetros!$B$6:$B$10,0)),""))</f>
        <v/>
      </c>
      <c r="R704" s="5" t="str">
        <f aca="false">IF(OR(A704="",P704="",Q704=""),"",P704*Q704)</f>
        <v/>
      </c>
      <c r="S704" s="5" t="str">
        <f aca="false">IF(R704="","",MAX(0,R704-G704))</f>
        <v/>
      </c>
      <c r="T704" s="21" t="str">
        <f aca="false">IF(S704="","",S704*K704)</f>
        <v/>
      </c>
      <c r="U704" s="5" t="str">
        <f aca="false">IF(A704="","",IF(J704&gt;Parâmetros!$C$14,"SIM","NAO"))</f>
        <v/>
      </c>
      <c r="V704" s="5" t="str">
        <f aca="false">IF(B704="","",TRIM(LEFT(B704,IFERROR(FIND(" ",B704)-1,LEN(B704)))))</f>
        <v/>
      </c>
      <c r="W704" s="22"/>
      <c r="X704" s="5" t="str">
        <f aca="false">IF(A704="","",IF(W704&lt;&gt;"",W704,V704))</f>
        <v/>
      </c>
      <c r="Y704" s="5" t="str">
        <f aca="false">IF(A704="","",IF(COUNTIFS($X$2:$X$2001,X704,$D$2:$D$2001,"&lt;&gt;"&amp;D704,$C$2:$C$2001,C704)&gt;0,"SIM","NAO"))</f>
        <v/>
      </c>
      <c r="Z704" s="5" t="str">
        <f aca="false">IF(A704="","",IF(J704="","",IFERROR(360/J704,"")))</f>
        <v/>
      </c>
      <c r="AA704" s="5" t="str">
        <f aca="false">IF(A704="","",IF(H704=0,"Parado (sem venda 90d)",IF(Z704&gt;12,"Alto (&gt;12x/ano)",IF(Z704&gt;=4,"Medio (4-12x/ano)","Baixo (&lt;4x/ano)"))))</f>
        <v/>
      </c>
    </row>
    <row r="705" customFormat="false" ht="15" hidden="false" customHeight="true" outlineLevel="0" collapsed="false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18"/>
      <c r="L705" s="19" t="str">
        <f aca="false">IF(A705="","",G705*K705)</f>
        <v/>
      </c>
      <c r="M705" s="20"/>
      <c r="N705" s="6"/>
      <c r="O705" s="6"/>
      <c r="P705" s="5" t="str">
        <f aca="false">IF(A705="","",H705/90)</f>
        <v/>
      </c>
      <c r="Q705" s="5" t="str">
        <f aca="false">IF(A705="","",IFERROR(INDEX(Parâmetros!$C$6:$C$10,MATCH(F705,Parâmetros!$B$6:$B$10,0)),""))</f>
        <v/>
      </c>
      <c r="R705" s="5" t="str">
        <f aca="false">IF(OR(A705="",P705="",Q705=""),"",P705*Q705)</f>
        <v/>
      </c>
      <c r="S705" s="5" t="str">
        <f aca="false">IF(R705="","",MAX(0,R705-G705))</f>
        <v/>
      </c>
      <c r="T705" s="21" t="str">
        <f aca="false">IF(S705="","",S705*K705)</f>
        <v/>
      </c>
      <c r="U705" s="5" t="str">
        <f aca="false">IF(A705="","",IF(J705&gt;Parâmetros!$C$14,"SIM","NAO"))</f>
        <v/>
      </c>
      <c r="V705" s="5" t="str">
        <f aca="false">IF(B705="","",TRIM(LEFT(B705,IFERROR(FIND(" ",B705)-1,LEN(B705)))))</f>
        <v/>
      </c>
      <c r="W705" s="22"/>
      <c r="X705" s="5" t="str">
        <f aca="false">IF(A705="","",IF(W705&lt;&gt;"",W705,V705))</f>
        <v/>
      </c>
      <c r="Y705" s="5" t="str">
        <f aca="false">IF(A705="","",IF(COUNTIFS($X$2:$X$2001,X705,$D$2:$D$2001,"&lt;&gt;"&amp;D705,$C$2:$C$2001,C705)&gt;0,"SIM","NAO"))</f>
        <v/>
      </c>
      <c r="Z705" s="5" t="str">
        <f aca="false">IF(A705="","",IF(J705="","",IFERROR(360/J705,"")))</f>
        <v/>
      </c>
      <c r="AA705" s="5" t="str">
        <f aca="false">IF(A705="","",IF(H705=0,"Parado (sem venda 90d)",IF(Z705&gt;12,"Alto (&gt;12x/ano)",IF(Z705&gt;=4,"Medio (4-12x/ano)","Baixo (&lt;4x/ano)"))))</f>
        <v/>
      </c>
    </row>
    <row r="706" customFormat="false" ht="15" hidden="false" customHeight="true" outlineLevel="0" collapsed="false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18"/>
      <c r="L706" s="19" t="str">
        <f aca="false">IF(A706="","",G706*K706)</f>
        <v/>
      </c>
      <c r="M706" s="20"/>
      <c r="N706" s="6"/>
      <c r="O706" s="6"/>
      <c r="P706" s="5" t="str">
        <f aca="false">IF(A706="","",H706/90)</f>
        <v/>
      </c>
      <c r="Q706" s="5" t="str">
        <f aca="false">IF(A706="","",IFERROR(INDEX(Parâmetros!$C$6:$C$10,MATCH(F706,Parâmetros!$B$6:$B$10,0)),""))</f>
        <v/>
      </c>
      <c r="R706" s="5" t="str">
        <f aca="false">IF(OR(A706="",P706="",Q706=""),"",P706*Q706)</f>
        <v/>
      </c>
      <c r="S706" s="5" t="str">
        <f aca="false">IF(R706="","",MAX(0,R706-G706))</f>
        <v/>
      </c>
      <c r="T706" s="21" t="str">
        <f aca="false">IF(S706="","",S706*K706)</f>
        <v/>
      </c>
      <c r="U706" s="5" t="str">
        <f aca="false">IF(A706="","",IF(J706&gt;Parâmetros!$C$14,"SIM","NAO"))</f>
        <v/>
      </c>
      <c r="V706" s="5" t="str">
        <f aca="false">IF(B706="","",TRIM(LEFT(B706,IFERROR(FIND(" ",B706)-1,LEN(B706)))))</f>
        <v/>
      </c>
      <c r="W706" s="22"/>
      <c r="X706" s="5" t="str">
        <f aca="false">IF(A706="","",IF(W706&lt;&gt;"",W706,V706))</f>
        <v/>
      </c>
      <c r="Y706" s="5" t="str">
        <f aca="false">IF(A706="","",IF(COUNTIFS($X$2:$X$2001,X706,$D$2:$D$2001,"&lt;&gt;"&amp;D706,$C$2:$C$2001,C706)&gt;0,"SIM","NAO"))</f>
        <v/>
      </c>
      <c r="Z706" s="5" t="str">
        <f aca="false">IF(A706="","",IF(J706="","",IFERROR(360/J706,"")))</f>
        <v/>
      </c>
      <c r="AA706" s="5" t="str">
        <f aca="false">IF(A706="","",IF(H706=0,"Parado (sem venda 90d)",IF(Z706&gt;12,"Alto (&gt;12x/ano)",IF(Z706&gt;=4,"Medio (4-12x/ano)","Baixo (&lt;4x/ano)"))))</f>
        <v/>
      </c>
    </row>
    <row r="707" customFormat="false" ht="15" hidden="false" customHeight="true" outlineLevel="0" collapsed="false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18"/>
      <c r="L707" s="19" t="str">
        <f aca="false">IF(A707="","",G707*K707)</f>
        <v/>
      </c>
      <c r="M707" s="20"/>
      <c r="N707" s="6"/>
      <c r="O707" s="6"/>
      <c r="P707" s="5" t="str">
        <f aca="false">IF(A707="","",H707/90)</f>
        <v/>
      </c>
      <c r="Q707" s="5" t="str">
        <f aca="false">IF(A707="","",IFERROR(INDEX(Parâmetros!$C$6:$C$10,MATCH(F707,Parâmetros!$B$6:$B$10,0)),""))</f>
        <v/>
      </c>
      <c r="R707" s="5" t="str">
        <f aca="false">IF(OR(A707="",P707="",Q707=""),"",P707*Q707)</f>
        <v/>
      </c>
      <c r="S707" s="5" t="str">
        <f aca="false">IF(R707="","",MAX(0,R707-G707))</f>
        <v/>
      </c>
      <c r="T707" s="21" t="str">
        <f aca="false">IF(S707="","",S707*K707)</f>
        <v/>
      </c>
      <c r="U707" s="5" t="str">
        <f aca="false">IF(A707="","",IF(J707&gt;Parâmetros!$C$14,"SIM","NAO"))</f>
        <v/>
      </c>
      <c r="V707" s="5" t="str">
        <f aca="false">IF(B707="","",TRIM(LEFT(B707,IFERROR(FIND(" ",B707)-1,LEN(B707)))))</f>
        <v/>
      </c>
      <c r="W707" s="22"/>
      <c r="X707" s="5" t="str">
        <f aca="false">IF(A707="","",IF(W707&lt;&gt;"",W707,V707))</f>
        <v/>
      </c>
      <c r="Y707" s="5" t="str">
        <f aca="false">IF(A707="","",IF(COUNTIFS($X$2:$X$2001,X707,$D$2:$D$2001,"&lt;&gt;"&amp;D707,$C$2:$C$2001,C707)&gt;0,"SIM","NAO"))</f>
        <v/>
      </c>
      <c r="Z707" s="5" t="str">
        <f aca="false">IF(A707="","",IF(J707="","",IFERROR(360/J707,"")))</f>
        <v/>
      </c>
      <c r="AA707" s="5" t="str">
        <f aca="false">IF(A707="","",IF(H707=0,"Parado (sem venda 90d)",IF(Z707&gt;12,"Alto (&gt;12x/ano)",IF(Z707&gt;=4,"Medio (4-12x/ano)","Baixo (&lt;4x/ano)"))))</f>
        <v/>
      </c>
    </row>
    <row r="708" customFormat="false" ht="15" hidden="false" customHeight="true" outlineLevel="0" collapsed="false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18"/>
      <c r="L708" s="19" t="str">
        <f aca="false">IF(A708="","",G708*K708)</f>
        <v/>
      </c>
      <c r="M708" s="20"/>
      <c r="N708" s="6"/>
      <c r="O708" s="6"/>
      <c r="P708" s="5" t="str">
        <f aca="false">IF(A708="","",H708/90)</f>
        <v/>
      </c>
      <c r="Q708" s="5" t="str">
        <f aca="false">IF(A708="","",IFERROR(INDEX(Parâmetros!$C$6:$C$10,MATCH(F708,Parâmetros!$B$6:$B$10,0)),""))</f>
        <v/>
      </c>
      <c r="R708" s="5" t="str">
        <f aca="false">IF(OR(A708="",P708="",Q708=""),"",P708*Q708)</f>
        <v/>
      </c>
      <c r="S708" s="5" t="str">
        <f aca="false">IF(R708="","",MAX(0,R708-G708))</f>
        <v/>
      </c>
      <c r="T708" s="21" t="str">
        <f aca="false">IF(S708="","",S708*K708)</f>
        <v/>
      </c>
      <c r="U708" s="5" t="str">
        <f aca="false">IF(A708="","",IF(J708&gt;Parâmetros!$C$14,"SIM","NAO"))</f>
        <v/>
      </c>
      <c r="V708" s="5" t="str">
        <f aca="false">IF(B708="","",TRIM(LEFT(B708,IFERROR(FIND(" ",B708)-1,LEN(B708)))))</f>
        <v/>
      </c>
      <c r="W708" s="22"/>
      <c r="X708" s="5" t="str">
        <f aca="false">IF(A708="","",IF(W708&lt;&gt;"",W708,V708))</f>
        <v/>
      </c>
      <c r="Y708" s="5" t="str">
        <f aca="false">IF(A708="","",IF(COUNTIFS($X$2:$X$2001,X708,$D$2:$D$2001,"&lt;&gt;"&amp;D708,$C$2:$C$2001,C708)&gt;0,"SIM","NAO"))</f>
        <v/>
      </c>
      <c r="Z708" s="5" t="str">
        <f aca="false">IF(A708="","",IF(J708="","",IFERROR(360/J708,"")))</f>
        <v/>
      </c>
      <c r="AA708" s="5" t="str">
        <f aca="false">IF(A708="","",IF(H708=0,"Parado (sem venda 90d)",IF(Z708&gt;12,"Alto (&gt;12x/ano)",IF(Z708&gt;=4,"Medio (4-12x/ano)","Baixo (&lt;4x/ano)"))))</f>
        <v/>
      </c>
    </row>
    <row r="709" customFormat="false" ht="15" hidden="false" customHeight="true" outlineLevel="0" collapsed="false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18"/>
      <c r="L709" s="19" t="str">
        <f aca="false">IF(A709="","",G709*K709)</f>
        <v/>
      </c>
      <c r="M709" s="20"/>
      <c r="N709" s="6"/>
      <c r="O709" s="6"/>
      <c r="P709" s="5" t="str">
        <f aca="false">IF(A709="","",H709/90)</f>
        <v/>
      </c>
      <c r="Q709" s="5" t="str">
        <f aca="false">IF(A709="","",IFERROR(INDEX(Parâmetros!$C$6:$C$10,MATCH(F709,Parâmetros!$B$6:$B$10,0)),""))</f>
        <v/>
      </c>
      <c r="R709" s="5" t="str">
        <f aca="false">IF(OR(A709="",P709="",Q709=""),"",P709*Q709)</f>
        <v/>
      </c>
      <c r="S709" s="5" t="str">
        <f aca="false">IF(R709="","",MAX(0,R709-G709))</f>
        <v/>
      </c>
      <c r="T709" s="21" t="str">
        <f aca="false">IF(S709="","",S709*K709)</f>
        <v/>
      </c>
      <c r="U709" s="5" t="str">
        <f aca="false">IF(A709="","",IF(J709&gt;Parâmetros!$C$14,"SIM","NAO"))</f>
        <v/>
      </c>
      <c r="V709" s="5" t="str">
        <f aca="false">IF(B709="","",TRIM(LEFT(B709,IFERROR(FIND(" ",B709)-1,LEN(B709)))))</f>
        <v/>
      </c>
      <c r="W709" s="22"/>
      <c r="X709" s="5" t="str">
        <f aca="false">IF(A709="","",IF(W709&lt;&gt;"",W709,V709))</f>
        <v/>
      </c>
      <c r="Y709" s="5" t="str">
        <f aca="false">IF(A709="","",IF(COUNTIFS($X$2:$X$2001,X709,$D$2:$D$2001,"&lt;&gt;"&amp;D709,$C$2:$C$2001,C709)&gt;0,"SIM","NAO"))</f>
        <v/>
      </c>
      <c r="Z709" s="5" t="str">
        <f aca="false">IF(A709="","",IF(J709="","",IFERROR(360/J709,"")))</f>
        <v/>
      </c>
      <c r="AA709" s="5" t="str">
        <f aca="false">IF(A709="","",IF(H709=0,"Parado (sem venda 90d)",IF(Z709&gt;12,"Alto (&gt;12x/ano)",IF(Z709&gt;=4,"Medio (4-12x/ano)","Baixo (&lt;4x/ano)"))))</f>
        <v/>
      </c>
    </row>
    <row r="710" customFormat="false" ht="15" hidden="false" customHeight="true" outlineLevel="0" collapsed="false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18"/>
      <c r="L710" s="19" t="str">
        <f aca="false">IF(A710="","",G710*K710)</f>
        <v/>
      </c>
      <c r="M710" s="20"/>
      <c r="N710" s="6"/>
      <c r="O710" s="6"/>
      <c r="P710" s="5" t="str">
        <f aca="false">IF(A710="","",H710/90)</f>
        <v/>
      </c>
      <c r="Q710" s="5" t="str">
        <f aca="false">IF(A710="","",IFERROR(INDEX(Parâmetros!$C$6:$C$10,MATCH(F710,Parâmetros!$B$6:$B$10,0)),""))</f>
        <v/>
      </c>
      <c r="R710" s="5" t="str">
        <f aca="false">IF(OR(A710="",P710="",Q710=""),"",P710*Q710)</f>
        <v/>
      </c>
      <c r="S710" s="5" t="str">
        <f aca="false">IF(R710="","",MAX(0,R710-G710))</f>
        <v/>
      </c>
      <c r="T710" s="21" t="str">
        <f aca="false">IF(S710="","",S710*K710)</f>
        <v/>
      </c>
      <c r="U710" s="5" t="str">
        <f aca="false">IF(A710="","",IF(J710&gt;Parâmetros!$C$14,"SIM","NAO"))</f>
        <v/>
      </c>
      <c r="V710" s="5" t="str">
        <f aca="false">IF(B710="","",TRIM(LEFT(B710,IFERROR(FIND(" ",B710)-1,LEN(B710)))))</f>
        <v/>
      </c>
      <c r="W710" s="22"/>
      <c r="X710" s="5" t="str">
        <f aca="false">IF(A710="","",IF(W710&lt;&gt;"",W710,V710))</f>
        <v/>
      </c>
      <c r="Y710" s="5" t="str">
        <f aca="false">IF(A710="","",IF(COUNTIFS($X$2:$X$2001,X710,$D$2:$D$2001,"&lt;&gt;"&amp;D710,$C$2:$C$2001,C710)&gt;0,"SIM","NAO"))</f>
        <v/>
      </c>
      <c r="Z710" s="5" t="str">
        <f aca="false">IF(A710="","",IF(J710="","",IFERROR(360/J710,"")))</f>
        <v/>
      </c>
      <c r="AA710" s="5" t="str">
        <f aca="false">IF(A710="","",IF(H710=0,"Parado (sem venda 90d)",IF(Z710&gt;12,"Alto (&gt;12x/ano)",IF(Z710&gt;=4,"Medio (4-12x/ano)","Baixo (&lt;4x/ano)"))))</f>
        <v/>
      </c>
    </row>
    <row r="711" customFormat="false" ht="15" hidden="false" customHeight="true" outlineLevel="0" collapsed="false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18"/>
      <c r="L711" s="19" t="str">
        <f aca="false">IF(A711="","",G711*K711)</f>
        <v/>
      </c>
      <c r="M711" s="20"/>
      <c r="N711" s="6"/>
      <c r="O711" s="6"/>
      <c r="P711" s="5" t="str">
        <f aca="false">IF(A711="","",H711/90)</f>
        <v/>
      </c>
      <c r="Q711" s="5" t="str">
        <f aca="false">IF(A711="","",IFERROR(INDEX(Parâmetros!$C$6:$C$10,MATCH(F711,Parâmetros!$B$6:$B$10,0)),""))</f>
        <v/>
      </c>
      <c r="R711" s="5" t="str">
        <f aca="false">IF(OR(A711="",P711="",Q711=""),"",P711*Q711)</f>
        <v/>
      </c>
      <c r="S711" s="5" t="str">
        <f aca="false">IF(R711="","",MAX(0,R711-G711))</f>
        <v/>
      </c>
      <c r="T711" s="21" t="str">
        <f aca="false">IF(S711="","",S711*K711)</f>
        <v/>
      </c>
      <c r="U711" s="5" t="str">
        <f aca="false">IF(A711="","",IF(J711&gt;Parâmetros!$C$14,"SIM","NAO"))</f>
        <v/>
      </c>
      <c r="V711" s="5" t="str">
        <f aca="false">IF(B711="","",TRIM(LEFT(B711,IFERROR(FIND(" ",B711)-1,LEN(B711)))))</f>
        <v/>
      </c>
      <c r="W711" s="22"/>
      <c r="X711" s="5" t="str">
        <f aca="false">IF(A711="","",IF(W711&lt;&gt;"",W711,V711))</f>
        <v/>
      </c>
      <c r="Y711" s="5" t="str">
        <f aca="false">IF(A711="","",IF(COUNTIFS($X$2:$X$2001,X711,$D$2:$D$2001,"&lt;&gt;"&amp;D711,$C$2:$C$2001,C711)&gt;0,"SIM","NAO"))</f>
        <v/>
      </c>
      <c r="Z711" s="5" t="str">
        <f aca="false">IF(A711="","",IF(J711="","",IFERROR(360/J711,"")))</f>
        <v/>
      </c>
      <c r="AA711" s="5" t="str">
        <f aca="false">IF(A711="","",IF(H711=0,"Parado (sem venda 90d)",IF(Z711&gt;12,"Alto (&gt;12x/ano)",IF(Z711&gt;=4,"Medio (4-12x/ano)","Baixo (&lt;4x/ano)"))))</f>
        <v/>
      </c>
    </row>
    <row r="712" customFormat="false" ht="15" hidden="false" customHeight="true" outlineLevel="0" collapsed="false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18"/>
      <c r="L712" s="19" t="str">
        <f aca="false">IF(A712="","",G712*K712)</f>
        <v/>
      </c>
      <c r="M712" s="20"/>
      <c r="N712" s="6"/>
      <c r="O712" s="6"/>
      <c r="P712" s="5" t="str">
        <f aca="false">IF(A712="","",H712/90)</f>
        <v/>
      </c>
      <c r="Q712" s="5" t="str">
        <f aca="false">IF(A712="","",IFERROR(INDEX(Parâmetros!$C$6:$C$10,MATCH(F712,Parâmetros!$B$6:$B$10,0)),""))</f>
        <v/>
      </c>
      <c r="R712" s="5" t="str">
        <f aca="false">IF(OR(A712="",P712="",Q712=""),"",P712*Q712)</f>
        <v/>
      </c>
      <c r="S712" s="5" t="str">
        <f aca="false">IF(R712="","",MAX(0,R712-G712))</f>
        <v/>
      </c>
      <c r="T712" s="21" t="str">
        <f aca="false">IF(S712="","",S712*K712)</f>
        <v/>
      </c>
      <c r="U712" s="5" t="str">
        <f aca="false">IF(A712="","",IF(J712&gt;Parâmetros!$C$14,"SIM","NAO"))</f>
        <v/>
      </c>
      <c r="V712" s="5" t="str">
        <f aca="false">IF(B712="","",TRIM(LEFT(B712,IFERROR(FIND(" ",B712)-1,LEN(B712)))))</f>
        <v/>
      </c>
      <c r="W712" s="22"/>
      <c r="X712" s="5" t="str">
        <f aca="false">IF(A712="","",IF(W712&lt;&gt;"",W712,V712))</f>
        <v/>
      </c>
      <c r="Y712" s="5" t="str">
        <f aca="false">IF(A712="","",IF(COUNTIFS($X$2:$X$2001,X712,$D$2:$D$2001,"&lt;&gt;"&amp;D712,$C$2:$C$2001,C712)&gt;0,"SIM","NAO"))</f>
        <v/>
      </c>
      <c r="Z712" s="5" t="str">
        <f aca="false">IF(A712="","",IF(J712="","",IFERROR(360/J712,"")))</f>
        <v/>
      </c>
      <c r="AA712" s="5" t="str">
        <f aca="false">IF(A712="","",IF(H712=0,"Parado (sem venda 90d)",IF(Z712&gt;12,"Alto (&gt;12x/ano)",IF(Z712&gt;=4,"Medio (4-12x/ano)","Baixo (&lt;4x/ano)"))))</f>
        <v/>
      </c>
    </row>
    <row r="713" customFormat="false" ht="15" hidden="false" customHeight="true" outlineLevel="0" collapsed="false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18"/>
      <c r="L713" s="19" t="str">
        <f aca="false">IF(A713="","",G713*K713)</f>
        <v/>
      </c>
      <c r="M713" s="20"/>
      <c r="N713" s="6"/>
      <c r="O713" s="6"/>
      <c r="P713" s="5" t="str">
        <f aca="false">IF(A713="","",H713/90)</f>
        <v/>
      </c>
      <c r="Q713" s="5" t="str">
        <f aca="false">IF(A713="","",IFERROR(INDEX(Parâmetros!$C$6:$C$10,MATCH(F713,Parâmetros!$B$6:$B$10,0)),""))</f>
        <v/>
      </c>
      <c r="R713" s="5" t="str">
        <f aca="false">IF(OR(A713="",P713="",Q713=""),"",P713*Q713)</f>
        <v/>
      </c>
      <c r="S713" s="5" t="str">
        <f aca="false">IF(R713="","",MAX(0,R713-G713))</f>
        <v/>
      </c>
      <c r="T713" s="21" t="str">
        <f aca="false">IF(S713="","",S713*K713)</f>
        <v/>
      </c>
      <c r="U713" s="5" t="str">
        <f aca="false">IF(A713="","",IF(J713&gt;Parâmetros!$C$14,"SIM","NAO"))</f>
        <v/>
      </c>
      <c r="V713" s="5" t="str">
        <f aca="false">IF(B713="","",TRIM(LEFT(B713,IFERROR(FIND(" ",B713)-1,LEN(B713)))))</f>
        <v/>
      </c>
      <c r="W713" s="22"/>
      <c r="X713" s="5" t="str">
        <f aca="false">IF(A713="","",IF(W713&lt;&gt;"",W713,V713))</f>
        <v/>
      </c>
      <c r="Y713" s="5" t="str">
        <f aca="false">IF(A713="","",IF(COUNTIFS($X$2:$X$2001,X713,$D$2:$D$2001,"&lt;&gt;"&amp;D713,$C$2:$C$2001,C713)&gt;0,"SIM","NAO"))</f>
        <v/>
      </c>
      <c r="Z713" s="5" t="str">
        <f aca="false">IF(A713="","",IF(J713="","",IFERROR(360/J713,"")))</f>
        <v/>
      </c>
      <c r="AA713" s="5" t="str">
        <f aca="false">IF(A713="","",IF(H713=0,"Parado (sem venda 90d)",IF(Z713&gt;12,"Alto (&gt;12x/ano)",IF(Z713&gt;=4,"Medio (4-12x/ano)","Baixo (&lt;4x/ano)"))))</f>
        <v/>
      </c>
    </row>
    <row r="714" customFormat="false" ht="15" hidden="false" customHeight="true" outlineLevel="0" collapsed="false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18"/>
      <c r="L714" s="19" t="str">
        <f aca="false">IF(A714="","",G714*K714)</f>
        <v/>
      </c>
      <c r="M714" s="20"/>
      <c r="N714" s="6"/>
      <c r="O714" s="6"/>
      <c r="P714" s="5" t="str">
        <f aca="false">IF(A714="","",H714/90)</f>
        <v/>
      </c>
      <c r="Q714" s="5" t="str">
        <f aca="false">IF(A714="","",IFERROR(INDEX(Parâmetros!$C$6:$C$10,MATCH(F714,Parâmetros!$B$6:$B$10,0)),""))</f>
        <v/>
      </c>
      <c r="R714" s="5" t="str">
        <f aca="false">IF(OR(A714="",P714="",Q714=""),"",P714*Q714)</f>
        <v/>
      </c>
      <c r="S714" s="5" t="str">
        <f aca="false">IF(R714="","",MAX(0,R714-G714))</f>
        <v/>
      </c>
      <c r="T714" s="21" t="str">
        <f aca="false">IF(S714="","",S714*K714)</f>
        <v/>
      </c>
      <c r="U714" s="5" t="str">
        <f aca="false">IF(A714="","",IF(J714&gt;Parâmetros!$C$14,"SIM","NAO"))</f>
        <v/>
      </c>
      <c r="V714" s="5" t="str">
        <f aca="false">IF(B714="","",TRIM(LEFT(B714,IFERROR(FIND(" ",B714)-1,LEN(B714)))))</f>
        <v/>
      </c>
      <c r="W714" s="22"/>
      <c r="X714" s="5" t="str">
        <f aca="false">IF(A714="","",IF(W714&lt;&gt;"",W714,V714))</f>
        <v/>
      </c>
      <c r="Y714" s="5" t="str">
        <f aca="false">IF(A714="","",IF(COUNTIFS($X$2:$X$2001,X714,$D$2:$D$2001,"&lt;&gt;"&amp;D714,$C$2:$C$2001,C714)&gt;0,"SIM","NAO"))</f>
        <v/>
      </c>
      <c r="Z714" s="5" t="str">
        <f aca="false">IF(A714="","",IF(J714="","",IFERROR(360/J714,"")))</f>
        <v/>
      </c>
      <c r="AA714" s="5" t="str">
        <f aca="false">IF(A714="","",IF(H714=0,"Parado (sem venda 90d)",IF(Z714&gt;12,"Alto (&gt;12x/ano)",IF(Z714&gt;=4,"Medio (4-12x/ano)","Baixo (&lt;4x/ano)"))))</f>
        <v/>
      </c>
    </row>
    <row r="715" customFormat="false" ht="15" hidden="false" customHeight="true" outlineLevel="0" collapsed="false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18"/>
      <c r="L715" s="19" t="str">
        <f aca="false">IF(A715="","",G715*K715)</f>
        <v/>
      </c>
      <c r="M715" s="20"/>
      <c r="N715" s="6"/>
      <c r="O715" s="6"/>
      <c r="P715" s="5" t="str">
        <f aca="false">IF(A715="","",H715/90)</f>
        <v/>
      </c>
      <c r="Q715" s="5" t="str">
        <f aca="false">IF(A715="","",IFERROR(INDEX(Parâmetros!$C$6:$C$10,MATCH(F715,Parâmetros!$B$6:$B$10,0)),""))</f>
        <v/>
      </c>
      <c r="R715" s="5" t="str">
        <f aca="false">IF(OR(A715="",P715="",Q715=""),"",P715*Q715)</f>
        <v/>
      </c>
      <c r="S715" s="5" t="str">
        <f aca="false">IF(R715="","",MAX(0,R715-G715))</f>
        <v/>
      </c>
      <c r="T715" s="21" t="str">
        <f aca="false">IF(S715="","",S715*K715)</f>
        <v/>
      </c>
      <c r="U715" s="5" t="str">
        <f aca="false">IF(A715="","",IF(J715&gt;Parâmetros!$C$14,"SIM","NAO"))</f>
        <v/>
      </c>
      <c r="V715" s="5" t="str">
        <f aca="false">IF(B715="","",TRIM(LEFT(B715,IFERROR(FIND(" ",B715)-1,LEN(B715)))))</f>
        <v/>
      </c>
      <c r="W715" s="22"/>
      <c r="X715" s="5" t="str">
        <f aca="false">IF(A715="","",IF(W715&lt;&gt;"",W715,V715))</f>
        <v/>
      </c>
      <c r="Y715" s="5" t="str">
        <f aca="false">IF(A715="","",IF(COUNTIFS($X$2:$X$2001,X715,$D$2:$D$2001,"&lt;&gt;"&amp;D715,$C$2:$C$2001,C715)&gt;0,"SIM","NAO"))</f>
        <v/>
      </c>
      <c r="Z715" s="5" t="str">
        <f aca="false">IF(A715="","",IF(J715="","",IFERROR(360/J715,"")))</f>
        <v/>
      </c>
      <c r="AA715" s="5" t="str">
        <f aca="false">IF(A715="","",IF(H715=0,"Parado (sem venda 90d)",IF(Z715&gt;12,"Alto (&gt;12x/ano)",IF(Z715&gt;=4,"Medio (4-12x/ano)","Baixo (&lt;4x/ano)"))))</f>
        <v/>
      </c>
    </row>
    <row r="716" customFormat="false" ht="15" hidden="false" customHeight="true" outlineLevel="0" collapsed="false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18"/>
      <c r="L716" s="19" t="str">
        <f aca="false">IF(A716="","",G716*K716)</f>
        <v/>
      </c>
      <c r="M716" s="20"/>
      <c r="N716" s="6"/>
      <c r="O716" s="6"/>
      <c r="P716" s="5" t="str">
        <f aca="false">IF(A716="","",H716/90)</f>
        <v/>
      </c>
      <c r="Q716" s="5" t="str">
        <f aca="false">IF(A716="","",IFERROR(INDEX(Parâmetros!$C$6:$C$10,MATCH(F716,Parâmetros!$B$6:$B$10,0)),""))</f>
        <v/>
      </c>
      <c r="R716" s="5" t="str">
        <f aca="false">IF(OR(A716="",P716="",Q716=""),"",P716*Q716)</f>
        <v/>
      </c>
      <c r="S716" s="5" t="str">
        <f aca="false">IF(R716="","",MAX(0,R716-G716))</f>
        <v/>
      </c>
      <c r="T716" s="21" t="str">
        <f aca="false">IF(S716="","",S716*K716)</f>
        <v/>
      </c>
      <c r="U716" s="5" t="str">
        <f aca="false">IF(A716="","",IF(J716&gt;Parâmetros!$C$14,"SIM","NAO"))</f>
        <v/>
      </c>
      <c r="V716" s="5" t="str">
        <f aca="false">IF(B716="","",TRIM(LEFT(B716,IFERROR(FIND(" ",B716)-1,LEN(B716)))))</f>
        <v/>
      </c>
      <c r="W716" s="22"/>
      <c r="X716" s="5" t="str">
        <f aca="false">IF(A716="","",IF(W716&lt;&gt;"",W716,V716))</f>
        <v/>
      </c>
      <c r="Y716" s="5" t="str">
        <f aca="false">IF(A716="","",IF(COUNTIFS($X$2:$X$2001,X716,$D$2:$D$2001,"&lt;&gt;"&amp;D716,$C$2:$C$2001,C716)&gt;0,"SIM","NAO"))</f>
        <v/>
      </c>
      <c r="Z716" s="5" t="str">
        <f aca="false">IF(A716="","",IF(J716="","",IFERROR(360/J716,"")))</f>
        <v/>
      </c>
      <c r="AA716" s="5" t="str">
        <f aca="false">IF(A716="","",IF(H716=0,"Parado (sem venda 90d)",IF(Z716&gt;12,"Alto (&gt;12x/ano)",IF(Z716&gt;=4,"Medio (4-12x/ano)","Baixo (&lt;4x/ano)"))))</f>
        <v/>
      </c>
    </row>
    <row r="717" customFormat="false" ht="15" hidden="false" customHeight="true" outlineLevel="0" collapsed="false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18"/>
      <c r="L717" s="19" t="str">
        <f aca="false">IF(A717="","",G717*K717)</f>
        <v/>
      </c>
      <c r="M717" s="20"/>
      <c r="N717" s="6"/>
      <c r="O717" s="6"/>
      <c r="P717" s="5" t="str">
        <f aca="false">IF(A717="","",H717/90)</f>
        <v/>
      </c>
      <c r="Q717" s="5" t="str">
        <f aca="false">IF(A717="","",IFERROR(INDEX(Parâmetros!$C$6:$C$10,MATCH(F717,Parâmetros!$B$6:$B$10,0)),""))</f>
        <v/>
      </c>
      <c r="R717" s="5" t="str">
        <f aca="false">IF(OR(A717="",P717="",Q717=""),"",P717*Q717)</f>
        <v/>
      </c>
      <c r="S717" s="5" t="str">
        <f aca="false">IF(R717="","",MAX(0,R717-G717))</f>
        <v/>
      </c>
      <c r="T717" s="21" t="str">
        <f aca="false">IF(S717="","",S717*K717)</f>
        <v/>
      </c>
      <c r="U717" s="5" t="str">
        <f aca="false">IF(A717="","",IF(J717&gt;Parâmetros!$C$14,"SIM","NAO"))</f>
        <v/>
      </c>
      <c r="V717" s="5" t="str">
        <f aca="false">IF(B717="","",TRIM(LEFT(B717,IFERROR(FIND(" ",B717)-1,LEN(B717)))))</f>
        <v/>
      </c>
      <c r="W717" s="22"/>
      <c r="X717" s="5" t="str">
        <f aca="false">IF(A717="","",IF(W717&lt;&gt;"",W717,V717))</f>
        <v/>
      </c>
      <c r="Y717" s="5" t="str">
        <f aca="false">IF(A717="","",IF(COUNTIFS($X$2:$X$2001,X717,$D$2:$D$2001,"&lt;&gt;"&amp;D717,$C$2:$C$2001,C717)&gt;0,"SIM","NAO"))</f>
        <v/>
      </c>
      <c r="Z717" s="5" t="str">
        <f aca="false">IF(A717="","",IF(J717="","",IFERROR(360/J717,"")))</f>
        <v/>
      </c>
      <c r="AA717" s="5" t="str">
        <f aca="false">IF(A717="","",IF(H717=0,"Parado (sem venda 90d)",IF(Z717&gt;12,"Alto (&gt;12x/ano)",IF(Z717&gt;=4,"Medio (4-12x/ano)","Baixo (&lt;4x/ano)"))))</f>
        <v/>
      </c>
    </row>
    <row r="718" customFormat="false" ht="15" hidden="false" customHeight="true" outlineLevel="0" collapsed="false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18"/>
      <c r="L718" s="19" t="str">
        <f aca="false">IF(A718="","",G718*K718)</f>
        <v/>
      </c>
      <c r="M718" s="20"/>
      <c r="N718" s="6"/>
      <c r="O718" s="6"/>
      <c r="P718" s="5" t="str">
        <f aca="false">IF(A718="","",H718/90)</f>
        <v/>
      </c>
      <c r="Q718" s="5" t="str">
        <f aca="false">IF(A718="","",IFERROR(INDEX(Parâmetros!$C$6:$C$10,MATCH(F718,Parâmetros!$B$6:$B$10,0)),""))</f>
        <v/>
      </c>
      <c r="R718" s="5" t="str">
        <f aca="false">IF(OR(A718="",P718="",Q718=""),"",P718*Q718)</f>
        <v/>
      </c>
      <c r="S718" s="5" t="str">
        <f aca="false">IF(R718="","",MAX(0,R718-G718))</f>
        <v/>
      </c>
      <c r="T718" s="21" t="str">
        <f aca="false">IF(S718="","",S718*K718)</f>
        <v/>
      </c>
      <c r="U718" s="5" t="str">
        <f aca="false">IF(A718="","",IF(J718&gt;Parâmetros!$C$14,"SIM","NAO"))</f>
        <v/>
      </c>
      <c r="V718" s="5" t="str">
        <f aca="false">IF(B718="","",TRIM(LEFT(B718,IFERROR(FIND(" ",B718)-1,LEN(B718)))))</f>
        <v/>
      </c>
      <c r="W718" s="22"/>
      <c r="X718" s="5" t="str">
        <f aca="false">IF(A718="","",IF(W718&lt;&gt;"",W718,V718))</f>
        <v/>
      </c>
      <c r="Y718" s="5" t="str">
        <f aca="false">IF(A718="","",IF(COUNTIFS($X$2:$X$2001,X718,$D$2:$D$2001,"&lt;&gt;"&amp;D718,$C$2:$C$2001,C718)&gt;0,"SIM","NAO"))</f>
        <v/>
      </c>
      <c r="Z718" s="5" t="str">
        <f aca="false">IF(A718="","",IF(J718="","",IFERROR(360/J718,"")))</f>
        <v/>
      </c>
      <c r="AA718" s="5" t="str">
        <f aca="false">IF(A718="","",IF(H718=0,"Parado (sem venda 90d)",IF(Z718&gt;12,"Alto (&gt;12x/ano)",IF(Z718&gt;=4,"Medio (4-12x/ano)","Baixo (&lt;4x/ano)"))))</f>
        <v/>
      </c>
    </row>
    <row r="719" customFormat="false" ht="15" hidden="false" customHeight="true" outlineLevel="0" collapsed="false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18"/>
      <c r="L719" s="19" t="str">
        <f aca="false">IF(A719="","",G719*K719)</f>
        <v/>
      </c>
      <c r="M719" s="20"/>
      <c r="N719" s="6"/>
      <c r="O719" s="6"/>
      <c r="P719" s="5" t="str">
        <f aca="false">IF(A719="","",H719/90)</f>
        <v/>
      </c>
      <c r="Q719" s="5" t="str">
        <f aca="false">IF(A719="","",IFERROR(INDEX(Parâmetros!$C$6:$C$10,MATCH(F719,Parâmetros!$B$6:$B$10,0)),""))</f>
        <v/>
      </c>
      <c r="R719" s="5" t="str">
        <f aca="false">IF(OR(A719="",P719="",Q719=""),"",P719*Q719)</f>
        <v/>
      </c>
      <c r="S719" s="5" t="str">
        <f aca="false">IF(R719="","",MAX(0,R719-G719))</f>
        <v/>
      </c>
      <c r="T719" s="21" t="str">
        <f aca="false">IF(S719="","",S719*K719)</f>
        <v/>
      </c>
      <c r="U719" s="5" t="str">
        <f aca="false">IF(A719="","",IF(J719&gt;Parâmetros!$C$14,"SIM","NAO"))</f>
        <v/>
      </c>
      <c r="V719" s="5" t="str">
        <f aca="false">IF(B719="","",TRIM(LEFT(B719,IFERROR(FIND(" ",B719)-1,LEN(B719)))))</f>
        <v/>
      </c>
      <c r="W719" s="22"/>
      <c r="X719" s="5" t="str">
        <f aca="false">IF(A719="","",IF(W719&lt;&gt;"",W719,V719))</f>
        <v/>
      </c>
      <c r="Y719" s="5" t="str">
        <f aca="false">IF(A719="","",IF(COUNTIFS($X$2:$X$2001,X719,$D$2:$D$2001,"&lt;&gt;"&amp;D719,$C$2:$C$2001,C719)&gt;0,"SIM","NAO"))</f>
        <v/>
      </c>
      <c r="Z719" s="5" t="str">
        <f aca="false">IF(A719="","",IF(J719="","",IFERROR(360/J719,"")))</f>
        <v/>
      </c>
      <c r="AA719" s="5" t="str">
        <f aca="false">IF(A719="","",IF(H719=0,"Parado (sem venda 90d)",IF(Z719&gt;12,"Alto (&gt;12x/ano)",IF(Z719&gt;=4,"Medio (4-12x/ano)","Baixo (&lt;4x/ano)"))))</f>
        <v/>
      </c>
    </row>
    <row r="720" customFormat="false" ht="15" hidden="false" customHeight="true" outlineLevel="0" collapsed="false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18"/>
      <c r="L720" s="19" t="str">
        <f aca="false">IF(A720="","",G720*K720)</f>
        <v/>
      </c>
      <c r="M720" s="20"/>
      <c r="N720" s="6"/>
      <c r="O720" s="6"/>
      <c r="P720" s="5" t="str">
        <f aca="false">IF(A720="","",H720/90)</f>
        <v/>
      </c>
      <c r="Q720" s="5" t="str">
        <f aca="false">IF(A720="","",IFERROR(INDEX(Parâmetros!$C$6:$C$10,MATCH(F720,Parâmetros!$B$6:$B$10,0)),""))</f>
        <v/>
      </c>
      <c r="R720" s="5" t="str">
        <f aca="false">IF(OR(A720="",P720="",Q720=""),"",P720*Q720)</f>
        <v/>
      </c>
      <c r="S720" s="5" t="str">
        <f aca="false">IF(R720="","",MAX(0,R720-G720))</f>
        <v/>
      </c>
      <c r="T720" s="21" t="str">
        <f aca="false">IF(S720="","",S720*K720)</f>
        <v/>
      </c>
      <c r="U720" s="5" t="str">
        <f aca="false">IF(A720="","",IF(J720&gt;Parâmetros!$C$14,"SIM","NAO"))</f>
        <v/>
      </c>
      <c r="V720" s="5" t="str">
        <f aca="false">IF(B720="","",TRIM(LEFT(B720,IFERROR(FIND(" ",B720)-1,LEN(B720)))))</f>
        <v/>
      </c>
      <c r="W720" s="22"/>
      <c r="X720" s="5" t="str">
        <f aca="false">IF(A720="","",IF(W720&lt;&gt;"",W720,V720))</f>
        <v/>
      </c>
      <c r="Y720" s="5" t="str">
        <f aca="false">IF(A720="","",IF(COUNTIFS($X$2:$X$2001,X720,$D$2:$D$2001,"&lt;&gt;"&amp;D720,$C$2:$C$2001,C720)&gt;0,"SIM","NAO"))</f>
        <v/>
      </c>
      <c r="Z720" s="5" t="str">
        <f aca="false">IF(A720="","",IF(J720="","",IFERROR(360/J720,"")))</f>
        <v/>
      </c>
      <c r="AA720" s="5" t="str">
        <f aca="false">IF(A720="","",IF(H720=0,"Parado (sem venda 90d)",IF(Z720&gt;12,"Alto (&gt;12x/ano)",IF(Z720&gt;=4,"Medio (4-12x/ano)","Baixo (&lt;4x/ano)"))))</f>
        <v/>
      </c>
    </row>
    <row r="721" customFormat="false" ht="15" hidden="false" customHeight="true" outlineLevel="0" collapsed="false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18"/>
      <c r="L721" s="19" t="str">
        <f aca="false">IF(A721="","",G721*K721)</f>
        <v/>
      </c>
      <c r="M721" s="20"/>
      <c r="N721" s="6"/>
      <c r="O721" s="6"/>
      <c r="P721" s="5" t="str">
        <f aca="false">IF(A721="","",H721/90)</f>
        <v/>
      </c>
      <c r="Q721" s="5" t="str">
        <f aca="false">IF(A721="","",IFERROR(INDEX(Parâmetros!$C$6:$C$10,MATCH(F721,Parâmetros!$B$6:$B$10,0)),""))</f>
        <v/>
      </c>
      <c r="R721" s="5" t="str">
        <f aca="false">IF(OR(A721="",P721="",Q721=""),"",P721*Q721)</f>
        <v/>
      </c>
      <c r="S721" s="5" t="str">
        <f aca="false">IF(R721="","",MAX(0,R721-G721))</f>
        <v/>
      </c>
      <c r="T721" s="21" t="str">
        <f aca="false">IF(S721="","",S721*K721)</f>
        <v/>
      </c>
      <c r="U721" s="5" t="str">
        <f aca="false">IF(A721="","",IF(J721&gt;Parâmetros!$C$14,"SIM","NAO"))</f>
        <v/>
      </c>
      <c r="V721" s="5" t="str">
        <f aca="false">IF(B721="","",TRIM(LEFT(B721,IFERROR(FIND(" ",B721)-1,LEN(B721)))))</f>
        <v/>
      </c>
      <c r="W721" s="22"/>
      <c r="X721" s="5" t="str">
        <f aca="false">IF(A721="","",IF(W721&lt;&gt;"",W721,V721))</f>
        <v/>
      </c>
      <c r="Y721" s="5" t="str">
        <f aca="false">IF(A721="","",IF(COUNTIFS($X$2:$X$2001,X721,$D$2:$D$2001,"&lt;&gt;"&amp;D721,$C$2:$C$2001,C721)&gt;0,"SIM","NAO"))</f>
        <v/>
      </c>
      <c r="Z721" s="5" t="str">
        <f aca="false">IF(A721="","",IF(J721="","",IFERROR(360/J721,"")))</f>
        <v/>
      </c>
      <c r="AA721" s="5" t="str">
        <f aca="false">IF(A721="","",IF(H721=0,"Parado (sem venda 90d)",IF(Z721&gt;12,"Alto (&gt;12x/ano)",IF(Z721&gt;=4,"Medio (4-12x/ano)","Baixo (&lt;4x/ano)"))))</f>
        <v/>
      </c>
    </row>
    <row r="722" customFormat="false" ht="15" hidden="false" customHeight="true" outlineLevel="0" collapsed="false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18"/>
      <c r="L722" s="19" t="str">
        <f aca="false">IF(A722="","",G722*K722)</f>
        <v/>
      </c>
      <c r="M722" s="20"/>
      <c r="N722" s="6"/>
      <c r="O722" s="6"/>
      <c r="P722" s="5" t="str">
        <f aca="false">IF(A722="","",H722/90)</f>
        <v/>
      </c>
      <c r="Q722" s="5" t="str">
        <f aca="false">IF(A722="","",IFERROR(INDEX(Parâmetros!$C$6:$C$10,MATCH(F722,Parâmetros!$B$6:$B$10,0)),""))</f>
        <v/>
      </c>
      <c r="R722" s="5" t="str">
        <f aca="false">IF(OR(A722="",P722="",Q722=""),"",P722*Q722)</f>
        <v/>
      </c>
      <c r="S722" s="5" t="str">
        <f aca="false">IF(R722="","",MAX(0,R722-G722))</f>
        <v/>
      </c>
      <c r="T722" s="21" t="str">
        <f aca="false">IF(S722="","",S722*K722)</f>
        <v/>
      </c>
      <c r="U722" s="5" t="str">
        <f aca="false">IF(A722="","",IF(J722&gt;Parâmetros!$C$14,"SIM","NAO"))</f>
        <v/>
      </c>
      <c r="V722" s="5" t="str">
        <f aca="false">IF(B722="","",TRIM(LEFT(B722,IFERROR(FIND(" ",B722)-1,LEN(B722)))))</f>
        <v/>
      </c>
      <c r="W722" s="22"/>
      <c r="X722" s="5" t="str">
        <f aca="false">IF(A722="","",IF(W722&lt;&gt;"",W722,V722))</f>
        <v/>
      </c>
      <c r="Y722" s="5" t="str">
        <f aca="false">IF(A722="","",IF(COUNTIFS($X$2:$X$2001,X722,$D$2:$D$2001,"&lt;&gt;"&amp;D722,$C$2:$C$2001,C722)&gt;0,"SIM","NAO"))</f>
        <v/>
      </c>
      <c r="Z722" s="5" t="str">
        <f aca="false">IF(A722="","",IF(J722="","",IFERROR(360/J722,"")))</f>
        <v/>
      </c>
      <c r="AA722" s="5" t="str">
        <f aca="false">IF(A722="","",IF(H722=0,"Parado (sem venda 90d)",IF(Z722&gt;12,"Alto (&gt;12x/ano)",IF(Z722&gt;=4,"Medio (4-12x/ano)","Baixo (&lt;4x/ano)"))))</f>
        <v/>
      </c>
    </row>
    <row r="723" customFormat="false" ht="15" hidden="false" customHeight="true" outlineLevel="0" collapsed="false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18"/>
      <c r="L723" s="19" t="str">
        <f aca="false">IF(A723="","",G723*K723)</f>
        <v/>
      </c>
      <c r="M723" s="20"/>
      <c r="N723" s="6"/>
      <c r="O723" s="6"/>
      <c r="P723" s="5" t="str">
        <f aca="false">IF(A723="","",H723/90)</f>
        <v/>
      </c>
      <c r="Q723" s="5" t="str">
        <f aca="false">IF(A723="","",IFERROR(INDEX(Parâmetros!$C$6:$C$10,MATCH(F723,Parâmetros!$B$6:$B$10,0)),""))</f>
        <v/>
      </c>
      <c r="R723" s="5" t="str">
        <f aca="false">IF(OR(A723="",P723="",Q723=""),"",P723*Q723)</f>
        <v/>
      </c>
      <c r="S723" s="5" t="str">
        <f aca="false">IF(R723="","",MAX(0,R723-G723))</f>
        <v/>
      </c>
      <c r="T723" s="21" t="str">
        <f aca="false">IF(S723="","",S723*K723)</f>
        <v/>
      </c>
      <c r="U723" s="5" t="str">
        <f aca="false">IF(A723="","",IF(J723&gt;Parâmetros!$C$14,"SIM","NAO"))</f>
        <v/>
      </c>
      <c r="V723" s="5" t="str">
        <f aca="false">IF(B723="","",TRIM(LEFT(B723,IFERROR(FIND(" ",B723)-1,LEN(B723)))))</f>
        <v/>
      </c>
      <c r="W723" s="22"/>
      <c r="X723" s="5" t="str">
        <f aca="false">IF(A723="","",IF(W723&lt;&gt;"",W723,V723))</f>
        <v/>
      </c>
      <c r="Y723" s="5" t="str">
        <f aca="false">IF(A723="","",IF(COUNTIFS($X$2:$X$2001,X723,$D$2:$D$2001,"&lt;&gt;"&amp;D723,$C$2:$C$2001,C723)&gt;0,"SIM","NAO"))</f>
        <v/>
      </c>
      <c r="Z723" s="5" t="str">
        <f aca="false">IF(A723="","",IF(J723="","",IFERROR(360/J723,"")))</f>
        <v/>
      </c>
      <c r="AA723" s="5" t="str">
        <f aca="false">IF(A723="","",IF(H723=0,"Parado (sem venda 90d)",IF(Z723&gt;12,"Alto (&gt;12x/ano)",IF(Z723&gt;=4,"Medio (4-12x/ano)","Baixo (&lt;4x/ano)"))))</f>
        <v/>
      </c>
    </row>
    <row r="724" customFormat="false" ht="15" hidden="false" customHeight="true" outlineLevel="0" collapsed="false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18"/>
      <c r="L724" s="19" t="str">
        <f aca="false">IF(A724="","",G724*K724)</f>
        <v/>
      </c>
      <c r="M724" s="20"/>
      <c r="N724" s="6"/>
      <c r="O724" s="6"/>
      <c r="P724" s="5" t="str">
        <f aca="false">IF(A724="","",H724/90)</f>
        <v/>
      </c>
      <c r="Q724" s="5" t="str">
        <f aca="false">IF(A724="","",IFERROR(INDEX(Parâmetros!$C$6:$C$10,MATCH(F724,Parâmetros!$B$6:$B$10,0)),""))</f>
        <v/>
      </c>
      <c r="R724" s="5" t="str">
        <f aca="false">IF(OR(A724="",P724="",Q724=""),"",P724*Q724)</f>
        <v/>
      </c>
      <c r="S724" s="5" t="str">
        <f aca="false">IF(R724="","",MAX(0,R724-G724))</f>
        <v/>
      </c>
      <c r="T724" s="21" t="str">
        <f aca="false">IF(S724="","",S724*K724)</f>
        <v/>
      </c>
      <c r="U724" s="5" t="str">
        <f aca="false">IF(A724="","",IF(J724&gt;Parâmetros!$C$14,"SIM","NAO"))</f>
        <v/>
      </c>
      <c r="V724" s="5" t="str">
        <f aca="false">IF(B724="","",TRIM(LEFT(B724,IFERROR(FIND(" ",B724)-1,LEN(B724)))))</f>
        <v/>
      </c>
      <c r="W724" s="22"/>
      <c r="X724" s="5" t="str">
        <f aca="false">IF(A724="","",IF(W724&lt;&gt;"",W724,V724))</f>
        <v/>
      </c>
      <c r="Y724" s="5" t="str">
        <f aca="false">IF(A724="","",IF(COUNTIFS($X$2:$X$2001,X724,$D$2:$D$2001,"&lt;&gt;"&amp;D724,$C$2:$C$2001,C724)&gt;0,"SIM","NAO"))</f>
        <v/>
      </c>
      <c r="Z724" s="5" t="str">
        <f aca="false">IF(A724="","",IF(J724="","",IFERROR(360/J724,"")))</f>
        <v/>
      </c>
      <c r="AA724" s="5" t="str">
        <f aca="false">IF(A724="","",IF(H724=0,"Parado (sem venda 90d)",IF(Z724&gt;12,"Alto (&gt;12x/ano)",IF(Z724&gt;=4,"Medio (4-12x/ano)","Baixo (&lt;4x/ano)"))))</f>
        <v/>
      </c>
    </row>
    <row r="725" customFormat="false" ht="15" hidden="false" customHeight="true" outlineLevel="0" collapsed="false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18"/>
      <c r="L725" s="19" t="str">
        <f aca="false">IF(A725="","",G725*K725)</f>
        <v/>
      </c>
      <c r="M725" s="20"/>
      <c r="N725" s="6"/>
      <c r="O725" s="6"/>
      <c r="P725" s="5" t="str">
        <f aca="false">IF(A725="","",H725/90)</f>
        <v/>
      </c>
      <c r="Q725" s="5" t="str">
        <f aca="false">IF(A725="","",IFERROR(INDEX(Parâmetros!$C$6:$C$10,MATCH(F725,Parâmetros!$B$6:$B$10,0)),""))</f>
        <v/>
      </c>
      <c r="R725" s="5" t="str">
        <f aca="false">IF(OR(A725="",P725="",Q725=""),"",P725*Q725)</f>
        <v/>
      </c>
      <c r="S725" s="5" t="str">
        <f aca="false">IF(R725="","",MAX(0,R725-G725))</f>
        <v/>
      </c>
      <c r="T725" s="21" t="str">
        <f aca="false">IF(S725="","",S725*K725)</f>
        <v/>
      </c>
      <c r="U725" s="5" t="str">
        <f aca="false">IF(A725="","",IF(J725&gt;Parâmetros!$C$14,"SIM","NAO"))</f>
        <v/>
      </c>
      <c r="V725" s="5" t="str">
        <f aca="false">IF(B725="","",TRIM(LEFT(B725,IFERROR(FIND(" ",B725)-1,LEN(B725)))))</f>
        <v/>
      </c>
      <c r="W725" s="22"/>
      <c r="X725" s="5" t="str">
        <f aca="false">IF(A725="","",IF(W725&lt;&gt;"",W725,V725))</f>
        <v/>
      </c>
      <c r="Y725" s="5" t="str">
        <f aca="false">IF(A725="","",IF(COUNTIFS($X$2:$X$2001,X725,$D$2:$D$2001,"&lt;&gt;"&amp;D725,$C$2:$C$2001,C725)&gt;0,"SIM","NAO"))</f>
        <v/>
      </c>
      <c r="Z725" s="5" t="str">
        <f aca="false">IF(A725="","",IF(J725="","",IFERROR(360/J725,"")))</f>
        <v/>
      </c>
      <c r="AA725" s="5" t="str">
        <f aca="false">IF(A725="","",IF(H725=0,"Parado (sem venda 90d)",IF(Z725&gt;12,"Alto (&gt;12x/ano)",IF(Z725&gt;=4,"Medio (4-12x/ano)","Baixo (&lt;4x/ano)"))))</f>
        <v/>
      </c>
    </row>
    <row r="726" customFormat="false" ht="15" hidden="false" customHeight="true" outlineLevel="0" collapsed="false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18"/>
      <c r="L726" s="19" t="str">
        <f aca="false">IF(A726="","",G726*K726)</f>
        <v/>
      </c>
      <c r="M726" s="20"/>
      <c r="N726" s="6"/>
      <c r="O726" s="6"/>
      <c r="P726" s="5" t="str">
        <f aca="false">IF(A726="","",H726/90)</f>
        <v/>
      </c>
      <c r="Q726" s="5" t="str">
        <f aca="false">IF(A726="","",IFERROR(INDEX(Parâmetros!$C$6:$C$10,MATCH(F726,Parâmetros!$B$6:$B$10,0)),""))</f>
        <v/>
      </c>
      <c r="R726" s="5" t="str">
        <f aca="false">IF(OR(A726="",P726="",Q726=""),"",P726*Q726)</f>
        <v/>
      </c>
      <c r="S726" s="5" t="str">
        <f aca="false">IF(R726="","",MAX(0,R726-G726))</f>
        <v/>
      </c>
      <c r="T726" s="21" t="str">
        <f aca="false">IF(S726="","",S726*K726)</f>
        <v/>
      </c>
      <c r="U726" s="5" t="str">
        <f aca="false">IF(A726="","",IF(J726&gt;Parâmetros!$C$14,"SIM","NAO"))</f>
        <v/>
      </c>
      <c r="V726" s="5" t="str">
        <f aca="false">IF(B726="","",TRIM(LEFT(B726,IFERROR(FIND(" ",B726)-1,LEN(B726)))))</f>
        <v/>
      </c>
      <c r="W726" s="22"/>
      <c r="X726" s="5" t="str">
        <f aca="false">IF(A726="","",IF(W726&lt;&gt;"",W726,V726))</f>
        <v/>
      </c>
      <c r="Y726" s="5" t="str">
        <f aca="false">IF(A726="","",IF(COUNTIFS($X$2:$X$2001,X726,$D$2:$D$2001,"&lt;&gt;"&amp;D726,$C$2:$C$2001,C726)&gt;0,"SIM","NAO"))</f>
        <v/>
      </c>
      <c r="Z726" s="5" t="str">
        <f aca="false">IF(A726="","",IF(J726="","",IFERROR(360/J726,"")))</f>
        <v/>
      </c>
      <c r="AA726" s="5" t="str">
        <f aca="false">IF(A726="","",IF(H726=0,"Parado (sem venda 90d)",IF(Z726&gt;12,"Alto (&gt;12x/ano)",IF(Z726&gt;=4,"Medio (4-12x/ano)","Baixo (&lt;4x/ano)"))))</f>
        <v/>
      </c>
    </row>
    <row r="727" customFormat="false" ht="15" hidden="false" customHeight="true" outlineLevel="0" collapsed="false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18"/>
      <c r="L727" s="19" t="str">
        <f aca="false">IF(A727="","",G727*K727)</f>
        <v/>
      </c>
      <c r="M727" s="20"/>
      <c r="N727" s="6"/>
      <c r="O727" s="6"/>
      <c r="P727" s="5" t="str">
        <f aca="false">IF(A727="","",H727/90)</f>
        <v/>
      </c>
      <c r="Q727" s="5" t="str">
        <f aca="false">IF(A727="","",IFERROR(INDEX(Parâmetros!$C$6:$C$10,MATCH(F727,Parâmetros!$B$6:$B$10,0)),""))</f>
        <v/>
      </c>
      <c r="R727" s="5" t="str">
        <f aca="false">IF(OR(A727="",P727="",Q727=""),"",P727*Q727)</f>
        <v/>
      </c>
      <c r="S727" s="5" t="str">
        <f aca="false">IF(R727="","",MAX(0,R727-G727))</f>
        <v/>
      </c>
      <c r="T727" s="21" t="str">
        <f aca="false">IF(S727="","",S727*K727)</f>
        <v/>
      </c>
      <c r="U727" s="5" t="str">
        <f aca="false">IF(A727="","",IF(J727&gt;Parâmetros!$C$14,"SIM","NAO"))</f>
        <v/>
      </c>
      <c r="V727" s="5" t="str">
        <f aca="false">IF(B727="","",TRIM(LEFT(B727,IFERROR(FIND(" ",B727)-1,LEN(B727)))))</f>
        <v/>
      </c>
      <c r="W727" s="22"/>
      <c r="X727" s="5" t="str">
        <f aca="false">IF(A727="","",IF(W727&lt;&gt;"",W727,V727))</f>
        <v/>
      </c>
      <c r="Y727" s="5" t="str">
        <f aca="false">IF(A727="","",IF(COUNTIFS($X$2:$X$2001,X727,$D$2:$D$2001,"&lt;&gt;"&amp;D727,$C$2:$C$2001,C727)&gt;0,"SIM","NAO"))</f>
        <v/>
      </c>
      <c r="Z727" s="5" t="str">
        <f aca="false">IF(A727="","",IF(J727="","",IFERROR(360/J727,"")))</f>
        <v/>
      </c>
      <c r="AA727" s="5" t="str">
        <f aca="false">IF(A727="","",IF(H727=0,"Parado (sem venda 90d)",IF(Z727&gt;12,"Alto (&gt;12x/ano)",IF(Z727&gt;=4,"Medio (4-12x/ano)","Baixo (&lt;4x/ano)"))))</f>
        <v/>
      </c>
    </row>
    <row r="728" customFormat="false" ht="15" hidden="false" customHeight="true" outlineLevel="0" collapsed="false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18"/>
      <c r="L728" s="19" t="str">
        <f aca="false">IF(A728="","",G728*K728)</f>
        <v/>
      </c>
      <c r="M728" s="20"/>
      <c r="N728" s="6"/>
      <c r="O728" s="6"/>
      <c r="P728" s="5" t="str">
        <f aca="false">IF(A728="","",H728/90)</f>
        <v/>
      </c>
      <c r="Q728" s="5" t="str">
        <f aca="false">IF(A728="","",IFERROR(INDEX(Parâmetros!$C$6:$C$10,MATCH(F728,Parâmetros!$B$6:$B$10,0)),""))</f>
        <v/>
      </c>
      <c r="R728" s="5" t="str">
        <f aca="false">IF(OR(A728="",P728="",Q728=""),"",P728*Q728)</f>
        <v/>
      </c>
      <c r="S728" s="5" t="str">
        <f aca="false">IF(R728="","",MAX(0,R728-G728))</f>
        <v/>
      </c>
      <c r="T728" s="21" t="str">
        <f aca="false">IF(S728="","",S728*K728)</f>
        <v/>
      </c>
      <c r="U728" s="5" t="str">
        <f aca="false">IF(A728="","",IF(J728&gt;Parâmetros!$C$14,"SIM","NAO"))</f>
        <v/>
      </c>
      <c r="V728" s="5" t="str">
        <f aca="false">IF(B728="","",TRIM(LEFT(B728,IFERROR(FIND(" ",B728)-1,LEN(B728)))))</f>
        <v/>
      </c>
      <c r="W728" s="22"/>
      <c r="X728" s="5" t="str">
        <f aca="false">IF(A728="","",IF(W728&lt;&gt;"",W728,V728))</f>
        <v/>
      </c>
      <c r="Y728" s="5" t="str">
        <f aca="false">IF(A728="","",IF(COUNTIFS($X$2:$X$2001,X728,$D$2:$D$2001,"&lt;&gt;"&amp;D728,$C$2:$C$2001,C728)&gt;0,"SIM","NAO"))</f>
        <v/>
      </c>
      <c r="Z728" s="5" t="str">
        <f aca="false">IF(A728="","",IF(J728="","",IFERROR(360/J728,"")))</f>
        <v/>
      </c>
      <c r="AA728" s="5" t="str">
        <f aca="false">IF(A728="","",IF(H728=0,"Parado (sem venda 90d)",IF(Z728&gt;12,"Alto (&gt;12x/ano)",IF(Z728&gt;=4,"Medio (4-12x/ano)","Baixo (&lt;4x/ano)"))))</f>
        <v/>
      </c>
    </row>
    <row r="729" customFormat="false" ht="15" hidden="false" customHeight="true" outlineLevel="0" collapsed="false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18"/>
      <c r="L729" s="19" t="str">
        <f aca="false">IF(A729="","",G729*K729)</f>
        <v/>
      </c>
      <c r="M729" s="20"/>
      <c r="N729" s="6"/>
      <c r="O729" s="6"/>
      <c r="P729" s="5" t="str">
        <f aca="false">IF(A729="","",H729/90)</f>
        <v/>
      </c>
      <c r="Q729" s="5" t="str">
        <f aca="false">IF(A729="","",IFERROR(INDEX(Parâmetros!$C$6:$C$10,MATCH(F729,Parâmetros!$B$6:$B$10,0)),""))</f>
        <v/>
      </c>
      <c r="R729" s="5" t="str">
        <f aca="false">IF(OR(A729="",P729="",Q729=""),"",P729*Q729)</f>
        <v/>
      </c>
      <c r="S729" s="5" t="str">
        <f aca="false">IF(R729="","",MAX(0,R729-G729))</f>
        <v/>
      </c>
      <c r="T729" s="21" t="str">
        <f aca="false">IF(S729="","",S729*K729)</f>
        <v/>
      </c>
      <c r="U729" s="5" t="str">
        <f aca="false">IF(A729="","",IF(J729&gt;Parâmetros!$C$14,"SIM","NAO"))</f>
        <v/>
      </c>
      <c r="V729" s="5" t="str">
        <f aca="false">IF(B729="","",TRIM(LEFT(B729,IFERROR(FIND(" ",B729)-1,LEN(B729)))))</f>
        <v/>
      </c>
      <c r="W729" s="22"/>
      <c r="X729" s="5" t="str">
        <f aca="false">IF(A729="","",IF(W729&lt;&gt;"",W729,V729))</f>
        <v/>
      </c>
      <c r="Y729" s="5" t="str">
        <f aca="false">IF(A729="","",IF(COUNTIFS($X$2:$X$2001,X729,$D$2:$D$2001,"&lt;&gt;"&amp;D729,$C$2:$C$2001,C729)&gt;0,"SIM","NAO"))</f>
        <v/>
      </c>
      <c r="Z729" s="5" t="str">
        <f aca="false">IF(A729="","",IF(J729="","",IFERROR(360/J729,"")))</f>
        <v/>
      </c>
      <c r="AA729" s="5" t="str">
        <f aca="false">IF(A729="","",IF(H729=0,"Parado (sem venda 90d)",IF(Z729&gt;12,"Alto (&gt;12x/ano)",IF(Z729&gt;=4,"Medio (4-12x/ano)","Baixo (&lt;4x/ano)"))))</f>
        <v/>
      </c>
    </row>
    <row r="730" customFormat="false" ht="15" hidden="false" customHeight="true" outlineLevel="0" collapsed="false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18"/>
      <c r="L730" s="19" t="str">
        <f aca="false">IF(A730="","",G730*K730)</f>
        <v/>
      </c>
      <c r="M730" s="20"/>
      <c r="N730" s="6"/>
      <c r="O730" s="6"/>
      <c r="P730" s="5" t="str">
        <f aca="false">IF(A730="","",H730/90)</f>
        <v/>
      </c>
      <c r="Q730" s="5" t="str">
        <f aca="false">IF(A730="","",IFERROR(INDEX(Parâmetros!$C$6:$C$10,MATCH(F730,Parâmetros!$B$6:$B$10,0)),""))</f>
        <v/>
      </c>
      <c r="R730" s="5" t="str">
        <f aca="false">IF(OR(A730="",P730="",Q730=""),"",P730*Q730)</f>
        <v/>
      </c>
      <c r="S730" s="5" t="str">
        <f aca="false">IF(R730="","",MAX(0,R730-G730))</f>
        <v/>
      </c>
      <c r="T730" s="21" t="str">
        <f aca="false">IF(S730="","",S730*K730)</f>
        <v/>
      </c>
      <c r="U730" s="5" t="str">
        <f aca="false">IF(A730="","",IF(J730&gt;Parâmetros!$C$14,"SIM","NAO"))</f>
        <v/>
      </c>
      <c r="V730" s="5" t="str">
        <f aca="false">IF(B730="","",TRIM(LEFT(B730,IFERROR(FIND(" ",B730)-1,LEN(B730)))))</f>
        <v/>
      </c>
      <c r="W730" s="22"/>
      <c r="X730" s="5" t="str">
        <f aca="false">IF(A730="","",IF(W730&lt;&gt;"",W730,V730))</f>
        <v/>
      </c>
      <c r="Y730" s="5" t="str">
        <f aca="false">IF(A730="","",IF(COUNTIFS($X$2:$X$2001,X730,$D$2:$D$2001,"&lt;&gt;"&amp;D730,$C$2:$C$2001,C730)&gt;0,"SIM","NAO"))</f>
        <v/>
      </c>
      <c r="Z730" s="5" t="str">
        <f aca="false">IF(A730="","",IF(J730="","",IFERROR(360/J730,"")))</f>
        <v/>
      </c>
      <c r="AA730" s="5" t="str">
        <f aca="false">IF(A730="","",IF(H730=0,"Parado (sem venda 90d)",IF(Z730&gt;12,"Alto (&gt;12x/ano)",IF(Z730&gt;=4,"Medio (4-12x/ano)","Baixo (&lt;4x/ano)"))))</f>
        <v/>
      </c>
    </row>
    <row r="731" customFormat="false" ht="15" hidden="false" customHeight="true" outlineLevel="0" collapsed="false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18"/>
      <c r="L731" s="19" t="str">
        <f aca="false">IF(A731="","",G731*K731)</f>
        <v/>
      </c>
      <c r="M731" s="20"/>
      <c r="N731" s="6"/>
      <c r="O731" s="6"/>
      <c r="P731" s="5" t="str">
        <f aca="false">IF(A731="","",H731/90)</f>
        <v/>
      </c>
      <c r="Q731" s="5" t="str">
        <f aca="false">IF(A731="","",IFERROR(INDEX(Parâmetros!$C$6:$C$10,MATCH(F731,Parâmetros!$B$6:$B$10,0)),""))</f>
        <v/>
      </c>
      <c r="R731" s="5" t="str">
        <f aca="false">IF(OR(A731="",P731="",Q731=""),"",P731*Q731)</f>
        <v/>
      </c>
      <c r="S731" s="5" t="str">
        <f aca="false">IF(R731="","",MAX(0,R731-G731))</f>
        <v/>
      </c>
      <c r="T731" s="21" t="str">
        <f aca="false">IF(S731="","",S731*K731)</f>
        <v/>
      </c>
      <c r="U731" s="5" t="str">
        <f aca="false">IF(A731="","",IF(J731&gt;Parâmetros!$C$14,"SIM","NAO"))</f>
        <v/>
      </c>
      <c r="V731" s="5" t="str">
        <f aca="false">IF(B731="","",TRIM(LEFT(B731,IFERROR(FIND(" ",B731)-1,LEN(B731)))))</f>
        <v/>
      </c>
      <c r="W731" s="22"/>
      <c r="X731" s="5" t="str">
        <f aca="false">IF(A731="","",IF(W731&lt;&gt;"",W731,V731))</f>
        <v/>
      </c>
      <c r="Y731" s="5" t="str">
        <f aca="false">IF(A731="","",IF(COUNTIFS($X$2:$X$2001,X731,$D$2:$D$2001,"&lt;&gt;"&amp;D731,$C$2:$C$2001,C731)&gt;0,"SIM","NAO"))</f>
        <v/>
      </c>
      <c r="Z731" s="5" t="str">
        <f aca="false">IF(A731="","",IF(J731="","",IFERROR(360/J731,"")))</f>
        <v/>
      </c>
      <c r="AA731" s="5" t="str">
        <f aca="false">IF(A731="","",IF(H731=0,"Parado (sem venda 90d)",IF(Z731&gt;12,"Alto (&gt;12x/ano)",IF(Z731&gt;=4,"Medio (4-12x/ano)","Baixo (&lt;4x/ano)"))))</f>
        <v/>
      </c>
    </row>
    <row r="732" customFormat="false" ht="15" hidden="false" customHeight="true" outlineLevel="0" collapsed="false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18"/>
      <c r="L732" s="19" t="str">
        <f aca="false">IF(A732="","",G732*K732)</f>
        <v/>
      </c>
      <c r="M732" s="20"/>
      <c r="N732" s="6"/>
      <c r="O732" s="6"/>
      <c r="P732" s="5" t="str">
        <f aca="false">IF(A732="","",H732/90)</f>
        <v/>
      </c>
      <c r="Q732" s="5" t="str">
        <f aca="false">IF(A732="","",IFERROR(INDEX(Parâmetros!$C$6:$C$10,MATCH(F732,Parâmetros!$B$6:$B$10,0)),""))</f>
        <v/>
      </c>
      <c r="R732" s="5" t="str">
        <f aca="false">IF(OR(A732="",P732="",Q732=""),"",P732*Q732)</f>
        <v/>
      </c>
      <c r="S732" s="5" t="str">
        <f aca="false">IF(R732="","",MAX(0,R732-G732))</f>
        <v/>
      </c>
      <c r="T732" s="21" t="str">
        <f aca="false">IF(S732="","",S732*K732)</f>
        <v/>
      </c>
      <c r="U732" s="5" t="str">
        <f aca="false">IF(A732="","",IF(J732&gt;Parâmetros!$C$14,"SIM","NAO"))</f>
        <v/>
      </c>
      <c r="V732" s="5" t="str">
        <f aca="false">IF(B732="","",TRIM(LEFT(B732,IFERROR(FIND(" ",B732)-1,LEN(B732)))))</f>
        <v/>
      </c>
      <c r="W732" s="22"/>
      <c r="X732" s="5" t="str">
        <f aca="false">IF(A732="","",IF(W732&lt;&gt;"",W732,V732))</f>
        <v/>
      </c>
      <c r="Y732" s="5" t="str">
        <f aca="false">IF(A732="","",IF(COUNTIFS($X$2:$X$2001,X732,$D$2:$D$2001,"&lt;&gt;"&amp;D732,$C$2:$C$2001,C732)&gt;0,"SIM","NAO"))</f>
        <v/>
      </c>
      <c r="Z732" s="5" t="str">
        <f aca="false">IF(A732="","",IF(J732="","",IFERROR(360/J732,"")))</f>
        <v/>
      </c>
      <c r="AA732" s="5" t="str">
        <f aca="false">IF(A732="","",IF(H732=0,"Parado (sem venda 90d)",IF(Z732&gt;12,"Alto (&gt;12x/ano)",IF(Z732&gt;=4,"Medio (4-12x/ano)","Baixo (&lt;4x/ano)"))))</f>
        <v/>
      </c>
    </row>
    <row r="733" customFormat="false" ht="15" hidden="false" customHeight="true" outlineLevel="0" collapsed="false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18"/>
      <c r="L733" s="19" t="str">
        <f aca="false">IF(A733="","",G733*K733)</f>
        <v/>
      </c>
      <c r="M733" s="20"/>
      <c r="N733" s="6"/>
      <c r="O733" s="6"/>
      <c r="P733" s="5" t="str">
        <f aca="false">IF(A733="","",H733/90)</f>
        <v/>
      </c>
      <c r="Q733" s="5" t="str">
        <f aca="false">IF(A733="","",IFERROR(INDEX(Parâmetros!$C$6:$C$10,MATCH(F733,Parâmetros!$B$6:$B$10,0)),""))</f>
        <v/>
      </c>
      <c r="R733" s="5" t="str">
        <f aca="false">IF(OR(A733="",P733="",Q733=""),"",P733*Q733)</f>
        <v/>
      </c>
      <c r="S733" s="5" t="str">
        <f aca="false">IF(R733="","",MAX(0,R733-G733))</f>
        <v/>
      </c>
      <c r="T733" s="21" t="str">
        <f aca="false">IF(S733="","",S733*K733)</f>
        <v/>
      </c>
      <c r="U733" s="5" t="str">
        <f aca="false">IF(A733="","",IF(J733&gt;Parâmetros!$C$14,"SIM","NAO"))</f>
        <v/>
      </c>
      <c r="V733" s="5" t="str">
        <f aca="false">IF(B733="","",TRIM(LEFT(B733,IFERROR(FIND(" ",B733)-1,LEN(B733)))))</f>
        <v/>
      </c>
      <c r="W733" s="22"/>
      <c r="X733" s="5" t="str">
        <f aca="false">IF(A733="","",IF(W733&lt;&gt;"",W733,V733))</f>
        <v/>
      </c>
      <c r="Y733" s="5" t="str">
        <f aca="false">IF(A733="","",IF(COUNTIFS($X$2:$X$2001,X733,$D$2:$D$2001,"&lt;&gt;"&amp;D733,$C$2:$C$2001,C733)&gt;0,"SIM","NAO"))</f>
        <v/>
      </c>
      <c r="Z733" s="5" t="str">
        <f aca="false">IF(A733="","",IF(J733="","",IFERROR(360/J733,"")))</f>
        <v/>
      </c>
      <c r="AA733" s="5" t="str">
        <f aca="false">IF(A733="","",IF(H733=0,"Parado (sem venda 90d)",IF(Z733&gt;12,"Alto (&gt;12x/ano)",IF(Z733&gt;=4,"Medio (4-12x/ano)","Baixo (&lt;4x/ano)"))))</f>
        <v/>
      </c>
    </row>
    <row r="734" customFormat="false" ht="15" hidden="false" customHeight="true" outlineLevel="0" collapsed="false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18"/>
      <c r="L734" s="19" t="str">
        <f aca="false">IF(A734="","",G734*K734)</f>
        <v/>
      </c>
      <c r="M734" s="20"/>
      <c r="N734" s="6"/>
      <c r="O734" s="6"/>
      <c r="P734" s="5" t="str">
        <f aca="false">IF(A734="","",H734/90)</f>
        <v/>
      </c>
      <c r="Q734" s="5" t="str">
        <f aca="false">IF(A734="","",IFERROR(INDEX(Parâmetros!$C$6:$C$10,MATCH(F734,Parâmetros!$B$6:$B$10,0)),""))</f>
        <v/>
      </c>
      <c r="R734" s="5" t="str">
        <f aca="false">IF(OR(A734="",P734="",Q734=""),"",P734*Q734)</f>
        <v/>
      </c>
      <c r="S734" s="5" t="str">
        <f aca="false">IF(R734="","",MAX(0,R734-G734))</f>
        <v/>
      </c>
      <c r="T734" s="21" t="str">
        <f aca="false">IF(S734="","",S734*K734)</f>
        <v/>
      </c>
      <c r="U734" s="5" t="str">
        <f aca="false">IF(A734="","",IF(J734&gt;Parâmetros!$C$14,"SIM","NAO"))</f>
        <v/>
      </c>
      <c r="V734" s="5" t="str">
        <f aca="false">IF(B734="","",TRIM(LEFT(B734,IFERROR(FIND(" ",B734)-1,LEN(B734)))))</f>
        <v/>
      </c>
      <c r="W734" s="22"/>
      <c r="X734" s="5" t="str">
        <f aca="false">IF(A734="","",IF(W734&lt;&gt;"",W734,V734))</f>
        <v/>
      </c>
      <c r="Y734" s="5" t="str">
        <f aca="false">IF(A734="","",IF(COUNTIFS($X$2:$X$2001,X734,$D$2:$D$2001,"&lt;&gt;"&amp;D734,$C$2:$C$2001,C734)&gt;0,"SIM","NAO"))</f>
        <v/>
      </c>
      <c r="Z734" s="5" t="str">
        <f aca="false">IF(A734="","",IF(J734="","",IFERROR(360/J734,"")))</f>
        <v/>
      </c>
      <c r="AA734" s="5" t="str">
        <f aca="false">IF(A734="","",IF(H734=0,"Parado (sem venda 90d)",IF(Z734&gt;12,"Alto (&gt;12x/ano)",IF(Z734&gt;=4,"Medio (4-12x/ano)","Baixo (&lt;4x/ano)"))))</f>
        <v/>
      </c>
    </row>
    <row r="735" customFormat="false" ht="15" hidden="false" customHeight="true" outlineLevel="0" collapsed="false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18"/>
      <c r="L735" s="19" t="str">
        <f aca="false">IF(A735="","",G735*K735)</f>
        <v/>
      </c>
      <c r="M735" s="20"/>
      <c r="N735" s="6"/>
      <c r="O735" s="6"/>
      <c r="P735" s="5" t="str">
        <f aca="false">IF(A735="","",H735/90)</f>
        <v/>
      </c>
      <c r="Q735" s="5" t="str">
        <f aca="false">IF(A735="","",IFERROR(INDEX(Parâmetros!$C$6:$C$10,MATCH(F735,Parâmetros!$B$6:$B$10,0)),""))</f>
        <v/>
      </c>
      <c r="R735" s="5" t="str">
        <f aca="false">IF(OR(A735="",P735="",Q735=""),"",P735*Q735)</f>
        <v/>
      </c>
      <c r="S735" s="5" t="str">
        <f aca="false">IF(R735="","",MAX(0,R735-G735))</f>
        <v/>
      </c>
      <c r="T735" s="21" t="str">
        <f aca="false">IF(S735="","",S735*K735)</f>
        <v/>
      </c>
      <c r="U735" s="5" t="str">
        <f aca="false">IF(A735="","",IF(J735&gt;Parâmetros!$C$14,"SIM","NAO"))</f>
        <v/>
      </c>
      <c r="V735" s="5" t="str">
        <f aca="false">IF(B735="","",TRIM(LEFT(B735,IFERROR(FIND(" ",B735)-1,LEN(B735)))))</f>
        <v/>
      </c>
      <c r="W735" s="22"/>
      <c r="X735" s="5" t="str">
        <f aca="false">IF(A735="","",IF(W735&lt;&gt;"",W735,V735))</f>
        <v/>
      </c>
      <c r="Y735" s="5" t="str">
        <f aca="false">IF(A735="","",IF(COUNTIFS($X$2:$X$2001,X735,$D$2:$D$2001,"&lt;&gt;"&amp;D735,$C$2:$C$2001,C735)&gt;0,"SIM","NAO"))</f>
        <v/>
      </c>
      <c r="Z735" s="5" t="str">
        <f aca="false">IF(A735="","",IF(J735="","",IFERROR(360/J735,"")))</f>
        <v/>
      </c>
      <c r="AA735" s="5" t="str">
        <f aca="false">IF(A735="","",IF(H735=0,"Parado (sem venda 90d)",IF(Z735&gt;12,"Alto (&gt;12x/ano)",IF(Z735&gt;=4,"Medio (4-12x/ano)","Baixo (&lt;4x/ano)"))))</f>
        <v/>
      </c>
    </row>
    <row r="736" customFormat="false" ht="15" hidden="false" customHeight="true" outlineLevel="0" collapsed="false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18"/>
      <c r="L736" s="19" t="str">
        <f aca="false">IF(A736="","",G736*K736)</f>
        <v/>
      </c>
      <c r="M736" s="20"/>
      <c r="N736" s="6"/>
      <c r="O736" s="6"/>
      <c r="P736" s="5" t="str">
        <f aca="false">IF(A736="","",H736/90)</f>
        <v/>
      </c>
      <c r="Q736" s="5" t="str">
        <f aca="false">IF(A736="","",IFERROR(INDEX(Parâmetros!$C$6:$C$10,MATCH(F736,Parâmetros!$B$6:$B$10,0)),""))</f>
        <v/>
      </c>
      <c r="R736" s="5" t="str">
        <f aca="false">IF(OR(A736="",P736="",Q736=""),"",P736*Q736)</f>
        <v/>
      </c>
      <c r="S736" s="5" t="str">
        <f aca="false">IF(R736="","",MAX(0,R736-G736))</f>
        <v/>
      </c>
      <c r="T736" s="21" t="str">
        <f aca="false">IF(S736="","",S736*K736)</f>
        <v/>
      </c>
      <c r="U736" s="5" t="str">
        <f aca="false">IF(A736="","",IF(J736&gt;Parâmetros!$C$14,"SIM","NAO"))</f>
        <v/>
      </c>
      <c r="V736" s="5" t="str">
        <f aca="false">IF(B736="","",TRIM(LEFT(B736,IFERROR(FIND(" ",B736)-1,LEN(B736)))))</f>
        <v/>
      </c>
      <c r="W736" s="22"/>
      <c r="X736" s="5" t="str">
        <f aca="false">IF(A736="","",IF(W736&lt;&gt;"",W736,V736))</f>
        <v/>
      </c>
      <c r="Y736" s="5" t="str">
        <f aca="false">IF(A736="","",IF(COUNTIFS($X$2:$X$2001,X736,$D$2:$D$2001,"&lt;&gt;"&amp;D736,$C$2:$C$2001,C736)&gt;0,"SIM","NAO"))</f>
        <v/>
      </c>
      <c r="Z736" s="5" t="str">
        <f aca="false">IF(A736="","",IF(J736="","",IFERROR(360/J736,"")))</f>
        <v/>
      </c>
      <c r="AA736" s="5" t="str">
        <f aca="false">IF(A736="","",IF(H736=0,"Parado (sem venda 90d)",IF(Z736&gt;12,"Alto (&gt;12x/ano)",IF(Z736&gt;=4,"Medio (4-12x/ano)","Baixo (&lt;4x/ano)"))))</f>
        <v/>
      </c>
    </row>
    <row r="737" customFormat="false" ht="15" hidden="false" customHeight="true" outlineLevel="0" collapsed="false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18"/>
      <c r="L737" s="19" t="str">
        <f aca="false">IF(A737="","",G737*K737)</f>
        <v/>
      </c>
      <c r="M737" s="20"/>
      <c r="N737" s="6"/>
      <c r="O737" s="6"/>
      <c r="P737" s="5" t="str">
        <f aca="false">IF(A737="","",H737/90)</f>
        <v/>
      </c>
      <c r="Q737" s="5" t="str">
        <f aca="false">IF(A737="","",IFERROR(INDEX(Parâmetros!$C$6:$C$10,MATCH(F737,Parâmetros!$B$6:$B$10,0)),""))</f>
        <v/>
      </c>
      <c r="R737" s="5" t="str">
        <f aca="false">IF(OR(A737="",P737="",Q737=""),"",P737*Q737)</f>
        <v/>
      </c>
      <c r="S737" s="5" t="str">
        <f aca="false">IF(R737="","",MAX(0,R737-G737))</f>
        <v/>
      </c>
      <c r="T737" s="21" t="str">
        <f aca="false">IF(S737="","",S737*K737)</f>
        <v/>
      </c>
      <c r="U737" s="5" t="str">
        <f aca="false">IF(A737="","",IF(J737&gt;Parâmetros!$C$14,"SIM","NAO"))</f>
        <v/>
      </c>
      <c r="V737" s="5" t="str">
        <f aca="false">IF(B737="","",TRIM(LEFT(B737,IFERROR(FIND(" ",B737)-1,LEN(B737)))))</f>
        <v/>
      </c>
      <c r="W737" s="22"/>
      <c r="X737" s="5" t="str">
        <f aca="false">IF(A737="","",IF(W737&lt;&gt;"",W737,V737))</f>
        <v/>
      </c>
      <c r="Y737" s="5" t="str">
        <f aca="false">IF(A737="","",IF(COUNTIFS($X$2:$X$2001,X737,$D$2:$D$2001,"&lt;&gt;"&amp;D737,$C$2:$C$2001,C737)&gt;0,"SIM","NAO"))</f>
        <v/>
      </c>
      <c r="Z737" s="5" t="str">
        <f aca="false">IF(A737="","",IF(J737="","",IFERROR(360/J737,"")))</f>
        <v/>
      </c>
      <c r="AA737" s="5" t="str">
        <f aca="false">IF(A737="","",IF(H737=0,"Parado (sem venda 90d)",IF(Z737&gt;12,"Alto (&gt;12x/ano)",IF(Z737&gt;=4,"Medio (4-12x/ano)","Baixo (&lt;4x/ano)"))))</f>
        <v/>
      </c>
    </row>
    <row r="738" customFormat="false" ht="15" hidden="false" customHeight="true" outlineLevel="0" collapsed="false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18"/>
      <c r="L738" s="19" t="str">
        <f aca="false">IF(A738="","",G738*K738)</f>
        <v/>
      </c>
      <c r="M738" s="20"/>
      <c r="N738" s="6"/>
      <c r="O738" s="6"/>
      <c r="P738" s="5" t="str">
        <f aca="false">IF(A738="","",H738/90)</f>
        <v/>
      </c>
      <c r="Q738" s="5" t="str">
        <f aca="false">IF(A738="","",IFERROR(INDEX(Parâmetros!$C$6:$C$10,MATCH(F738,Parâmetros!$B$6:$B$10,0)),""))</f>
        <v/>
      </c>
      <c r="R738" s="5" t="str">
        <f aca="false">IF(OR(A738="",P738="",Q738=""),"",P738*Q738)</f>
        <v/>
      </c>
      <c r="S738" s="5" t="str">
        <f aca="false">IF(R738="","",MAX(0,R738-G738))</f>
        <v/>
      </c>
      <c r="T738" s="21" t="str">
        <f aca="false">IF(S738="","",S738*K738)</f>
        <v/>
      </c>
      <c r="U738" s="5" t="str">
        <f aca="false">IF(A738="","",IF(J738&gt;Parâmetros!$C$14,"SIM","NAO"))</f>
        <v/>
      </c>
      <c r="V738" s="5" t="str">
        <f aca="false">IF(B738="","",TRIM(LEFT(B738,IFERROR(FIND(" ",B738)-1,LEN(B738)))))</f>
        <v/>
      </c>
      <c r="W738" s="22"/>
      <c r="X738" s="5" t="str">
        <f aca="false">IF(A738="","",IF(W738&lt;&gt;"",W738,V738))</f>
        <v/>
      </c>
      <c r="Y738" s="5" t="str">
        <f aca="false">IF(A738="","",IF(COUNTIFS($X$2:$X$2001,X738,$D$2:$D$2001,"&lt;&gt;"&amp;D738,$C$2:$C$2001,C738)&gt;0,"SIM","NAO"))</f>
        <v/>
      </c>
      <c r="Z738" s="5" t="str">
        <f aca="false">IF(A738="","",IF(J738="","",IFERROR(360/J738,"")))</f>
        <v/>
      </c>
      <c r="AA738" s="5" t="str">
        <f aca="false">IF(A738="","",IF(H738=0,"Parado (sem venda 90d)",IF(Z738&gt;12,"Alto (&gt;12x/ano)",IF(Z738&gt;=4,"Medio (4-12x/ano)","Baixo (&lt;4x/ano)"))))</f>
        <v/>
      </c>
    </row>
    <row r="739" customFormat="false" ht="15" hidden="false" customHeight="true" outlineLevel="0" collapsed="false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18"/>
      <c r="L739" s="19" t="str">
        <f aca="false">IF(A739="","",G739*K739)</f>
        <v/>
      </c>
      <c r="M739" s="20"/>
      <c r="N739" s="6"/>
      <c r="O739" s="6"/>
      <c r="P739" s="5" t="str">
        <f aca="false">IF(A739="","",H739/90)</f>
        <v/>
      </c>
      <c r="Q739" s="5" t="str">
        <f aca="false">IF(A739="","",IFERROR(INDEX(Parâmetros!$C$6:$C$10,MATCH(F739,Parâmetros!$B$6:$B$10,0)),""))</f>
        <v/>
      </c>
      <c r="R739" s="5" t="str">
        <f aca="false">IF(OR(A739="",P739="",Q739=""),"",P739*Q739)</f>
        <v/>
      </c>
      <c r="S739" s="5" t="str">
        <f aca="false">IF(R739="","",MAX(0,R739-G739))</f>
        <v/>
      </c>
      <c r="T739" s="21" t="str">
        <f aca="false">IF(S739="","",S739*K739)</f>
        <v/>
      </c>
      <c r="U739" s="5" t="str">
        <f aca="false">IF(A739="","",IF(J739&gt;Parâmetros!$C$14,"SIM","NAO"))</f>
        <v/>
      </c>
      <c r="V739" s="5" t="str">
        <f aca="false">IF(B739="","",TRIM(LEFT(B739,IFERROR(FIND(" ",B739)-1,LEN(B739)))))</f>
        <v/>
      </c>
      <c r="W739" s="22"/>
      <c r="X739" s="5" t="str">
        <f aca="false">IF(A739="","",IF(W739&lt;&gt;"",W739,V739))</f>
        <v/>
      </c>
      <c r="Y739" s="5" t="str">
        <f aca="false">IF(A739="","",IF(COUNTIFS($X$2:$X$2001,X739,$D$2:$D$2001,"&lt;&gt;"&amp;D739,$C$2:$C$2001,C739)&gt;0,"SIM","NAO"))</f>
        <v/>
      </c>
      <c r="Z739" s="5" t="str">
        <f aca="false">IF(A739="","",IF(J739="","",IFERROR(360/J739,"")))</f>
        <v/>
      </c>
      <c r="AA739" s="5" t="str">
        <f aca="false">IF(A739="","",IF(H739=0,"Parado (sem venda 90d)",IF(Z739&gt;12,"Alto (&gt;12x/ano)",IF(Z739&gt;=4,"Medio (4-12x/ano)","Baixo (&lt;4x/ano)"))))</f>
        <v/>
      </c>
    </row>
    <row r="740" customFormat="false" ht="15" hidden="false" customHeight="true" outlineLevel="0" collapsed="false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18"/>
      <c r="L740" s="19" t="str">
        <f aca="false">IF(A740="","",G740*K740)</f>
        <v/>
      </c>
      <c r="M740" s="20"/>
      <c r="N740" s="6"/>
      <c r="O740" s="6"/>
      <c r="P740" s="5" t="str">
        <f aca="false">IF(A740="","",H740/90)</f>
        <v/>
      </c>
      <c r="Q740" s="5" t="str">
        <f aca="false">IF(A740="","",IFERROR(INDEX(Parâmetros!$C$6:$C$10,MATCH(F740,Parâmetros!$B$6:$B$10,0)),""))</f>
        <v/>
      </c>
      <c r="R740" s="5" t="str">
        <f aca="false">IF(OR(A740="",P740="",Q740=""),"",P740*Q740)</f>
        <v/>
      </c>
      <c r="S740" s="5" t="str">
        <f aca="false">IF(R740="","",MAX(0,R740-G740))</f>
        <v/>
      </c>
      <c r="T740" s="21" t="str">
        <f aca="false">IF(S740="","",S740*K740)</f>
        <v/>
      </c>
      <c r="U740" s="5" t="str">
        <f aca="false">IF(A740="","",IF(J740&gt;Parâmetros!$C$14,"SIM","NAO"))</f>
        <v/>
      </c>
      <c r="V740" s="5" t="str">
        <f aca="false">IF(B740="","",TRIM(LEFT(B740,IFERROR(FIND(" ",B740)-1,LEN(B740)))))</f>
        <v/>
      </c>
      <c r="W740" s="22"/>
      <c r="X740" s="5" t="str">
        <f aca="false">IF(A740="","",IF(W740&lt;&gt;"",W740,V740))</f>
        <v/>
      </c>
      <c r="Y740" s="5" t="str">
        <f aca="false">IF(A740="","",IF(COUNTIFS($X$2:$X$2001,X740,$D$2:$D$2001,"&lt;&gt;"&amp;D740,$C$2:$C$2001,C740)&gt;0,"SIM","NAO"))</f>
        <v/>
      </c>
      <c r="Z740" s="5" t="str">
        <f aca="false">IF(A740="","",IF(J740="","",IFERROR(360/J740,"")))</f>
        <v/>
      </c>
      <c r="AA740" s="5" t="str">
        <f aca="false">IF(A740="","",IF(H740=0,"Parado (sem venda 90d)",IF(Z740&gt;12,"Alto (&gt;12x/ano)",IF(Z740&gt;=4,"Medio (4-12x/ano)","Baixo (&lt;4x/ano)"))))</f>
        <v/>
      </c>
    </row>
    <row r="741" customFormat="false" ht="15" hidden="false" customHeight="true" outlineLevel="0" collapsed="false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18"/>
      <c r="L741" s="19" t="str">
        <f aca="false">IF(A741="","",G741*K741)</f>
        <v/>
      </c>
      <c r="M741" s="20"/>
      <c r="N741" s="6"/>
      <c r="O741" s="6"/>
      <c r="P741" s="5" t="str">
        <f aca="false">IF(A741="","",H741/90)</f>
        <v/>
      </c>
      <c r="Q741" s="5" t="str">
        <f aca="false">IF(A741="","",IFERROR(INDEX(Parâmetros!$C$6:$C$10,MATCH(F741,Parâmetros!$B$6:$B$10,0)),""))</f>
        <v/>
      </c>
      <c r="R741" s="5" t="str">
        <f aca="false">IF(OR(A741="",P741="",Q741=""),"",P741*Q741)</f>
        <v/>
      </c>
      <c r="S741" s="5" t="str">
        <f aca="false">IF(R741="","",MAX(0,R741-G741))</f>
        <v/>
      </c>
      <c r="T741" s="21" t="str">
        <f aca="false">IF(S741="","",S741*K741)</f>
        <v/>
      </c>
      <c r="U741" s="5" t="str">
        <f aca="false">IF(A741="","",IF(J741&gt;Parâmetros!$C$14,"SIM","NAO"))</f>
        <v/>
      </c>
      <c r="V741" s="5" t="str">
        <f aca="false">IF(B741="","",TRIM(LEFT(B741,IFERROR(FIND(" ",B741)-1,LEN(B741)))))</f>
        <v/>
      </c>
      <c r="W741" s="22"/>
      <c r="X741" s="5" t="str">
        <f aca="false">IF(A741="","",IF(W741&lt;&gt;"",W741,V741))</f>
        <v/>
      </c>
      <c r="Y741" s="5" t="str">
        <f aca="false">IF(A741="","",IF(COUNTIFS($X$2:$X$2001,X741,$D$2:$D$2001,"&lt;&gt;"&amp;D741,$C$2:$C$2001,C741)&gt;0,"SIM","NAO"))</f>
        <v/>
      </c>
      <c r="Z741" s="5" t="str">
        <f aca="false">IF(A741="","",IF(J741="","",IFERROR(360/J741,"")))</f>
        <v/>
      </c>
      <c r="AA741" s="5" t="str">
        <f aca="false">IF(A741="","",IF(H741=0,"Parado (sem venda 90d)",IF(Z741&gt;12,"Alto (&gt;12x/ano)",IF(Z741&gt;=4,"Medio (4-12x/ano)","Baixo (&lt;4x/ano)"))))</f>
        <v/>
      </c>
    </row>
    <row r="742" customFormat="false" ht="15" hidden="false" customHeight="true" outlineLevel="0" collapsed="false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18"/>
      <c r="L742" s="19" t="str">
        <f aca="false">IF(A742="","",G742*K742)</f>
        <v/>
      </c>
      <c r="M742" s="20"/>
      <c r="N742" s="6"/>
      <c r="O742" s="6"/>
      <c r="P742" s="5" t="str">
        <f aca="false">IF(A742="","",H742/90)</f>
        <v/>
      </c>
      <c r="Q742" s="5" t="str">
        <f aca="false">IF(A742="","",IFERROR(INDEX(Parâmetros!$C$6:$C$10,MATCH(F742,Parâmetros!$B$6:$B$10,0)),""))</f>
        <v/>
      </c>
      <c r="R742" s="5" t="str">
        <f aca="false">IF(OR(A742="",P742="",Q742=""),"",P742*Q742)</f>
        <v/>
      </c>
      <c r="S742" s="5" t="str">
        <f aca="false">IF(R742="","",MAX(0,R742-G742))</f>
        <v/>
      </c>
      <c r="T742" s="21" t="str">
        <f aca="false">IF(S742="","",S742*K742)</f>
        <v/>
      </c>
      <c r="U742" s="5" t="str">
        <f aca="false">IF(A742="","",IF(J742&gt;Parâmetros!$C$14,"SIM","NAO"))</f>
        <v/>
      </c>
      <c r="V742" s="5" t="str">
        <f aca="false">IF(B742="","",TRIM(LEFT(B742,IFERROR(FIND(" ",B742)-1,LEN(B742)))))</f>
        <v/>
      </c>
      <c r="W742" s="22"/>
      <c r="X742" s="5" t="str">
        <f aca="false">IF(A742="","",IF(W742&lt;&gt;"",W742,V742))</f>
        <v/>
      </c>
      <c r="Y742" s="5" t="str">
        <f aca="false">IF(A742="","",IF(COUNTIFS($X$2:$X$2001,X742,$D$2:$D$2001,"&lt;&gt;"&amp;D742,$C$2:$C$2001,C742)&gt;0,"SIM","NAO"))</f>
        <v/>
      </c>
      <c r="Z742" s="5" t="str">
        <f aca="false">IF(A742="","",IF(J742="","",IFERROR(360/J742,"")))</f>
        <v/>
      </c>
      <c r="AA742" s="5" t="str">
        <f aca="false">IF(A742="","",IF(H742=0,"Parado (sem venda 90d)",IF(Z742&gt;12,"Alto (&gt;12x/ano)",IF(Z742&gt;=4,"Medio (4-12x/ano)","Baixo (&lt;4x/ano)"))))</f>
        <v/>
      </c>
    </row>
    <row r="743" customFormat="false" ht="15" hidden="false" customHeight="true" outlineLevel="0" collapsed="false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18"/>
      <c r="L743" s="19" t="str">
        <f aca="false">IF(A743="","",G743*K743)</f>
        <v/>
      </c>
      <c r="M743" s="20"/>
      <c r="N743" s="6"/>
      <c r="O743" s="6"/>
      <c r="P743" s="5" t="str">
        <f aca="false">IF(A743="","",H743/90)</f>
        <v/>
      </c>
      <c r="Q743" s="5" t="str">
        <f aca="false">IF(A743="","",IFERROR(INDEX(Parâmetros!$C$6:$C$10,MATCH(F743,Parâmetros!$B$6:$B$10,0)),""))</f>
        <v/>
      </c>
      <c r="R743" s="5" t="str">
        <f aca="false">IF(OR(A743="",P743="",Q743=""),"",P743*Q743)</f>
        <v/>
      </c>
      <c r="S743" s="5" t="str">
        <f aca="false">IF(R743="","",MAX(0,R743-G743))</f>
        <v/>
      </c>
      <c r="T743" s="21" t="str">
        <f aca="false">IF(S743="","",S743*K743)</f>
        <v/>
      </c>
      <c r="U743" s="5" t="str">
        <f aca="false">IF(A743="","",IF(J743&gt;Parâmetros!$C$14,"SIM","NAO"))</f>
        <v/>
      </c>
      <c r="V743" s="5" t="str">
        <f aca="false">IF(B743="","",TRIM(LEFT(B743,IFERROR(FIND(" ",B743)-1,LEN(B743)))))</f>
        <v/>
      </c>
      <c r="W743" s="22"/>
      <c r="X743" s="5" t="str">
        <f aca="false">IF(A743="","",IF(W743&lt;&gt;"",W743,V743))</f>
        <v/>
      </c>
      <c r="Y743" s="5" t="str">
        <f aca="false">IF(A743="","",IF(COUNTIFS($X$2:$X$2001,X743,$D$2:$D$2001,"&lt;&gt;"&amp;D743,$C$2:$C$2001,C743)&gt;0,"SIM","NAO"))</f>
        <v/>
      </c>
      <c r="Z743" s="5" t="str">
        <f aca="false">IF(A743="","",IF(J743="","",IFERROR(360/J743,"")))</f>
        <v/>
      </c>
      <c r="AA743" s="5" t="str">
        <f aca="false">IF(A743="","",IF(H743=0,"Parado (sem venda 90d)",IF(Z743&gt;12,"Alto (&gt;12x/ano)",IF(Z743&gt;=4,"Medio (4-12x/ano)","Baixo (&lt;4x/ano)"))))</f>
        <v/>
      </c>
    </row>
    <row r="744" customFormat="false" ht="15" hidden="false" customHeight="true" outlineLevel="0" collapsed="false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18"/>
      <c r="L744" s="19" t="str">
        <f aca="false">IF(A744="","",G744*K744)</f>
        <v/>
      </c>
      <c r="M744" s="20"/>
      <c r="N744" s="6"/>
      <c r="O744" s="6"/>
      <c r="P744" s="5" t="str">
        <f aca="false">IF(A744="","",H744/90)</f>
        <v/>
      </c>
      <c r="Q744" s="5" t="str">
        <f aca="false">IF(A744="","",IFERROR(INDEX(Parâmetros!$C$6:$C$10,MATCH(F744,Parâmetros!$B$6:$B$10,0)),""))</f>
        <v/>
      </c>
      <c r="R744" s="5" t="str">
        <f aca="false">IF(OR(A744="",P744="",Q744=""),"",P744*Q744)</f>
        <v/>
      </c>
      <c r="S744" s="5" t="str">
        <f aca="false">IF(R744="","",MAX(0,R744-G744))</f>
        <v/>
      </c>
      <c r="T744" s="21" t="str">
        <f aca="false">IF(S744="","",S744*K744)</f>
        <v/>
      </c>
      <c r="U744" s="5" t="str">
        <f aca="false">IF(A744="","",IF(J744&gt;Parâmetros!$C$14,"SIM","NAO"))</f>
        <v/>
      </c>
      <c r="V744" s="5" t="str">
        <f aca="false">IF(B744="","",TRIM(LEFT(B744,IFERROR(FIND(" ",B744)-1,LEN(B744)))))</f>
        <v/>
      </c>
      <c r="W744" s="22"/>
      <c r="X744" s="5" t="str">
        <f aca="false">IF(A744="","",IF(W744&lt;&gt;"",W744,V744))</f>
        <v/>
      </c>
      <c r="Y744" s="5" t="str">
        <f aca="false">IF(A744="","",IF(COUNTIFS($X$2:$X$2001,X744,$D$2:$D$2001,"&lt;&gt;"&amp;D744,$C$2:$C$2001,C744)&gt;0,"SIM","NAO"))</f>
        <v/>
      </c>
      <c r="Z744" s="5" t="str">
        <f aca="false">IF(A744="","",IF(J744="","",IFERROR(360/J744,"")))</f>
        <v/>
      </c>
      <c r="AA744" s="5" t="str">
        <f aca="false">IF(A744="","",IF(H744=0,"Parado (sem venda 90d)",IF(Z744&gt;12,"Alto (&gt;12x/ano)",IF(Z744&gt;=4,"Medio (4-12x/ano)","Baixo (&lt;4x/ano)"))))</f>
        <v/>
      </c>
    </row>
    <row r="745" customFormat="false" ht="15" hidden="false" customHeight="true" outlineLevel="0" collapsed="false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18"/>
      <c r="L745" s="19" t="str">
        <f aca="false">IF(A745="","",G745*K745)</f>
        <v/>
      </c>
      <c r="M745" s="20"/>
      <c r="N745" s="6"/>
      <c r="O745" s="6"/>
      <c r="P745" s="5" t="str">
        <f aca="false">IF(A745="","",H745/90)</f>
        <v/>
      </c>
      <c r="Q745" s="5" t="str">
        <f aca="false">IF(A745="","",IFERROR(INDEX(Parâmetros!$C$6:$C$10,MATCH(F745,Parâmetros!$B$6:$B$10,0)),""))</f>
        <v/>
      </c>
      <c r="R745" s="5" t="str">
        <f aca="false">IF(OR(A745="",P745="",Q745=""),"",P745*Q745)</f>
        <v/>
      </c>
      <c r="S745" s="5" t="str">
        <f aca="false">IF(R745="","",MAX(0,R745-G745))</f>
        <v/>
      </c>
      <c r="T745" s="21" t="str">
        <f aca="false">IF(S745="","",S745*K745)</f>
        <v/>
      </c>
      <c r="U745" s="5" t="str">
        <f aca="false">IF(A745="","",IF(J745&gt;Parâmetros!$C$14,"SIM","NAO"))</f>
        <v/>
      </c>
      <c r="V745" s="5" t="str">
        <f aca="false">IF(B745="","",TRIM(LEFT(B745,IFERROR(FIND(" ",B745)-1,LEN(B745)))))</f>
        <v/>
      </c>
      <c r="W745" s="22"/>
      <c r="X745" s="5" t="str">
        <f aca="false">IF(A745="","",IF(W745&lt;&gt;"",W745,V745))</f>
        <v/>
      </c>
      <c r="Y745" s="5" t="str">
        <f aca="false">IF(A745="","",IF(COUNTIFS($X$2:$X$2001,X745,$D$2:$D$2001,"&lt;&gt;"&amp;D745,$C$2:$C$2001,C745)&gt;0,"SIM","NAO"))</f>
        <v/>
      </c>
      <c r="Z745" s="5" t="str">
        <f aca="false">IF(A745="","",IF(J745="","",IFERROR(360/J745,"")))</f>
        <v/>
      </c>
      <c r="AA745" s="5" t="str">
        <f aca="false">IF(A745="","",IF(H745=0,"Parado (sem venda 90d)",IF(Z745&gt;12,"Alto (&gt;12x/ano)",IF(Z745&gt;=4,"Medio (4-12x/ano)","Baixo (&lt;4x/ano)"))))</f>
        <v/>
      </c>
    </row>
    <row r="746" customFormat="false" ht="15" hidden="false" customHeight="true" outlineLevel="0" collapsed="false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18"/>
      <c r="L746" s="19" t="str">
        <f aca="false">IF(A746="","",G746*K746)</f>
        <v/>
      </c>
      <c r="M746" s="20"/>
      <c r="N746" s="6"/>
      <c r="O746" s="6"/>
      <c r="P746" s="5" t="str">
        <f aca="false">IF(A746="","",H746/90)</f>
        <v/>
      </c>
      <c r="Q746" s="5" t="str">
        <f aca="false">IF(A746="","",IFERROR(INDEX(Parâmetros!$C$6:$C$10,MATCH(F746,Parâmetros!$B$6:$B$10,0)),""))</f>
        <v/>
      </c>
      <c r="R746" s="5" t="str">
        <f aca="false">IF(OR(A746="",P746="",Q746=""),"",P746*Q746)</f>
        <v/>
      </c>
      <c r="S746" s="5" t="str">
        <f aca="false">IF(R746="","",MAX(0,R746-G746))</f>
        <v/>
      </c>
      <c r="T746" s="21" t="str">
        <f aca="false">IF(S746="","",S746*K746)</f>
        <v/>
      </c>
      <c r="U746" s="5" t="str">
        <f aca="false">IF(A746="","",IF(J746&gt;Parâmetros!$C$14,"SIM","NAO"))</f>
        <v/>
      </c>
      <c r="V746" s="5" t="str">
        <f aca="false">IF(B746="","",TRIM(LEFT(B746,IFERROR(FIND(" ",B746)-1,LEN(B746)))))</f>
        <v/>
      </c>
      <c r="W746" s="22"/>
      <c r="X746" s="5" t="str">
        <f aca="false">IF(A746="","",IF(W746&lt;&gt;"",W746,V746))</f>
        <v/>
      </c>
      <c r="Y746" s="5" t="str">
        <f aca="false">IF(A746="","",IF(COUNTIFS($X$2:$X$2001,X746,$D$2:$D$2001,"&lt;&gt;"&amp;D746,$C$2:$C$2001,C746)&gt;0,"SIM","NAO"))</f>
        <v/>
      </c>
      <c r="Z746" s="5" t="str">
        <f aca="false">IF(A746="","",IF(J746="","",IFERROR(360/J746,"")))</f>
        <v/>
      </c>
      <c r="AA746" s="5" t="str">
        <f aca="false">IF(A746="","",IF(H746=0,"Parado (sem venda 90d)",IF(Z746&gt;12,"Alto (&gt;12x/ano)",IF(Z746&gt;=4,"Medio (4-12x/ano)","Baixo (&lt;4x/ano)"))))</f>
        <v/>
      </c>
    </row>
    <row r="747" customFormat="false" ht="15" hidden="false" customHeight="true" outlineLevel="0" collapsed="false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18"/>
      <c r="L747" s="19" t="str">
        <f aca="false">IF(A747="","",G747*K747)</f>
        <v/>
      </c>
      <c r="M747" s="20"/>
      <c r="N747" s="6"/>
      <c r="O747" s="6"/>
      <c r="P747" s="5" t="str">
        <f aca="false">IF(A747="","",H747/90)</f>
        <v/>
      </c>
      <c r="Q747" s="5" t="str">
        <f aca="false">IF(A747="","",IFERROR(INDEX(Parâmetros!$C$6:$C$10,MATCH(F747,Parâmetros!$B$6:$B$10,0)),""))</f>
        <v/>
      </c>
      <c r="R747" s="5" t="str">
        <f aca="false">IF(OR(A747="",P747="",Q747=""),"",P747*Q747)</f>
        <v/>
      </c>
      <c r="S747" s="5" t="str">
        <f aca="false">IF(R747="","",MAX(0,R747-G747))</f>
        <v/>
      </c>
      <c r="T747" s="21" t="str">
        <f aca="false">IF(S747="","",S747*K747)</f>
        <v/>
      </c>
      <c r="U747" s="5" t="str">
        <f aca="false">IF(A747="","",IF(J747&gt;Parâmetros!$C$14,"SIM","NAO"))</f>
        <v/>
      </c>
      <c r="V747" s="5" t="str">
        <f aca="false">IF(B747="","",TRIM(LEFT(B747,IFERROR(FIND(" ",B747)-1,LEN(B747)))))</f>
        <v/>
      </c>
      <c r="W747" s="22"/>
      <c r="X747" s="5" t="str">
        <f aca="false">IF(A747="","",IF(W747&lt;&gt;"",W747,V747))</f>
        <v/>
      </c>
      <c r="Y747" s="5" t="str">
        <f aca="false">IF(A747="","",IF(COUNTIFS($X$2:$X$2001,X747,$D$2:$D$2001,"&lt;&gt;"&amp;D747,$C$2:$C$2001,C747)&gt;0,"SIM","NAO"))</f>
        <v/>
      </c>
      <c r="Z747" s="5" t="str">
        <f aca="false">IF(A747="","",IF(J747="","",IFERROR(360/J747,"")))</f>
        <v/>
      </c>
      <c r="AA747" s="5" t="str">
        <f aca="false">IF(A747="","",IF(H747=0,"Parado (sem venda 90d)",IF(Z747&gt;12,"Alto (&gt;12x/ano)",IF(Z747&gt;=4,"Medio (4-12x/ano)","Baixo (&lt;4x/ano)"))))</f>
        <v/>
      </c>
    </row>
    <row r="748" customFormat="false" ht="15" hidden="false" customHeight="true" outlineLevel="0" collapsed="false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18"/>
      <c r="L748" s="19" t="str">
        <f aca="false">IF(A748="","",G748*K748)</f>
        <v/>
      </c>
      <c r="M748" s="20"/>
      <c r="N748" s="6"/>
      <c r="O748" s="6"/>
      <c r="P748" s="5" t="str">
        <f aca="false">IF(A748="","",H748/90)</f>
        <v/>
      </c>
      <c r="Q748" s="5" t="str">
        <f aca="false">IF(A748="","",IFERROR(INDEX(Parâmetros!$C$6:$C$10,MATCH(F748,Parâmetros!$B$6:$B$10,0)),""))</f>
        <v/>
      </c>
      <c r="R748" s="5" t="str">
        <f aca="false">IF(OR(A748="",P748="",Q748=""),"",P748*Q748)</f>
        <v/>
      </c>
      <c r="S748" s="5" t="str">
        <f aca="false">IF(R748="","",MAX(0,R748-G748))</f>
        <v/>
      </c>
      <c r="T748" s="21" t="str">
        <f aca="false">IF(S748="","",S748*K748)</f>
        <v/>
      </c>
      <c r="U748" s="5" t="str">
        <f aca="false">IF(A748="","",IF(J748&gt;Parâmetros!$C$14,"SIM","NAO"))</f>
        <v/>
      </c>
      <c r="V748" s="5" t="str">
        <f aca="false">IF(B748="","",TRIM(LEFT(B748,IFERROR(FIND(" ",B748)-1,LEN(B748)))))</f>
        <v/>
      </c>
      <c r="W748" s="22"/>
      <c r="X748" s="5" t="str">
        <f aca="false">IF(A748="","",IF(W748&lt;&gt;"",W748,V748))</f>
        <v/>
      </c>
      <c r="Y748" s="5" t="str">
        <f aca="false">IF(A748="","",IF(COUNTIFS($X$2:$X$2001,X748,$D$2:$D$2001,"&lt;&gt;"&amp;D748,$C$2:$C$2001,C748)&gt;0,"SIM","NAO"))</f>
        <v/>
      </c>
      <c r="Z748" s="5" t="str">
        <f aca="false">IF(A748="","",IF(J748="","",IFERROR(360/J748,"")))</f>
        <v/>
      </c>
      <c r="AA748" s="5" t="str">
        <f aca="false">IF(A748="","",IF(H748=0,"Parado (sem venda 90d)",IF(Z748&gt;12,"Alto (&gt;12x/ano)",IF(Z748&gt;=4,"Medio (4-12x/ano)","Baixo (&lt;4x/ano)"))))</f>
        <v/>
      </c>
    </row>
    <row r="749" customFormat="false" ht="15" hidden="false" customHeight="true" outlineLevel="0" collapsed="false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18"/>
      <c r="L749" s="19" t="str">
        <f aca="false">IF(A749="","",G749*K749)</f>
        <v/>
      </c>
      <c r="M749" s="20"/>
      <c r="N749" s="6"/>
      <c r="O749" s="6"/>
      <c r="P749" s="5" t="str">
        <f aca="false">IF(A749="","",H749/90)</f>
        <v/>
      </c>
      <c r="Q749" s="5" t="str">
        <f aca="false">IF(A749="","",IFERROR(INDEX(Parâmetros!$C$6:$C$10,MATCH(F749,Parâmetros!$B$6:$B$10,0)),""))</f>
        <v/>
      </c>
      <c r="R749" s="5" t="str">
        <f aca="false">IF(OR(A749="",P749="",Q749=""),"",P749*Q749)</f>
        <v/>
      </c>
      <c r="S749" s="5" t="str">
        <f aca="false">IF(R749="","",MAX(0,R749-G749))</f>
        <v/>
      </c>
      <c r="T749" s="21" t="str">
        <f aca="false">IF(S749="","",S749*K749)</f>
        <v/>
      </c>
      <c r="U749" s="5" t="str">
        <f aca="false">IF(A749="","",IF(J749&gt;Parâmetros!$C$14,"SIM","NAO"))</f>
        <v/>
      </c>
      <c r="V749" s="5" t="str">
        <f aca="false">IF(B749="","",TRIM(LEFT(B749,IFERROR(FIND(" ",B749)-1,LEN(B749)))))</f>
        <v/>
      </c>
      <c r="W749" s="22"/>
      <c r="X749" s="5" t="str">
        <f aca="false">IF(A749="","",IF(W749&lt;&gt;"",W749,V749))</f>
        <v/>
      </c>
      <c r="Y749" s="5" t="str">
        <f aca="false">IF(A749="","",IF(COUNTIFS($X$2:$X$2001,X749,$D$2:$D$2001,"&lt;&gt;"&amp;D749,$C$2:$C$2001,C749)&gt;0,"SIM","NAO"))</f>
        <v/>
      </c>
      <c r="Z749" s="5" t="str">
        <f aca="false">IF(A749="","",IF(J749="","",IFERROR(360/J749,"")))</f>
        <v/>
      </c>
      <c r="AA749" s="5" t="str">
        <f aca="false">IF(A749="","",IF(H749=0,"Parado (sem venda 90d)",IF(Z749&gt;12,"Alto (&gt;12x/ano)",IF(Z749&gt;=4,"Medio (4-12x/ano)","Baixo (&lt;4x/ano)"))))</f>
        <v/>
      </c>
    </row>
    <row r="750" customFormat="false" ht="15" hidden="false" customHeight="true" outlineLevel="0" collapsed="false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18"/>
      <c r="L750" s="19" t="str">
        <f aca="false">IF(A750="","",G750*K750)</f>
        <v/>
      </c>
      <c r="M750" s="20"/>
      <c r="N750" s="6"/>
      <c r="O750" s="6"/>
      <c r="P750" s="5" t="str">
        <f aca="false">IF(A750="","",H750/90)</f>
        <v/>
      </c>
      <c r="Q750" s="5" t="str">
        <f aca="false">IF(A750="","",IFERROR(INDEX(Parâmetros!$C$6:$C$10,MATCH(F750,Parâmetros!$B$6:$B$10,0)),""))</f>
        <v/>
      </c>
      <c r="R750" s="5" t="str">
        <f aca="false">IF(OR(A750="",P750="",Q750=""),"",P750*Q750)</f>
        <v/>
      </c>
      <c r="S750" s="5" t="str">
        <f aca="false">IF(R750="","",MAX(0,R750-G750))</f>
        <v/>
      </c>
      <c r="T750" s="21" t="str">
        <f aca="false">IF(S750="","",S750*K750)</f>
        <v/>
      </c>
      <c r="U750" s="5" t="str">
        <f aca="false">IF(A750="","",IF(J750&gt;Parâmetros!$C$14,"SIM","NAO"))</f>
        <v/>
      </c>
      <c r="V750" s="5" t="str">
        <f aca="false">IF(B750="","",TRIM(LEFT(B750,IFERROR(FIND(" ",B750)-1,LEN(B750)))))</f>
        <v/>
      </c>
      <c r="W750" s="22"/>
      <c r="X750" s="5" t="str">
        <f aca="false">IF(A750="","",IF(W750&lt;&gt;"",W750,V750))</f>
        <v/>
      </c>
      <c r="Y750" s="5" t="str">
        <f aca="false">IF(A750="","",IF(COUNTIFS($X$2:$X$2001,X750,$D$2:$D$2001,"&lt;&gt;"&amp;D750,$C$2:$C$2001,C750)&gt;0,"SIM","NAO"))</f>
        <v/>
      </c>
      <c r="Z750" s="5" t="str">
        <f aca="false">IF(A750="","",IF(J750="","",IFERROR(360/J750,"")))</f>
        <v/>
      </c>
      <c r="AA750" s="5" t="str">
        <f aca="false">IF(A750="","",IF(H750=0,"Parado (sem venda 90d)",IF(Z750&gt;12,"Alto (&gt;12x/ano)",IF(Z750&gt;=4,"Medio (4-12x/ano)","Baixo (&lt;4x/ano)"))))</f>
        <v/>
      </c>
    </row>
    <row r="751" customFormat="false" ht="15" hidden="false" customHeight="true" outlineLevel="0" collapsed="false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18"/>
      <c r="L751" s="19" t="str">
        <f aca="false">IF(A751="","",G751*K751)</f>
        <v/>
      </c>
      <c r="M751" s="20"/>
      <c r="N751" s="6"/>
      <c r="O751" s="6"/>
      <c r="P751" s="5" t="str">
        <f aca="false">IF(A751="","",H751/90)</f>
        <v/>
      </c>
      <c r="Q751" s="5" t="str">
        <f aca="false">IF(A751="","",IFERROR(INDEX(Parâmetros!$C$6:$C$10,MATCH(F751,Parâmetros!$B$6:$B$10,0)),""))</f>
        <v/>
      </c>
      <c r="R751" s="5" t="str">
        <f aca="false">IF(OR(A751="",P751="",Q751=""),"",P751*Q751)</f>
        <v/>
      </c>
      <c r="S751" s="5" t="str">
        <f aca="false">IF(R751="","",MAX(0,R751-G751))</f>
        <v/>
      </c>
      <c r="T751" s="21" t="str">
        <f aca="false">IF(S751="","",S751*K751)</f>
        <v/>
      </c>
      <c r="U751" s="5" t="str">
        <f aca="false">IF(A751="","",IF(J751&gt;Parâmetros!$C$14,"SIM","NAO"))</f>
        <v/>
      </c>
      <c r="V751" s="5" t="str">
        <f aca="false">IF(B751="","",TRIM(LEFT(B751,IFERROR(FIND(" ",B751)-1,LEN(B751)))))</f>
        <v/>
      </c>
      <c r="W751" s="22"/>
      <c r="X751" s="5" t="str">
        <f aca="false">IF(A751="","",IF(W751&lt;&gt;"",W751,V751))</f>
        <v/>
      </c>
      <c r="Y751" s="5" t="str">
        <f aca="false">IF(A751="","",IF(COUNTIFS($X$2:$X$2001,X751,$D$2:$D$2001,"&lt;&gt;"&amp;D751,$C$2:$C$2001,C751)&gt;0,"SIM","NAO"))</f>
        <v/>
      </c>
      <c r="Z751" s="5" t="str">
        <f aca="false">IF(A751="","",IF(J751="","",IFERROR(360/J751,"")))</f>
        <v/>
      </c>
      <c r="AA751" s="5" t="str">
        <f aca="false">IF(A751="","",IF(H751=0,"Parado (sem venda 90d)",IF(Z751&gt;12,"Alto (&gt;12x/ano)",IF(Z751&gt;=4,"Medio (4-12x/ano)","Baixo (&lt;4x/ano)"))))</f>
        <v/>
      </c>
    </row>
    <row r="752" customFormat="false" ht="15" hidden="false" customHeight="true" outlineLevel="0" collapsed="false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18"/>
      <c r="L752" s="19" t="str">
        <f aca="false">IF(A752="","",G752*K752)</f>
        <v/>
      </c>
      <c r="M752" s="20"/>
      <c r="N752" s="6"/>
      <c r="O752" s="6"/>
      <c r="P752" s="5" t="str">
        <f aca="false">IF(A752="","",H752/90)</f>
        <v/>
      </c>
      <c r="Q752" s="5" t="str">
        <f aca="false">IF(A752="","",IFERROR(INDEX(Parâmetros!$C$6:$C$10,MATCH(F752,Parâmetros!$B$6:$B$10,0)),""))</f>
        <v/>
      </c>
      <c r="R752" s="5" t="str">
        <f aca="false">IF(OR(A752="",P752="",Q752=""),"",P752*Q752)</f>
        <v/>
      </c>
      <c r="S752" s="5" t="str">
        <f aca="false">IF(R752="","",MAX(0,R752-G752))</f>
        <v/>
      </c>
      <c r="T752" s="21" t="str">
        <f aca="false">IF(S752="","",S752*K752)</f>
        <v/>
      </c>
      <c r="U752" s="5" t="str">
        <f aca="false">IF(A752="","",IF(J752&gt;Parâmetros!$C$14,"SIM","NAO"))</f>
        <v/>
      </c>
      <c r="V752" s="5" t="str">
        <f aca="false">IF(B752="","",TRIM(LEFT(B752,IFERROR(FIND(" ",B752)-1,LEN(B752)))))</f>
        <v/>
      </c>
      <c r="W752" s="22"/>
      <c r="X752" s="5" t="str">
        <f aca="false">IF(A752="","",IF(W752&lt;&gt;"",W752,V752))</f>
        <v/>
      </c>
      <c r="Y752" s="5" t="str">
        <f aca="false">IF(A752="","",IF(COUNTIFS($X$2:$X$2001,X752,$D$2:$D$2001,"&lt;&gt;"&amp;D752,$C$2:$C$2001,C752)&gt;0,"SIM","NAO"))</f>
        <v/>
      </c>
      <c r="Z752" s="5" t="str">
        <f aca="false">IF(A752="","",IF(J752="","",IFERROR(360/J752,"")))</f>
        <v/>
      </c>
      <c r="AA752" s="5" t="str">
        <f aca="false">IF(A752="","",IF(H752=0,"Parado (sem venda 90d)",IF(Z752&gt;12,"Alto (&gt;12x/ano)",IF(Z752&gt;=4,"Medio (4-12x/ano)","Baixo (&lt;4x/ano)"))))</f>
        <v/>
      </c>
    </row>
    <row r="753" customFormat="false" ht="15" hidden="false" customHeight="true" outlineLevel="0" collapsed="false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18"/>
      <c r="L753" s="19" t="str">
        <f aca="false">IF(A753="","",G753*K753)</f>
        <v/>
      </c>
      <c r="M753" s="20"/>
      <c r="N753" s="6"/>
      <c r="O753" s="6"/>
      <c r="P753" s="5" t="str">
        <f aca="false">IF(A753="","",H753/90)</f>
        <v/>
      </c>
      <c r="Q753" s="5" t="str">
        <f aca="false">IF(A753="","",IFERROR(INDEX(Parâmetros!$C$6:$C$10,MATCH(F753,Parâmetros!$B$6:$B$10,0)),""))</f>
        <v/>
      </c>
      <c r="R753" s="5" t="str">
        <f aca="false">IF(OR(A753="",P753="",Q753=""),"",P753*Q753)</f>
        <v/>
      </c>
      <c r="S753" s="5" t="str">
        <f aca="false">IF(R753="","",MAX(0,R753-G753))</f>
        <v/>
      </c>
      <c r="T753" s="21" t="str">
        <f aca="false">IF(S753="","",S753*K753)</f>
        <v/>
      </c>
      <c r="U753" s="5" t="str">
        <f aca="false">IF(A753="","",IF(J753&gt;Parâmetros!$C$14,"SIM","NAO"))</f>
        <v/>
      </c>
      <c r="V753" s="5" t="str">
        <f aca="false">IF(B753="","",TRIM(LEFT(B753,IFERROR(FIND(" ",B753)-1,LEN(B753)))))</f>
        <v/>
      </c>
      <c r="W753" s="22"/>
      <c r="X753" s="5" t="str">
        <f aca="false">IF(A753="","",IF(W753&lt;&gt;"",W753,V753))</f>
        <v/>
      </c>
      <c r="Y753" s="5" t="str">
        <f aca="false">IF(A753="","",IF(COUNTIFS($X$2:$X$2001,X753,$D$2:$D$2001,"&lt;&gt;"&amp;D753,$C$2:$C$2001,C753)&gt;0,"SIM","NAO"))</f>
        <v/>
      </c>
      <c r="Z753" s="5" t="str">
        <f aca="false">IF(A753="","",IF(J753="","",IFERROR(360/J753,"")))</f>
        <v/>
      </c>
      <c r="AA753" s="5" t="str">
        <f aca="false">IF(A753="","",IF(H753=0,"Parado (sem venda 90d)",IF(Z753&gt;12,"Alto (&gt;12x/ano)",IF(Z753&gt;=4,"Medio (4-12x/ano)","Baixo (&lt;4x/ano)"))))</f>
        <v/>
      </c>
    </row>
    <row r="754" customFormat="false" ht="15" hidden="false" customHeight="true" outlineLevel="0" collapsed="false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18"/>
      <c r="L754" s="19" t="str">
        <f aca="false">IF(A754="","",G754*K754)</f>
        <v/>
      </c>
      <c r="M754" s="20"/>
      <c r="N754" s="6"/>
      <c r="O754" s="6"/>
      <c r="P754" s="5" t="str">
        <f aca="false">IF(A754="","",H754/90)</f>
        <v/>
      </c>
      <c r="Q754" s="5" t="str">
        <f aca="false">IF(A754="","",IFERROR(INDEX(Parâmetros!$C$6:$C$10,MATCH(F754,Parâmetros!$B$6:$B$10,0)),""))</f>
        <v/>
      </c>
      <c r="R754" s="5" t="str">
        <f aca="false">IF(OR(A754="",P754="",Q754=""),"",P754*Q754)</f>
        <v/>
      </c>
      <c r="S754" s="5" t="str">
        <f aca="false">IF(R754="","",MAX(0,R754-G754))</f>
        <v/>
      </c>
      <c r="T754" s="21" t="str">
        <f aca="false">IF(S754="","",S754*K754)</f>
        <v/>
      </c>
      <c r="U754" s="5" t="str">
        <f aca="false">IF(A754="","",IF(J754&gt;Parâmetros!$C$14,"SIM","NAO"))</f>
        <v/>
      </c>
      <c r="V754" s="5" t="str">
        <f aca="false">IF(B754="","",TRIM(LEFT(B754,IFERROR(FIND(" ",B754)-1,LEN(B754)))))</f>
        <v/>
      </c>
      <c r="W754" s="22"/>
      <c r="X754" s="5" t="str">
        <f aca="false">IF(A754="","",IF(W754&lt;&gt;"",W754,V754))</f>
        <v/>
      </c>
      <c r="Y754" s="5" t="str">
        <f aca="false">IF(A754="","",IF(COUNTIFS($X$2:$X$2001,X754,$D$2:$D$2001,"&lt;&gt;"&amp;D754,$C$2:$C$2001,C754)&gt;0,"SIM","NAO"))</f>
        <v/>
      </c>
      <c r="Z754" s="5" t="str">
        <f aca="false">IF(A754="","",IF(J754="","",IFERROR(360/J754,"")))</f>
        <v/>
      </c>
      <c r="AA754" s="5" t="str">
        <f aca="false">IF(A754="","",IF(H754=0,"Parado (sem venda 90d)",IF(Z754&gt;12,"Alto (&gt;12x/ano)",IF(Z754&gt;=4,"Medio (4-12x/ano)","Baixo (&lt;4x/ano)"))))</f>
        <v/>
      </c>
    </row>
    <row r="755" customFormat="false" ht="15" hidden="false" customHeight="true" outlineLevel="0" collapsed="false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18"/>
      <c r="L755" s="19" t="str">
        <f aca="false">IF(A755="","",G755*K755)</f>
        <v/>
      </c>
      <c r="M755" s="20"/>
      <c r="N755" s="6"/>
      <c r="O755" s="6"/>
      <c r="P755" s="5" t="str">
        <f aca="false">IF(A755="","",H755/90)</f>
        <v/>
      </c>
      <c r="Q755" s="5" t="str">
        <f aca="false">IF(A755="","",IFERROR(INDEX(Parâmetros!$C$6:$C$10,MATCH(F755,Parâmetros!$B$6:$B$10,0)),""))</f>
        <v/>
      </c>
      <c r="R755" s="5" t="str">
        <f aca="false">IF(OR(A755="",P755="",Q755=""),"",P755*Q755)</f>
        <v/>
      </c>
      <c r="S755" s="5" t="str">
        <f aca="false">IF(R755="","",MAX(0,R755-G755))</f>
        <v/>
      </c>
      <c r="T755" s="21" t="str">
        <f aca="false">IF(S755="","",S755*K755)</f>
        <v/>
      </c>
      <c r="U755" s="5" t="str">
        <f aca="false">IF(A755="","",IF(J755&gt;Parâmetros!$C$14,"SIM","NAO"))</f>
        <v/>
      </c>
      <c r="V755" s="5" t="str">
        <f aca="false">IF(B755="","",TRIM(LEFT(B755,IFERROR(FIND(" ",B755)-1,LEN(B755)))))</f>
        <v/>
      </c>
      <c r="W755" s="22"/>
      <c r="X755" s="5" t="str">
        <f aca="false">IF(A755="","",IF(W755&lt;&gt;"",W755,V755))</f>
        <v/>
      </c>
      <c r="Y755" s="5" t="str">
        <f aca="false">IF(A755="","",IF(COUNTIFS($X$2:$X$2001,X755,$D$2:$D$2001,"&lt;&gt;"&amp;D755,$C$2:$C$2001,C755)&gt;0,"SIM","NAO"))</f>
        <v/>
      </c>
      <c r="Z755" s="5" t="str">
        <f aca="false">IF(A755="","",IF(J755="","",IFERROR(360/J755,"")))</f>
        <v/>
      </c>
      <c r="AA755" s="5" t="str">
        <f aca="false">IF(A755="","",IF(H755=0,"Parado (sem venda 90d)",IF(Z755&gt;12,"Alto (&gt;12x/ano)",IF(Z755&gt;=4,"Medio (4-12x/ano)","Baixo (&lt;4x/ano)"))))</f>
        <v/>
      </c>
    </row>
    <row r="756" customFormat="false" ht="15" hidden="false" customHeight="true" outlineLevel="0" collapsed="false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18"/>
      <c r="L756" s="19" t="str">
        <f aca="false">IF(A756="","",G756*K756)</f>
        <v/>
      </c>
      <c r="M756" s="20"/>
      <c r="N756" s="6"/>
      <c r="O756" s="6"/>
      <c r="P756" s="5" t="str">
        <f aca="false">IF(A756="","",H756/90)</f>
        <v/>
      </c>
      <c r="Q756" s="5" t="str">
        <f aca="false">IF(A756="","",IFERROR(INDEX(Parâmetros!$C$6:$C$10,MATCH(F756,Parâmetros!$B$6:$B$10,0)),""))</f>
        <v/>
      </c>
      <c r="R756" s="5" t="str">
        <f aca="false">IF(OR(A756="",P756="",Q756=""),"",P756*Q756)</f>
        <v/>
      </c>
      <c r="S756" s="5" t="str">
        <f aca="false">IF(R756="","",MAX(0,R756-G756))</f>
        <v/>
      </c>
      <c r="T756" s="21" t="str">
        <f aca="false">IF(S756="","",S756*K756)</f>
        <v/>
      </c>
      <c r="U756" s="5" t="str">
        <f aca="false">IF(A756="","",IF(J756&gt;Parâmetros!$C$14,"SIM","NAO"))</f>
        <v/>
      </c>
      <c r="V756" s="5" t="str">
        <f aca="false">IF(B756="","",TRIM(LEFT(B756,IFERROR(FIND(" ",B756)-1,LEN(B756)))))</f>
        <v/>
      </c>
      <c r="W756" s="22"/>
      <c r="X756" s="5" t="str">
        <f aca="false">IF(A756="","",IF(W756&lt;&gt;"",W756,V756))</f>
        <v/>
      </c>
      <c r="Y756" s="5" t="str">
        <f aca="false">IF(A756="","",IF(COUNTIFS($X$2:$X$2001,X756,$D$2:$D$2001,"&lt;&gt;"&amp;D756,$C$2:$C$2001,C756)&gt;0,"SIM","NAO"))</f>
        <v/>
      </c>
      <c r="Z756" s="5" t="str">
        <f aca="false">IF(A756="","",IF(J756="","",IFERROR(360/J756,"")))</f>
        <v/>
      </c>
      <c r="AA756" s="5" t="str">
        <f aca="false">IF(A756="","",IF(H756=0,"Parado (sem venda 90d)",IF(Z756&gt;12,"Alto (&gt;12x/ano)",IF(Z756&gt;=4,"Medio (4-12x/ano)","Baixo (&lt;4x/ano)"))))</f>
        <v/>
      </c>
    </row>
    <row r="757" customFormat="false" ht="15" hidden="false" customHeight="true" outlineLevel="0" collapsed="false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18"/>
      <c r="L757" s="19" t="str">
        <f aca="false">IF(A757="","",G757*K757)</f>
        <v/>
      </c>
      <c r="M757" s="20"/>
      <c r="N757" s="6"/>
      <c r="O757" s="6"/>
      <c r="P757" s="5" t="str">
        <f aca="false">IF(A757="","",H757/90)</f>
        <v/>
      </c>
      <c r="Q757" s="5" t="str">
        <f aca="false">IF(A757="","",IFERROR(INDEX(Parâmetros!$C$6:$C$10,MATCH(F757,Parâmetros!$B$6:$B$10,0)),""))</f>
        <v/>
      </c>
      <c r="R757" s="5" t="str">
        <f aca="false">IF(OR(A757="",P757="",Q757=""),"",P757*Q757)</f>
        <v/>
      </c>
      <c r="S757" s="5" t="str">
        <f aca="false">IF(R757="","",MAX(0,R757-G757))</f>
        <v/>
      </c>
      <c r="T757" s="21" t="str">
        <f aca="false">IF(S757="","",S757*K757)</f>
        <v/>
      </c>
      <c r="U757" s="5" t="str">
        <f aca="false">IF(A757="","",IF(J757&gt;Parâmetros!$C$14,"SIM","NAO"))</f>
        <v/>
      </c>
      <c r="V757" s="5" t="str">
        <f aca="false">IF(B757="","",TRIM(LEFT(B757,IFERROR(FIND(" ",B757)-1,LEN(B757)))))</f>
        <v/>
      </c>
      <c r="W757" s="22"/>
      <c r="X757" s="5" t="str">
        <f aca="false">IF(A757="","",IF(W757&lt;&gt;"",W757,V757))</f>
        <v/>
      </c>
      <c r="Y757" s="5" t="str">
        <f aca="false">IF(A757="","",IF(COUNTIFS($X$2:$X$2001,X757,$D$2:$D$2001,"&lt;&gt;"&amp;D757,$C$2:$C$2001,C757)&gt;0,"SIM","NAO"))</f>
        <v/>
      </c>
      <c r="Z757" s="5" t="str">
        <f aca="false">IF(A757="","",IF(J757="","",IFERROR(360/J757,"")))</f>
        <v/>
      </c>
      <c r="AA757" s="5" t="str">
        <f aca="false">IF(A757="","",IF(H757=0,"Parado (sem venda 90d)",IF(Z757&gt;12,"Alto (&gt;12x/ano)",IF(Z757&gt;=4,"Medio (4-12x/ano)","Baixo (&lt;4x/ano)"))))</f>
        <v/>
      </c>
    </row>
    <row r="758" customFormat="false" ht="15" hidden="false" customHeight="true" outlineLevel="0" collapsed="false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18"/>
      <c r="L758" s="19" t="str">
        <f aca="false">IF(A758="","",G758*K758)</f>
        <v/>
      </c>
      <c r="M758" s="20"/>
      <c r="N758" s="6"/>
      <c r="O758" s="6"/>
      <c r="P758" s="5" t="str">
        <f aca="false">IF(A758="","",H758/90)</f>
        <v/>
      </c>
      <c r="Q758" s="5" t="str">
        <f aca="false">IF(A758="","",IFERROR(INDEX(Parâmetros!$C$6:$C$10,MATCH(F758,Parâmetros!$B$6:$B$10,0)),""))</f>
        <v/>
      </c>
      <c r="R758" s="5" t="str">
        <f aca="false">IF(OR(A758="",P758="",Q758=""),"",P758*Q758)</f>
        <v/>
      </c>
      <c r="S758" s="5" t="str">
        <f aca="false">IF(R758="","",MAX(0,R758-G758))</f>
        <v/>
      </c>
      <c r="T758" s="21" t="str">
        <f aca="false">IF(S758="","",S758*K758)</f>
        <v/>
      </c>
      <c r="U758" s="5" t="str">
        <f aca="false">IF(A758="","",IF(J758&gt;Parâmetros!$C$14,"SIM","NAO"))</f>
        <v/>
      </c>
      <c r="V758" s="5" t="str">
        <f aca="false">IF(B758="","",TRIM(LEFT(B758,IFERROR(FIND(" ",B758)-1,LEN(B758)))))</f>
        <v/>
      </c>
      <c r="W758" s="22"/>
      <c r="X758" s="5" t="str">
        <f aca="false">IF(A758="","",IF(W758&lt;&gt;"",W758,V758))</f>
        <v/>
      </c>
      <c r="Y758" s="5" t="str">
        <f aca="false">IF(A758="","",IF(COUNTIFS($X$2:$X$2001,X758,$D$2:$D$2001,"&lt;&gt;"&amp;D758,$C$2:$C$2001,C758)&gt;0,"SIM","NAO"))</f>
        <v/>
      </c>
      <c r="Z758" s="5" t="str">
        <f aca="false">IF(A758="","",IF(J758="","",IFERROR(360/J758,"")))</f>
        <v/>
      </c>
      <c r="AA758" s="5" t="str">
        <f aca="false">IF(A758="","",IF(H758=0,"Parado (sem venda 90d)",IF(Z758&gt;12,"Alto (&gt;12x/ano)",IF(Z758&gt;=4,"Medio (4-12x/ano)","Baixo (&lt;4x/ano)"))))</f>
        <v/>
      </c>
    </row>
    <row r="759" customFormat="false" ht="15" hidden="false" customHeight="true" outlineLevel="0" collapsed="false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18"/>
      <c r="L759" s="19" t="str">
        <f aca="false">IF(A759="","",G759*K759)</f>
        <v/>
      </c>
      <c r="M759" s="20"/>
      <c r="N759" s="6"/>
      <c r="O759" s="6"/>
      <c r="P759" s="5" t="str">
        <f aca="false">IF(A759="","",H759/90)</f>
        <v/>
      </c>
      <c r="Q759" s="5" t="str">
        <f aca="false">IF(A759="","",IFERROR(INDEX(Parâmetros!$C$6:$C$10,MATCH(F759,Parâmetros!$B$6:$B$10,0)),""))</f>
        <v/>
      </c>
      <c r="R759" s="5" t="str">
        <f aca="false">IF(OR(A759="",P759="",Q759=""),"",P759*Q759)</f>
        <v/>
      </c>
      <c r="S759" s="5" t="str">
        <f aca="false">IF(R759="","",MAX(0,R759-G759))</f>
        <v/>
      </c>
      <c r="T759" s="21" t="str">
        <f aca="false">IF(S759="","",S759*K759)</f>
        <v/>
      </c>
      <c r="U759" s="5" t="str">
        <f aca="false">IF(A759="","",IF(J759&gt;Parâmetros!$C$14,"SIM","NAO"))</f>
        <v/>
      </c>
      <c r="V759" s="5" t="str">
        <f aca="false">IF(B759="","",TRIM(LEFT(B759,IFERROR(FIND(" ",B759)-1,LEN(B759)))))</f>
        <v/>
      </c>
      <c r="W759" s="22"/>
      <c r="X759" s="5" t="str">
        <f aca="false">IF(A759="","",IF(W759&lt;&gt;"",W759,V759))</f>
        <v/>
      </c>
      <c r="Y759" s="5" t="str">
        <f aca="false">IF(A759="","",IF(COUNTIFS($X$2:$X$2001,X759,$D$2:$D$2001,"&lt;&gt;"&amp;D759,$C$2:$C$2001,C759)&gt;0,"SIM","NAO"))</f>
        <v/>
      </c>
      <c r="Z759" s="5" t="str">
        <f aca="false">IF(A759="","",IF(J759="","",IFERROR(360/J759,"")))</f>
        <v/>
      </c>
      <c r="AA759" s="5" t="str">
        <f aca="false">IF(A759="","",IF(H759=0,"Parado (sem venda 90d)",IF(Z759&gt;12,"Alto (&gt;12x/ano)",IF(Z759&gt;=4,"Medio (4-12x/ano)","Baixo (&lt;4x/ano)"))))</f>
        <v/>
      </c>
    </row>
    <row r="760" customFormat="false" ht="15" hidden="false" customHeight="true" outlineLevel="0" collapsed="false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18"/>
      <c r="L760" s="19" t="str">
        <f aca="false">IF(A760="","",G760*K760)</f>
        <v/>
      </c>
      <c r="M760" s="20"/>
      <c r="N760" s="6"/>
      <c r="O760" s="6"/>
      <c r="P760" s="5" t="str">
        <f aca="false">IF(A760="","",H760/90)</f>
        <v/>
      </c>
      <c r="Q760" s="5" t="str">
        <f aca="false">IF(A760="","",IFERROR(INDEX(Parâmetros!$C$6:$C$10,MATCH(F760,Parâmetros!$B$6:$B$10,0)),""))</f>
        <v/>
      </c>
      <c r="R760" s="5" t="str">
        <f aca="false">IF(OR(A760="",P760="",Q760=""),"",P760*Q760)</f>
        <v/>
      </c>
      <c r="S760" s="5" t="str">
        <f aca="false">IF(R760="","",MAX(0,R760-G760))</f>
        <v/>
      </c>
      <c r="T760" s="21" t="str">
        <f aca="false">IF(S760="","",S760*K760)</f>
        <v/>
      </c>
      <c r="U760" s="5" t="str">
        <f aca="false">IF(A760="","",IF(J760&gt;Parâmetros!$C$14,"SIM","NAO"))</f>
        <v/>
      </c>
      <c r="V760" s="5" t="str">
        <f aca="false">IF(B760="","",TRIM(LEFT(B760,IFERROR(FIND(" ",B760)-1,LEN(B760)))))</f>
        <v/>
      </c>
      <c r="W760" s="22"/>
      <c r="X760" s="5" t="str">
        <f aca="false">IF(A760="","",IF(W760&lt;&gt;"",W760,V760))</f>
        <v/>
      </c>
      <c r="Y760" s="5" t="str">
        <f aca="false">IF(A760="","",IF(COUNTIFS($X$2:$X$2001,X760,$D$2:$D$2001,"&lt;&gt;"&amp;D760,$C$2:$C$2001,C760)&gt;0,"SIM","NAO"))</f>
        <v/>
      </c>
      <c r="Z760" s="5" t="str">
        <f aca="false">IF(A760="","",IF(J760="","",IFERROR(360/J760,"")))</f>
        <v/>
      </c>
      <c r="AA760" s="5" t="str">
        <f aca="false">IF(A760="","",IF(H760=0,"Parado (sem venda 90d)",IF(Z760&gt;12,"Alto (&gt;12x/ano)",IF(Z760&gt;=4,"Medio (4-12x/ano)","Baixo (&lt;4x/ano)"))))</f>
        <v/>
      </c>
    </row>
    <row r="761" customFormat="false" ht="15" hidden="false" customHeight="true" outlineLevel="0" collapsed="false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18"/>
      <c r="L761" s="19" t="str">
        <f aca="false">IF(A761="","",G761*K761)</f>
        <v/>
      </c>
      <c r="M761" s="20"/>
      <c r="N761" s="6"/>
      <c r="O761" s="6"/>
      <c r="P761" s="5" t="str">
        <f aca="false">IF(A761="","",H761/90)</f>
        <v/>
      </c>
      <c r="Q761" s="5" t="str">
        <f aca="false">IF(A761="","",IFERROR(INDEX(Parâmetros!$C$6:$C$10,MATCH(F761,Parâmetros!$B$6:$B$10,0)),""))</f>
        <v/>
      </c>
      <c r="R761" s="5" t="str">
        <f aca="false">IF(OR(A761="",P761="",Q761=""),"",P761*Q761)</f>
        <v/>
      </c>
      <c r="S761" s="5" t="str">
        <f aca="false">IF(R761="","",MAX(0,R761-G761))</f>
        <v/>
      </c>
      <c r="T761" s="21" t="str">
        <f aca="false">IF(S761="","",S761*K761)</f>
        <v/>
      </c>
      <c r="U761" s="5" t="str">
        <f aca="false">IF(A761="","",IF(J761&gt;Parâmetros!$C$14,"SIM","NAO"))</f>
        <v/>
      </c>
      <c r="V761" s="5" t="str">
        <f aca="false">IF(B761="","",TRIM(LEFT(B761,IFERROR(FIND(" ",B761)-1,LEN(B761)))))</f>
        <v/>
      </c>
      <c r="W761" s="22"/>
      <c r="X761" s="5" t="str">
        <f aca="false">IF(A761="","",IF(W761&lt;&gt;"",W761,V761))</f>
        <v/>
      </c>
      <c r="Y761" s="5" t="str">
        <f aca="false">IF(A761="","",IF(COUNTIFS($X$2:$X$2001,X761,$D$2:$D$2001,"&lt;&gt;"&amp;D761,$C$2:$C$2001,C761)&gt;0,"SIM","NAO"))</f>
        <v/>
      </c>
      <c r="Z761" s="5" t="str">
        <f aca="false">IF(A761="","",IF(J761="","",IFERROR(360/J761,"")))</f>
        <v/>
      </c>
      <c r="AA761" s="5" t="str">
        <f aca="false">IF(A761="","",IF(H761=0,"Parado (sem venda 90d)",IF(Z761&gt;12,"Alto (&gt;12x/ano)",IF(Z761&gt;=4,"Medio (4-12x/ano)","Baixo (&lt;4x/ano)"))))</f>
        <v/>
      </c>
    </row>
    <row r="762" customFormat="false" ht="15" hidden="false" customHeight="true" outlineLevel="0" collapsed="false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18"/>
      <c r="L762" s="19" t="str">
        <f aca="false">IF(A762="","",G762*K762)</f>
        <v/>
      </c>
      <c r="M762" s="20"/>
      <c r="N762" s="6"/>
      <c r="O762" s="6"/>
      <c r="P762" s="5" t="str">
        <f aca="false">IF(A762="","",H762/90)</f>
        <v/>
      </c>
      <c r="Q762" s="5" t="str">
        <f aca="false">IF(A762="","",IFERROR(INDEX(Parâmetros!$C$6:$C$10,MATCH(F762,Parâmetros!$B$6:$B$10,0)),""))</f>
        <v/>
      </c>
      <c r="R762" s="5" t="str">
        <f aca="false">IF(OR(A762="",P762="",Q762=""),"",P762*Q762)</f>
        <v/>
      </c>
      <c r="S762" s="5" t="str">
        <f aca="false">IF(R762="","",MAX(0,R762-G762))</f>
        <v/>
      </c>
      <c r="T762" s="21" t="str">
        <f aca="false">IF(S762="","",S762*K762)</f>
        <v/>
      </c>
      <c r="U762" s="5" t="str">
        <f aca="false">IF(A762="","",IF(J762&gt;Parâmetros!$C$14,"SIM","NAO"))</f>
        <v/>
      </c>
      <c r="V762" s="5" t="str">
        <f aca="false">IF(B762="","",TRIM(LEFT(B762,IFERROR(FIND(" ",B762)-1,LEN(B762)))))</f>
        <v/>
      </c>
      <c r="W762" s="22"/>
      <c r="X762" s="5" t="str">
        <f aca="false">IF(A762="","",IF(W762&lt;&gt;"",W762,V762))</f>
        <v/>
      </c>
      <c r="Y762" s="5" t="str">
        <f aca="false">IF(A762="","",IF(COUNTIFS($X$2:$X$2001,X762,$D$2:$D$2001,"&lt;&gt;"&amp;D762,$C$2:$C$2001,C762)&gt;0,"SIM","NAO"))</f>
        <v/>
      </c>
      <c r="Z762" s="5" t="str">
        <f aca="false">IF(A762="","",IF(J762="","",IFERROR(360/J762,"")))</f>
        <v/>
      </c>
      <c r="AA762" s="5" t="str">
        <f aca="false">IF(A762="","",IF(H762=0,"Parado (sem venda 90d)",IF(Z762&gt;12,"Alto (&gt;12x/ano)",IF(Z762&gt;=4,"Medio (4-12x/ano)","Baixo (&lt;4x/ano)"))))</f>
        <v/>
      </c>
    </row>
    <row r="763" customFormat="false" ht="15" hidden="false" customHeight="true" outlineLevel="0" collapsed="false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18"/>
      <c r="L763" s="19" t="str">
        <f aca="false">IF(A763="","",G763*K763)</f>
        <v/>
      </c>
      <c r="M763" s="20"/>
      <c r="N763" s="6"/>
      <c r="O763" s="6"/>
      <c r="P763" s="5" t="str">
        <f aca="false">IF(A763="","",H763/90)</f>
        <v/>
      </c>
      <c r="Q763" s="5" t="str">
        <f aca="false">IF(A763="","",IFERROR(INDEX(Parâmetros!$C$6:$C$10,MATCH(F763,Parâmetros!$B$6:$B$10,0)),""))</f>
        <v/>
      </c>
      <c r="R763" s="5" t="str">
        <f aca="false">IF(OR(A763="",P763="",Q763=""),"",P763*Q763)</f>
        <v/>
      </c>
      <c r="S763" s="5" t="str">
        <f aca="false">IF(R763="","",MAX(0,R763-G763))</f>
        <v/>
      </c>
      <c r="T763" s="21" t="str">
        <f aca="false">IF(S763="","",S763*K763)</f>
        <v/>
      </c>
      <c r="U763" s="5" t="str">
        <f aca="false">IF(A763="","",IF(J763&gt;Parâmetros!$C$14,"SIM","NAO"))</f>
        <v/>
      </c>
      <c r="V763" s="5" t="str">
        <f aca="false">IF(B763="","",TRIM(LEFT(B763,IFERROR(FIND(" ",B763)-1,LEN(B763)))))</f>
        <v/>
      </c>
      <c r="W763" s="22"/>
      <c r="X763" s="5" t="str">
        <f aca="false">IF(A763="","",IF(W763&lt;&gt;"",W763,V763))</f>
        <v/>
      </c>
      <c r="Y763" s="5" t="str">
        <f aca="false">IF(A763="","",IF(COUNTIFS($X$2:$X$2001,X763,$D$2:$D$2001,"&lt;&gt;"&amp;D763,$C$2:$C$2001,C763)&gt;0,"SIM","NAO"))</f>
        <v/>
      </c>
      <c r="Z763" s="5" t="str">
        <f aca="false">IF(A763="","",IF(J763="","",IFERROR(360/J763,"")))</f>
        <v/>
      </c>
      <c r="AA763" s="5" t="str">
        <f aca="false">IF(A763="","",IF(H763=0,"Parado (sem venda 90d)",IF(Z763&gt;12,"Alto (&gt;12x/ano)",IF(Z763&gt;=4,"Medio (4-12x/ano)","Baixo (&lt;4x/ano)"))))</f>
        <v/>
      </c>
    </row>
    <row r="764" customFormat="false" ht="15" hidden="false" customHeight="true" outlineLevel="0" collapsed="false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18"/>
      <c r="L764" s="19" t="str">
        <f aca="false">IF(A764="","",G764*K764)</f>
        <v/>
      </c>
      <c r="M764" s="20"/>
      <c r="N764" s="6"/>
      <c r="O764" s="6"/>
      <c r="P764" s="5" t="str">
        <f aca="false">IF(A764="","",H764/90)</f>
        <v/>
      </c>
      <c r="Q764" s="5" t="str">
        <f aca="false">IF(A764="","",IFERROR(INDEX(Parâmetros!$C$6:$C$10,MATCH(F764,Parâmetros!$B$6:$B$10,0)),""))</f>
        <v/>
      </c>
      <c r="R764" s="5" t="str">
        <f aca="false">IF(OR(A764="",P764="",Q764=""),"",P764*Q764)</f>
        <v/>
      </c>
      <c r="S764" s="5" t="str">
        <f aca="false">IF(R764="","",MAX(0,R764-G764))</f>
        <v/>
      </c>
      <c r="T764" s="21" t="str">
        <f aca="false">IF(S764="","",S764*K764)</f>
        <v/>
      </c>
      <c r="U764" s="5" t="str">
        <f aca="false">IF(A764="","",IF(J764&gt;Parâmetros!$C$14,"SIM","NAO"))</f>
        <v/>
      </c>
      <c r="V764" s="5" t="str">
        <f aca="false">IF(B764="","",TRIM(LEFT(B764,IFERROR(FIND(" ",B764)-1,LEN(B764)))))</f>
        <v/>
      </c>
      <c r="W764" s="22"/>
      <c r="X764" s="5" t="str">
        <f aca="false">IF(A764="","",IF(W764&lt;&gt;"",W764,V764))</f>
        <v/>
      </c>
      <c r="Y764" s="5" t="str">
        <f aca="false">IF(A764="","",IF(COUNTIFS($X$2:$X$2001,X764,$D$2:$D$2001,"&lt;&gt;"&amp;D764,$C$2:$C$2001,C764)&gt;0,"SIM","NAO"))</f>
        <v/>
      </c>
      <c r="Z764" s="5" t="str">
        <f aca="false">IF(A764="","",IF(J764="","",IFERROR(360/J764,"")))</f>
        <v/>
      </c>
      <c r="AA764" s="5" t="str">
        <f aca="false">IF(A764="","",IF(H764=0,"Parado (sem venda 90d)",IF(Z764&gt;12,"Alto (&gt;12x/ano)",IF(Z764&gt;=4,"Medio (4-12x/ano)","Baixo (&lt;4x/ano)"))))</f>
        <v/>
      </c>
    </row>
    <row r="765" customFormat="false" ht="15" hidden="false" customHeight="true" outlineLevel="0" collapsed="false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18"/>
      <c r="L765" s="19" t="str">
        <f aca="false">IF(A765="","",G765*K765)</f>
        <v/>
      </c>
      <c r="M765" s="20"/>
      <c r="N765" s="6"/>
      <c r="O765" s="6"/>
      <c r="P765" s="5" t="str">
        <f aca="false">IF(A765="","",H765/90)</f>
        <v/>
      </c>
      <c r="Q765" s="5" t="str">
        <f aca="false">IF(A765="","",IFERROR(INDEX(Parâmetros!$C$6:$C$10,MATCH(F765,Parâmetros!$B$6:$B$10,0)),""))</f>
        <v/>
      </c>
      <c r="R765" s="5" t="str">
        <f aca="false">IF(OR(A765="",P765="",Q765=""),"",P765*Q765)</f>
        <v/>
      </c>
      <c r="S765" s="5" t="str">
        <f aca="false">IF(R765="","",MAX(0,R765-G765))</f>
        <v/>
      </c>
      <c r="T765" s="21" t="str">
        <f aca="false">IF(S765="","",S765*K765)</f>
        <v/>
      </c>
      <c r="U765" s="5" t="str">
        <f aca="false">IF(A765="","",IF(J765&gt;Parâmetros!$C$14,"SIM","NAO"))</f>
        <v/>
      </c>
      <c r="V765" s="5" t="str">
        <f aca="false">IF(B765="","",TRIM(LEFT(B765,IFERROR(FIND(" ",B765)-1,LEN(B765)))))</f>
        <v/>
      </c>
      <c r="W765" s="22"/>
      <c r="X765" s="5" t="str">
        <f aca="false">IF(A765="","",IF(W765&lt;&gt;"",W765,V765))</f>
        <v/>
      </c>
      <c r="Y765" s="5" t="str">
        <f aca="false">IF(A765="","",IF(COUNTIFS($X$2:$X$2001,X765,$D$2:$D$2001,"&lt;&gt;"&amp;D765,$C$2:$C$2001,C765)&gt;0,"SIM","NAO"))</f>
        <v/>
      </c>
      <c r="Z765" s="5" t="str">
        <f aca="false">IF(A765="","",IF(J765="","",IFERROR(360/J765,"")))</f>
        <v/>
      </c>
      <c r="AA765" s="5" t="str">
        <f aca="false">IF(A765="","",IF(H765=0,"Parado (sem venda 90d)",IF(Z765&gt;12,"Alto (&gt;12x/ano)",IF(Z765&gt;=4,"Medio (4-12x/ano)","Baixo (&lt;4x/ano)"))))</f>
        <v/>
      </c>
    </row>
    <row r="766" customFormat="false" ht="15" hidden="false" customHeight="true" outlineLevel="0" collapsed="false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18"/>
      <c r="L766" s="19" t="str">
        <f aca="false">IF(A766="","",G766*K766)</f>
        <v/>
      </c>
      <c r="M766" s="20"/>
      <c r="N766" s="6"/>
      <c r="O766" s="6"/>
      <c r="P766" s="5" t="str">
        <f aca="false">IF(A766="","",H766/90)</f>
        <v/>
      </c>
      <c r="Q766" s="5" t="str">
        <f aca="false">IF(A766="","",IFERROR(INDEX(Parâmetros!$C$6:$C$10,MATCH(F766,Parâmetros!$B$6:$B$10,0)),""))</f>
        <v/>
      </c>
      <c r="R766" s="5" t="str">
        <f aca="false">IF(OR(A766="",P766="",Q766=""),"",P766*Q766)</f>
        <v/>
      </c>
      <c r="S766" s="5" t="str">
        <f aca="false">IF(R766="","",MAX(0,R766-G766))</f>
        <v/>
      </c>
      <c r="T766" s="21" t="str">
        <f aca="false">IF(S766="","",S766*K766)</f>
        <v/>
      </c>
      <c r="U766" s="5" t="str">
        <f aca="false">IF(A766="","",IF(J766&gt;Parâmetros!$C$14,"SIM","NAO"))</f>
        <v/>
      </c>
      <c r="V766" s="5" t="str">
        <f aca="false">IF(B766="","",TRIM(LEFT(B766,IFERROR(FIND(" ",B766)-1,LEN(B766)))))</f>
        <v/>
      </c>
      <c r="W766" s="22"/>
      <c r="X766" s="5" t="str">
        <f aca="false">IF(A766="","",IF(W766&lt;&gt;"",W766,V766))</f>
        <v/>
      </c>
      <c r="Y766" s="5" t="str">
        <f aca="false">IF(A766="","",IF(COUNTIFS($X$2:$X$2001,X766,$D$2:$D$2001,"&lt;&gt;"&amp;D766,$C$2:$C$2001,C766)&gt;0,"SIM","NAO"))</f>
        <v/>
      </c>
      <c r="Z766" s="5" t="str">
        <f aca="false">IF(A766="","",IF(J766="","",IFERROR(360/J766,"")))</f>
        <v/>
      </c>
      <c r="AA766" s="5" t="str">
        <f aca="false">IF(A766="","",IF(H766=0,"Parado (sem venda 90d)",IF(Z766&gt;12,"Alto (&gt;12x/ano)",IF(Z766&gt;=4,"Medio (4-12x/ano)","Baixo (&lt;4x/ano)"))))</f>
        <v/>
      </c>
    </row>
    <row r="767" customFormat="false" ht="15" hidden="false" customHeight="true" outlineLevel="0" collapsed="false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18"/>
      <c r="L767" s="19" t="str">
        <f aca="false">IF(A767="","",G767*K767)</f>
        <v/>
      </c>
      <c r="M767" s="20"/>
      <c r="N767" s="6"/>
      <c r="O767" s="6"/>
      <c r="P767" s="5" t="str">
        <f aca="false">IF(A767="","",H767/90)</f>
        <v/>
      </c>
      <c r="Q767" s="5" t="str">
        <f aca="false">IF(A767="","",IFERROR(INDEX(Parâmetros!$C$6:$C$10,MATCH(F767,Parâmetros!$B$6:$B$10,0)),""))</f>
        <v/>
      </c>
      <c r="R767" s="5" t="str">
        <f aca="false">IF(OR(A767="",P767="",Q767=""),"",P767*Q767)</f>
        <v/>
      </c>
      <c r="S767" s="5" t="str">
        <f aca="false">IF(R767="","",MAX(0,R767-G767))</f>
        <v/>
      </c>
      <c r="T767" s="21" t="str">
        <f aca="false">IF(S767="","",S767*K767)</f>
        <v/>
      </c>
      <c r="U767" s="5" t="str">
        <f aca="false">IF(A767="","",IF(J767&gt;Parâmetros!$C$14,"SIM","NAO"))</f>
        <v/>
      </c>
      <c r="V767" s="5" t="str">
        <f aca="false">IF(B767="","",TRIM(LEFT(B767,IFERROR(FIND(" ",B767)-1,LEN(B767)))))</f>
        <v/>
      </c>
      <c r="W767" s="22"/>
      <c r="X767" s="5" t="str">
        <f aca="false">IF(A767="","",IF(W767&lt;&gt;"",W767,V767))</f>
        <v/>
      </c>
      <c r="Y767" s="5" t="str">
        <f aca="false">IF(A767="","",IF(COUNTIFS($X$2:$X$2001,X767,$D$2:$D$2001,"&lt;&gt;"&amp;D767,$C$2:$C$2001,C767)&gt;0,"SIM","NAO"))</f>
        <v/>
      </c>
      <c r="Z767" s="5" t="str">
        <f aca="false">IF(A767="","",IF(J767="","",IFERROR(360/J767,"")))</f>
        <v/>
      </c>
      <c r="AA767" s="5" t="str">
        <f aca="false">IF(A767="","",IF(H767=0,"Parado (sem venda 90d)",IF(Z767&gt;12,"Alto (&gt;12x/ano)",IF(Z767&gt;=4,"Medio (4-12x/ano)","Baixo (&lt;4x/ano)"))))</f>
        <v/>
      </c>
    </row>
    <row r="768" customFormat="false" ht="15" hidden="false" customHeight="true" outlineLevel="0" collapsed="false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18"/>
      <c r="L768" s="19" t="str">
        <f aca="false">IF(A768="","",G768*K768)</f>
        <v/>
      </c>
      <c r="M768" s="20"/>
      <c r="N768" s="6"/>
      <c r="O768" s="6"/>
      <c r="P768" s="5" t="str">
        <f aca="false">IF(A768="","",H768/90)</f>
        <v/>
      </c>
      <c r="Q768" s="5" t="str">
        <f aca="false">IF(A768="","",IFERROR(INDEX(Parâmetros!$C$6:$C$10,MATCH(F768,Parâmetros!$B$6:$B$10,0)),""))</f>
        <v/>
      </c>
      <c r="R768" s="5" t="str">
        <f aca="false">IF(OR(A768="",P768="",Q768=""),"",P768*Q768)</f>
        <v/>
      </c>
      <c r="S768" s="5" t="str">
        <f aca="false">IF(R768="","",MAX(0,R768-G768))</f>
        <v/>
      </c>
      <c r="T768" s="21" t="str">
        <f aca="false">IF(S768="","",S768*K768)</f>
        <v/>
      </c>
      <c r="U768" s="5" t="str">
        <f aca="false">IF(A768="","",IF(J768&gt;Parâmetros!$C$14,"SIM","NAO"))</f>
        <v/>
      </c>
      <c r="V768" s="5" t="str">
        <f aca="false">IF(B768="","",TRIM(LEFT(B768,IFERROR(FIND(" ",B768)-1,LEN(B768)))))</f>
        <v/>
      </c>
      <c r="W768" s="22"/>
      <c r="X768" s="5" t="str">
        <f aca="false">IF(A768="","",IF(W768&lt;&gt;"",W768,V768))</f>
        <v/>
      </c>
      <c r="Y768" s="5" t="str">
        <f aca="false">IF(A768="","",IF(COUNTIFS($X$2:$X$2001,X768,$D$2:$D$2001,"&lt;&gt;"&amp;D768,$C$2:$C$2001,C768)&gt;0,"SIM","NAO"))</f>
        <v/>
      </c>
      <c r="Z768" s="5" t="str">
        <f aca="false">IF(A768="","",IF(J768="","",IFERROR(360/J768,"")))</f>
        <v/>
      </c>
      <c r="AA768" s="5" t="str">
        <f aca="false">IF(A768="","",IF(H768=0,"Parado (sem venda 90d)",IF(Z768&gt;12,"Alto (&gt;12x/ano)",IF(Z768&gt;=4,"Medio (4-12x/ano)","Baixo (&lt;4x/ano)"))))</f>
        <v/>
      </c>
    </row>
    <row r="769" customFormat="false" ht="15" hidden="false" customHeight="true" outlineLevel="0" collapsed="false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18"/>
      <c r="L769" s="19" t="str">
        <f aca="false">IF(A769="","",G769*K769)</f>
        <v/>
      </c>
      <c r="M769" s="20"/>
      <c r="N769" s="6"/>
      <c r="O769" s="6"/>
      <c r="P769" s="5" t="str">
        <f aca="false">IF(A769="","",H769/90)</f>
        <v/>
      </c>
      <c r="Q769" s="5" t="str">
        <f aca="false">IF(A769="","",IFERROR(INDEX(Parâmetros!$C$6:$C$10,MATCH(F769,Parâmetros!$B$6:$B$10,0)),""))</f>
        <v/>
      </c>
      <c r="R769" s="5" t="str">
        <f aca="false">IF(OR(A769="",P769="",Q769=""),"",P769*Q769)</f>
        <v/>
      </c>
      <c r="S769" s="5" t="str">
        <f aca="false">IF(R769="","",MAX(0,R769-G769))</f>
        <v/>
      </c>
      <c r="T769" s="21" t="str">
        <f aca="false">IF(S769="","",S769*K769)</f>
        <v/>
      </c>
      <c r="U769" s="5" t="str">
        <f aca="false">IF(A769="","",IF(J769&gt;Parâmetros!$C$14,"SIM","NAO"))</f>
        <v/>
      </c>
      <c r="V769" s="5" t="str">
        <f aca="false">IF(B769="","",TRIM(LEFT(B769,IFERROR(FIND(" ",B769)-1,LEN(B769)))))</f>
        <v/>
      </c>
      <c r="W769" s="22"/>
      <c r="X769" s="5" t="str">
        <f aca="false">IF(A769="","",IF(W769&lt;&gt;"",W769,V769))</f>
        <v/>
      </c>
      <c r="Y769" s="5" t="str">
        <f aca="false">IF(A769="","",IF(COUNTIFS($X$2:$X$2001,X769,$D$2:$D$2001,"&lt;&gt;"&amp;D769,$C$2:$C$2001,C769)&gt;0,"SIM","NAO"))</f>
        <v/>
      </c>
      <c r="Z769" s="5" t="str">
        <f aca="false">IF(A769="","",IF(J769="","",IFERROR(360/J769,"")))</f>
        <v/>
      </c>
      <c r="AA769" s="5" t="str">
        <f aca="false">IF(A769="","",IF(H769=0,"Parado (sem venda 90d)",IF(Z769&gt;12,"Alto (&gt;12x/ano)",IF(Z769&gt;=4,"Medio (4-12x/ano)","Baixo (&lt;4x/ano)"))))</f>
        <v/>
      </c>
    </row>
    <row r="770" customFormat="false" ht="15" hidden="false" customHeight="true" outlineLevel="0" collapsed="false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18"/>
      <c r="L770" s="19" t="str">
        <f aca="false">IF(A770="","",G770*K770)</f>
        <v/>
      </c>
      <c r="M770" s="20"/>
      <c r="N770" s="6"/>
      <c r="O770" s="6"/>
      <c r="P770" s="5" t="str">
        <f aca="false">IF(A770="","",H770/90)</f>
        <v/>
      </c>
      <c r="Q770" s="5" t="str">
        <f aca="false">IF(A770="","",IFERROR(INDEX(Parâmetros!$C$6:$C$10,MATCH(F770,Parâmetros!$B$6:$B$10,0)),""))</f>
        <v/>
      </c>
      <c r="R770" s="5" t="str">
        <f aca="false">IF(OR(A770="",P770="",Q770=""),"",P770*Q770)</f>
        <v/>
      </c>
      <c r="S770" s="5" t="str">
        <f aca="false">IF(R770="","",MAX(0,R770-G770))</f>
        <v/>
      </c>
      <c r="T770" s="21" t="str">
        <f aca="false">IF(S770="","",S770*K770)</f>
        <v/>
      </c>
      <c r="U770" s="5" t="str">
        <f aca="false">IF(A770="","",IF(J770&gt;Parâmetros!$C$14,"SIM","NAO"))</f>
        <v/>
      </c>
      <c r="V770" s="5" t="str">
        <f aca="false">IF(B770="","",TRIM(LEFT(B770,IFERROR(FIND(" ",B770)-1,LEN(B770)))))</f>
        <v/>
      </c>
      <c r="W770" s="22"/>
      <c r="X770" s="5" t="str">
        <f aca="false">IF(A770="","",IF(W770&lt;&gt;"",W770,V770))</f>
        <v/>
      </c>
      <c r="Y770" s="5" t="str">
        <f aca="false">IF(A770="","",IF(COUNTIFS($X$2:$X$2001,X770,$D$2:$D$2001,"&lt;&gt;"&amp;D770,$C$2:$C$2001,C770)&gt;0,"SIM","NAO"))</f>
        <v/>
      </c>
      <c r="Z770" s="5" t="str">
        <f aca="false">IF(A770="","",IF(J770="","",IFERROR(360/J770,"")))</f>
        <v/>
      </c>
      <c r="AA770" s="5" t="str">
        <f aca="false">IF(A770="","",IF(H770=0,"Parado (sem venda 90d)",IF(Z770&gt;12,"Alto (&gt;12x/ano)",IF(Z770&gt;=4,"Medio (4-12x/ano)","Baixo (&lt;4x/ano)"))))</f>
        <v/>
      </c>
    </row>
    <row r="771" customFormat="false" ht="15" hidden="false" customHeight="true" outlineLevel="0" collapsed="false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18"/>
      <c r="L771" s="19" t="str">
        <f aca="false">IF(A771="","",G771*K771)</f>
        <v/>
      </c>
      <c r="M771" s="20"/>
      <c r="N771" s="6"/>
      <c r="O771" s="6"/>
      <c r="P771" s="5" t="str">
        <f aca="false">IF(A771="","",H771/90)</f>
        <v/>
      </c>
      <c r="Q771" s="5" t="str">
        <f aca="false">IF(A771="","",IFERROR(INDEX(Parâmetros!$C$6:$C$10,MATCH(F771,Parâmetros!$B$6:$B$10,0)),""))</f>
        <v/>
      </c>
      <c r="R771" s="5" t="str">
        <f aca="false">IF(OR(A771="",P771="",Q771=""),"",P771*Q771)</f>
        <v/>
      </c>
      <c r="S771" s="5" t="str">
        <f aca="false">IF(R771="","",MAX(0,R771-G771))</f>
        <v/>
      </c>
      <c r="T771" s="21" t="str">
        <f aca="false">IF(S771="","",S771*K771)</f>
        <v/>
      </c>
      <c r="U771" s="5" t="str">
        <f aca="false">IF(A771="","",IF(J771&gt;Parâmetros!$C$14,"SIM","NAO"))</f>
        <v/>
      </c>
      <c r="V771" s="5" t="str">
        <f aca="false">IF(B771="","",TRIM(LEFT(B771,IFERROR(FIND(" ",B771)-1,LEN(B771)))))</f>
        <v/>
      </c>
      <c r="W771" s="22"/>
      <c r="X771" s="5" t="str">
        <f aca="false">IF(A771="","",IF(W771&lt;&gt;"",W771,V771))</f>
        <v/>
      </c>
      <c r="Y771" s="5" t="str">
        <f aca="false">IF(A771="","",IF(COUNTIFS($X$2:$X$2001,X771,$D$2:$D$2001,"&lt;&gt;"&amp;D771,$C$2:$C$2001,C771)&gt;0,"SIM","NAO"))</f>
        <v/>
      </c>
      <c r="Z771" s="5" t="str">
        <f aca="false">IF(A771="","",IF(J771="","",IFERROR(360/J771,"")))</f>
        <v/>
      </c>
      <c r="AA771" s="5" t="str">
        <f aca="false">IF(A771="","",IF(H771=0,"Parado (sem venda 90d)",IF(Z771&gt;12,"Alto (&gt;12x/ano)",IF(Z771&gt;=4,"Medio (4-12x/ano)","Baixo (&lt;4x/ano)"))))</f>
        <v/>
      </c>
    </row>
    <row r="772" customFormat="false" ht="15" hidden="false" customHeight="true" outlineLevel="0" collapsed="false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18"/>
      <c r="L772" s="19" t="str">
        <f aca="false">IF(A772="","",G772*K772)</f>
        <v/>
      </c>
      <c r="M772" s="20"/>
      <c r="N772" s="6"/>
      <c r="O772" s="6"/>
      <c r="P772" s="5" t="str">
        <f aca="false">IF(A772="","",H772/90)</f>
        <v/>
      </c>
      <c r="Q772" s="5" t="str">
        <f aca="false">IF(A772="","",IFERROR(INDEX(Parâmetros!$C$6:$C$10,MATCH(F772,Parâmetros!$B$6:$B$10,0)),""))</f>
        <v/>
      </c>
      <c r="R772" s="5" t="str">
        <f aca="false">IF(OR(A772="",P772="",Q772=""),"",P772*Q772)</f>
        <v/>
      </c>
      <c r="S772" s="5" t="str">
        <f aca="false">IF(R772="","",MAX(0,R772-G772))</f>
        <v/>
      </c>
      <c r="T772" s="21" t="str">
        <f aca="false">IF(S772="","",S772*K772)</f>
        <v/>
      </c>
      <c r="U772" s="5" t="str">
        <f aca="false">IF(A772="","",IF(J772&gt;Parâmetros!$C$14,"SIM","NAO"))</f>
        <v/>
      </c>
      <c r="V772" s="5" t="str">
        <f aca="false">IF(B772="","",TRIM(LEFT(B772,IFERROR(FIND(" ",B772)-1,LEN(B772)))))</f>
        <v/>
      </c>
      <c r="W772" s="22"/>
      <c r="X772" s="5" t="str">
        <f aca="false">IF(A772="","",IF(W772&lt;&gt;"",W772,V772))</f>
        <v/>
      </c>
      <c r="Y772" s="5" t="str">
        <f aca="false">IF(A772="","",IF(COUNTIFS($X$2:$X$2001,X772,$D$2:$D$2001,"&lt;&gt;"&amp;D772,$C$2:$C$2001,C772)&gt;0,"SIM","NAO"))</f>
        <v/>
      </c>
      <c r="Z772" s="5" t="str">
        <f aca="false">IF(A772="","",IF(J772="","",IFERROR(360/J772,"")))</f>
        <v/>
      </c>
      <c r="AA772" s="5" t="str">
        <f aca="false">IF(A772="","",IF(H772=0,"Parado (sem venda 90d)",IF(Z772&gt;12,"Alto (&gt;12x/ano)",IF(Z772&gt;=4,"Medio (4-12x/ano)","Baixo (&lt;4x/ano)"))))</f>
        <v/>
      </c>
    </row>
    <row r="773" customFormat="false" ht="15" hidden="false" customHeight="true" outlineLevel="0" collapsed="false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18"/>
      <c r="L773" s="19" t="str">
        <f aca="false">IF(A773="","",G773*K773)</f>
        <v/>
      </c>
      <c r="M773" s="20"/>
      <c r="N773" s="6"/>
      <c r="O773" s="6"/>
      <c r="P773" s="5" t="str">
        <f aca="false">IF(A773="","",H773/90)</f>
        <v/>
      </c>
      <c r="Q773" s="5" t="str">
        <f aca="false">IF(A773="","",IFERROR(INDEX(Parâmetros!$C$6:$C$10,MATCH(F773,Parâmetros!$B$6:$B$10,0)),""))</f>
        <v/>
      </c>
      <c r="R773" s="5" t="str">
        <f aca="false">IF(OR(A773="",P773="",Q773=""),"",P773*Q773)</f>
        <v/>
      </c>
      <c r="S773" s="5" t="str">
        <f aca="false">IF(R773="","",MAX(0,R773-G773))</f>
        <v/>
      </c>
      <c r="T773" s="21" t="str">
        <f aca="false">IF(S773="","",S773*K773)</f>
        <v/>
      </c>
      <c r="U773" s="5" t="str">
        <f aca="false">IF(A773="","",IF(J773&gt;Parâmetros!$C$14,"SIM","NAO"))</f>
        <v/>
      </c>
      <c r="V773" s="5" t="str">
        <f aca="false">IF(B773="","",TRIM(LEFT(B773,IFERROR(FIND(" ",B773)-1,LEN(B773)))))</f>
        <v/>
      </c>
      <c r="W773" s="22"/>
      <c r="X773" s="5" t="str">
        <f aca="false">IF(A773="","",IF(W773&lt;&gt;"",W773,V773))</f>
        <v/>
      </c>
      <c r="Y773" s="5" t="str">
        <f aca="false">IF(A773="","",IF(COUNTIFS($X$2:$X$2001,X773,$D$2:$D$2001,"&lt;&gt;"&amp;D773,$C$2:$C$2001,C773)&gt;0,"SIM","NAO"))</f>
        <v/>
      </c>
      <c r="Z773" s="5" t="str">
        <f aca="false">IF(A773="","",IF(J773="","",IFERROR(360/J773,"")))</f>
        <v/>
      </c>
      <c r="AA773" s="5" t="str">
        <f aca="false">IF(A773="","",IF(H773=0,"Parado (sem venda 90d)",IF(Z773&gt;12,"Alto (&gt;12x/ano)",IF(Z773&gt;=4,"Medio (4-12x/ano)","Baixo (&lt;4x/ano)"))))</f>
        <v/>
      </c>
    </row>
    <row r="774" customFormat="false" ht="15" hidden="false" customHeight="true" outlineLevel="0" collapsed="false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18"/>
      <c r="L774" s="19" t="str">
        <f aca="false">IF(A774="","",G774*K774)</f>
        <v/>
      </c>
      <c r="M774" s="20"/>
      <c r="N774" s="6"/>
      <c r="O774" s="6"/>
      <c r="P774" s="5" t="str">
        <f aca="false">IF(A774="","",H774/90)</f>
        <v/>
      </c>
      <c r="Q774" s="5" t="str">
        <f aca="false">IF(A774="","",IFERROR(INDEX(Parâmetros!$C$6:$C$10,MATCH(F774,Parâmetros!$B$6:$B$10,0)),""))</f>
        <v/>
      </c>
      <c r="R774" s="5" t="str">
        <f aca="false">IF(OR(A774="",P774="",Q774=""),"",P774*Q774)</f>
        <v/>
      </c>
      <c r="S774" s="5" t="str">
        <f aca="false">IF(R774="","",MAX(0,R774-G774))</f>
        <v/>
      </c>
      <c r="T774" s="21" t="str">
        <f aca="false">IF(S774="","",S774*K774)</f>
        <v/>
      </c>
      <c r="U774" s="5" t="str">
        <f aca="false">IF(A774="","",IF(J774&gt;Parâmetros!$C$14,"SIM","NAO"))</f>
        <v/>
      </c>
      <c r="V774" s="5" t="str">
        <f aca="false">IF(B774="","",TRIM(LEFT(B774,IFERROR(FIND(" ",B774)-1,LEN(B774)))))</f>
        <v/>
      </c>
      <c r="W774" s="22"/>
      <c r="X774" s="5" t="str">
        <f aca="false">IF(A774="","",IF(W774&lt;&gt;"",W774,V774))</f>
        <v/>
      </c>
      <c r="Y774" s="5" t="str">
        <f aca="false">IF(A774="","",IF(COUNTIFS($X$2:$X$2001,X774,$D$2:$D$2001,"&lt;&gt;"&amp;D774,$C$2:$C$2001,C774)&gt;0,"SIM","NAO"))</f>
        <v/>
      </c>
      <c r="Z774" s="5" t="str">
        <f aca="false">IF(A774="","",IF(J774="","",IFERROR(360/J774,"")))</f>
        <v/>
      </c>
      <c r="AA774" s="5" t="str">
        <f aca="false">IF(A774="","",IF(H774=0,"Parado (sem venda 90d)",IF(Z774&gt;12,"Alto (&gt;12x/ano)",IF(Z774&gt;=4,"Medio (4-12x/ano)","Baixo (&lt;4x/ano)"))))</f>
        <v/>
      </c>
    </row>
    <row r="775" customFormat="false" ht="15" hidden="false" customHeight="true" outlineLevel="0" collapsed="false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18"/>
      <c r="L775" s="19" t="str">
        <f aca="false">IF(A775="","",G775*K775)</f>
        <v/>
      </c>
      <c r="M775" s="20"/>
      <c r="N775" s="6"/>
      <c r="O775" s="6"/>
      <c r="P775" s="5" t="str">
        <f aca="false">IF(A775="","",H775/90)</f>
        <v/>
      </c>
      <c r="Q775" s="5" t="str">
        <f aca="false">IF(A775="","",IFERROR(INDEX(Parâmetros!$C$6:$C$10,MATCH(F775,Parâmetros!$B$6:$B$10,0)),""))</f>
        <v/>
      </c>
      <c r="R775" s="5" t="str">
        <f aca="false">IF(OR(A775="",P775="",Q775=""),"",P775*Q775)</f>
        <v/>
      </c>
      <c r="S775" s="5" t="str">
        <f aca="false">IF(R775="","",MAX(0,R775-G775))</f>
        <v/>
      </c>
      <c r="T775" s="21" t="str">
        <f aca="false">IF(S775="","",S775*K775)</f>
        <v/>
      </c>
      <c r="U775" s="5" t="str">
        <f aca="false">IF(A775="","",IF(J775&gt;Parâmetros!$C$14,"SIM","NAO"))</f>
        <v/>
      </c>
      <c r="V775" s="5" t="str">
        <f aca="false">IF(B775="","",TRIM(LEFT(B775,IFERROR(FIND(" ",B775)-1,LEN(B775)))))</f>
        <v/>
      </c>
      <c r="W775" s="22"/>
      <c r="X775" s="5" t="str">
        <f aca="false">IF(A775="","",IF(W775&lt;&gt;"",W775,V775))</f>
        <v/>
      </c>
      <c r="Y775" s="5" t="str">
        <f aca="false">IF(A775="","",IF(COUNTIFS($X$2:$X$2001,X775,$D$2:$D$2001,"&lt;&gt;"&amp;D775,$C$2:$C$2001,C775)&gt;0,"SIM","NAO"))</f>
        <v/>
      </c>
      <c r="Z775" s="5" t="str">
        <f aca="false">IF(A775="","",IF(J775="","",IFERROR(360/J775,"")))</f>
        <v/>
      </c>
      <c r="AA775" s="5" t="str">
        <f aca="false">IF(A775="","",IF(H775=0,"Parado (sem venda 90d)",IF(Z775&gt;12,"Alto (&gt;12x/ano)",IF(Z775&gt;=4,"Medio (4-12x/ano)","Baixo (&lt;4x/ano)"))))</f>
        <v/>
      </c>
    </row>
    <row r="776" customFormat="false" ht="15" hidden="false" customHeight="true" outlineLevel="0" collapsed="false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18"/>
      <c r="L776" s="19" t="str">
        <f aca="false">IF(A776="","",G776*K776)</f>
        <v/>
      </c>
      <c r="M776" s="20"/>
      <c r="N776" s="6"/>
      <c r="O776" s="6"/>
      <c r="P776" s="5" t="str">
        <f aca="false">IF(A776="","",H776/90)</f>
        <v/>
      </c>
      <c r="Q776" s="5" t="str">
        <f aca="false">IF(A776="","",IFERROR(INDEX(Parâmetros!$C$6:$C$10,MATCH(F776,Parâmetros!$B$6:$B$10,0)),""))</f>
        <v/>
      </c>
      <c r="R776" s="5" t="str">
        <f aca="false">IF(OR(A776="",P776="",Q776=""),"",P776*Q776)</f>
        <v/>
      </c>
      <c r="S776" s="5" t="str">
        <f aca="false">IF(R776="","",MAX(0,R776-G776))</f>
        <v/>
      </c>
      <c r="T776" s="21" t="str">
        <f aca="false">IF(S776="","",S776*K776)</f>
        <v/>
      </c>
      <c r="U776" s="5" t="str">
        <f aca="false">IF(A776="","",IF(J776&gt;Parâmetros!$C$14,"SIM","NAO"))</f>
        <v/>
      </c>
      <c r="V776" s="5" t="str">
        <f aca="false">IF(B776="","",TRIM(LEFT(B776,IFERROR(FIND(" ",B776)-1,LEN(B776)))))</f>
        <v/>
      </c>
      <c r="W776" s="22"/>
      <c r="X776" s="5" t="str">
        <f aca="false">IF(A776="","",IF(W776&lt;&gt;"",W776,V776))</f>
        <v/>
      </c>
      <c r="Y776" s="5" t="str">
        <f aca="false">IF(A776="","",IF(COUNTIFS($X$2:$X$2001,X776,$D$2:$D$2001,"&lt;&gt;"&amp;D776,$C$2:$C$2001,C776)&gt;0,"SIM","NAO"))</f>
        <v/>
      </c>
      <c r="Z776" s="5" t="str">
        <f aca="false">IF(A776="","",IF(J776="","",IFERROR(360/J776,"")))</f>
        <v/>
      </c>
      <c r="AA776" s="5" t="str">
        <f aca="false">IF(A776="","",IF(H776=0,"Parado (sem venda 90d)",IF(Z776&gt;12,"Alto (&gt;12x/ano)",IF(Z776&gt;=4,"Medio (4-12x/ano)","Baixo (&lt;4x/ano)"))))</f>
        <v/>
      </c>
    </row>
    <row r="777" customFormat="false" ht="15" hidden="false" customHeight="true" outlineLevel="0" collapsed="false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18"/>
      <c r="L777" s="19" t="str">
        <f aca="false">IF(A777="","",G777*K777)</f>
        <v/>
      </c>
      <c r="M777" s="20"/>
      <c r="N777" s="6"/>
      <c r="O777" s="6"/>
      <c r="P777" s="5" t="str">
        <f aca="false">IF(A777="","",H777/90)</f>
        <v/>
      </c>
      <c r="Q777" s="5" t="str">
        <f aca="false">IF(A777="","",IFERROR(INDEX(Parâmetros!$C$6:$C$10,MATCH(F777,Parâmetros!$B$6:$B$10,0)),""))</f>
        <v/>
      </c>
      <c r="R777" s="5" t="str">
        <f aca="false">IF(OR(A777="",P777="",Q777=""),"",P777*Q777)</f>
        <v/>
      </c>
      <c r="S777" s="5" t="str">
        <f aca="false">IF(R777="","",MAX(0,R777-G777))</f>
        <v/>
      </c>
      <c r="T777" s="21" t="str">
        <f aca="false">IF(S777="","",S777*K777)</f>
        <v/>
      </c>
      <c r="U777" s="5" t="str">
        <f aca="false">IF(A777="","",IF(J777&gt;Parâmetros!$C$14,"SIM","NAO"))</f>
        <v/>
      </c>
      <c r="V777" s="5" t="str">
        <f aca="false">IF(B777="","",TRIM(LEFT(B777,IFERROR(FIND(" ",B777)-1,LEN(B777)))))</f>
        <v/>
      </c>
      <c r="W777" s="22"/>
      <c r="X777" s="5" t="str">
        <f aca="false">IF(A777="","",IF(W777&lt;&gt;"",W777,V777))</f>
        <v/>
      </c>
      <c r="Y777" s="5" t="str">
        <f aca="false">IF(A777="","",IF(COUNTIFS($X$2:$X$2001,X777,$D$2:$D$2001,"&lt;&gt;"&amp;D777,$C$2:$C$2001,C777)&gt;0,"SIM","NAO"))</f>
        <v/>
      </c>
      <c r="Z777" s="5" t="str">
        <f aca="false">IF(A777="","",IF(J777="","",IFERROR(360/J777,"")))</f>
        <v/>
      </c>
      <c r="AA777" s="5" t="str">
        <f aca="false">IF(A777="","",IF(H777=0,"Parado (sem venda 90d)",IF(Z777&gt;12,"Alto (&gt;12x/ano)",IF(Z777&gt;=4,"Medio (4-12x/ano)","Baixo (&lt;4x/ano)"))))</f>
        <v/>
      </c>
    </row>
    <row r="778" customFormat="false" ht="15" hidden="false" customHeight="true" outlineLevel="0" collapsed="false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18"/>
      <c r="L778" s="19" t="str">
        <f aca="false">IF(A778="","",G778*K778)</f>
        <v/>
      </c>
      <c r="M778" s="20"/>
      <c r="N778" s="6"/>
      <c r="O778" s="6"/>
      <c r="P778" s="5" t="str">
        <f aca="false">IF(A778="","",H778/90)</f>
        <v/>
      </c>
      <c r="Q778" s="5" t="str">
        <f aca="false">IF(A778="","",IFERROR(INDEX(Parâmetros!$C$6:$C$10,MATCH(F778,Parâmetros!$B$6:$B$10,0)),""))</f>
        <v/>
      </c>
      <c r="R778" s="5" t="str">
        <f aca="false">IF(OR(A778="",P778="",Q778=""),"",P778*Q778)</f>
        <v/>
      </c>
      <c r="S778" s="5" t="str">
        <f aca="false">IF(R778="","",MAX(0,R778-G778))</f>
        <v/>
      </c>
      <c r="T778" s="21" t="str">
        <f aca="false">IF(S778="","",S778*K778)</f>
        <v/>
      </c>
      <c r="U778" s="5" t="str">
        <f aca="false">IF(A778="","",IF(J778&gt;Parâmetros!$C$14,"SIM","NAO"))</f>
        <v/>
      </c>
      <c r="V778" s="5" t="str">
        <f aca="false">IF(B778="","",TRIM(LEFT(B778,IFERROR(FIND(" ",B778)-1,LEN(B778)))))</f>
        <v/>
      </c>
      <c r="W778" s="22"/>
      <c r="X778" s="5" t="str">
        <f aca="false">IF(A778="","",IF(W778&lt;&gt;"",W778,V778))</f>
        <v/>
      </c>
      <c r="Y778" s="5" t="str">
        <f aca="false">IF(A778="","",IF(COUNTIFS($X$2:$X$2001,X778,$D$2:$D$2001,"&lt;&gt;"&amp;D778,$C$2:$C$2001,C778)&gt;0,"SIM","NAO"))</f>
        <v/>
      </c>
      <c r="Z778" s="5" t="str">
        <f aca="false">IF(A778="","",IF(J778="","",IFERROR(360/J778,"")))</f>
        <v/>
      </c>
      <c r="AA778" s="5" t="str">
        <f aca="false">IF(A778="","",IF(H778=0,"Parado (sem venda 90d)",IF(Z778&gt;12,"Alto (&gt;12x/ano)",IF(Z778&gt;=4,"Medio (4-12x/ano)","Baixo (&lt;4x/ano)"))))</f>
        <v/>
      </c>
    </row>
    <row r="779" customFormat="false" ht="15" hidden="false" customHeight="true" outlineLevel="0" collapsed="false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18"/>
      <c r="L779" s="19" t="str">
        <f aca="false">IF(A779="","",G779*K779)</f>
        <v/>
      </c>
      <c r="M779" s="20"/>
      <c r="N779" s="6"/>
      <c r="O779" s="6"/>
      <c r="P779" s="5" t="str">
        <f aca="false">IF(A779="","",H779/90)</f>
        <v/>
      </c>
      <c r="Q779" s="5" t="str">
        <f aca="false">IF(A779="","",IFERROR(INDEX(Parâmetros!$C$6:$C$10,MATCH(F779,Parâmetros!$B$6:$B$10,0)),""))</f>
        <v/>
      </c>
      <c r="R779" s="5" t="str">
        <f aca="false">IF(OR(A779="",P779="",Q779=""),"",P779*Q779)</f>
        <v/>
      </c>
      <c r="S779" s="5" t="str">
        <f aca="false">IF(R779="","",MAX(0,R779-G779))</f>
        <v/>
      </c>
      <c r="T779" s="21" t="str">
        <f aca="false">IF(S779="","",S779*K779)</f>
        <v/>
      </c>
      <c r="U779" s="5" t="str">
        <f aca="false">IF(A779="","",IF(J779&gt;Parâmetros!$C$14,"SIM","NAO"))</f>
        <v/>
      </c>
      <c r="V779" s="5" t="str">
        <f aca="false">IF(B779="","",TRIM(LEFT(B779,IFERROR(FIND(" ",B779)-1,LEN(B779)))))</f>
        <v/>
      </c>
      <c r="W779" s="22"/>
      <c r="X779" s="5" t="str">
        <f aca="false">IF(A779="","",IF(W779&lt;&gt;"",W779,V779))</f>
        <v/>
      </c>
      <c r="Y779" s="5" t="str">
        <f aca="false">IF(A779="","",IF(COUNTIFS($X$2:$X$2001,X779,$D$2:$D$2001,"&lt;&gt;"&amp;D779,$C$2:$C$2001,C779)&gt;0,"SIM","NAO"))</f>
        <v/>
      </c>
      <c r="Z779" s="5" t="str">
        <f aca="false">IF(A779="","",IF(J779="","",IFERROR(360/J779,"")))</f>
        <v/>
      </c>
      <c r="AA779" s="5" t="str">
        <f aca="false">IF(A779="","",IF(H779=0,"Parado (sem venda 90d)",IF(Z779&gt;12,"Alto (&gt;12x/ano)",IF(Z779&gt;=4,"Medio (4-12x/ano)","Baixo (&lt;4x/ano)"))))</f>
        <v/>
      </c>
    </row>
    <row r="780" customFormat="false" ht="15" hidden="false" customHeight="true" outlineLevel="0" collapsed="false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18"/>
      <c r="L780" s="19" t="str">
        <f aca="false">IF(A780="","",G780*K780)</f>
        <v/>
      </c>
      <c r="M780" s="20"/>
      <c r="N780" s="6"/>
      <c r="O780" s="6"/>
      <c r="P780" s="5" t="str">
        <f aca="false">IF(A780="","",H780/90)</f>
        <v/>
      </c>
      <c r="Q780" s="5" t="str">
        <f aca="false">IF(A780="","",IFERROR(INDEX(Parâmetros!$C$6:$C$10,MATCH(F780,Parâmetros!$B$6:$B$10,0)),""))</f>
        <v/>
      </c>
      <c r="R780" s="5" t="str">
        <f aca="false">IF(OR(A780="",P780="",Q780=""),"",P780*Q780)</f>
        <v/>
      </c>
      <c r="S780" s="5" t="str">
        <f aca="false">IF(R780="","",MAX(0,R780-G780))</f>
        <v/>
      </c>
      <c r="T780" s="21" t="str">
        <f aca="false">IF(S780="","",S780*K780)</f>
        <v/>
      </c>
      <c r="U780" s="5" t="str">
        <f aca="false">IF(A780="","",IF(J780&gt;Parâmetros!$C$14,"SIM","NAO"))</f>
        <v/>
      </c>
      <c r="V780" s="5" t="str">
        <f aca="false">IF(B780="","",TRIM(LEFT(B780,IFERROR(FIND(" ",B780)-1,LEN(B780)))))</f>
        <v/>
      </c>
      <c r="W780" s="22"/>
      <c r="X780" s="5" t="str">
        <f aca="false">IF(A780="","",IF(W780&lt;&gt;"",W780,V780))</f>
        <v/>
      </c>
      <c r="Y780" s="5" t="str">
        <f aca="false">IF(A780="","",IF(COUNTIFS($X$2:$X$2001,X780,$D$2:$D$2001,"&lt;&gt;"&amp;D780,$C$2:$C$2001,C780)&gt;0,"SIM","NAO"))</f>
        <v/>
      </c>
      <c r="Z780" s="5" t="str">
        <f aca="false">IF(A780="","",IF(J780="","",IFERROR(360/J780,"")))</f>
        <v/>
      </c>
      <c r="AA780" s="5" t="str">
        <f aca="false">IF(A780="","",IF(H780=0,"Parado (sem venda 90d)",IF(Z780&gt;12,"Alto (&gt;12x/ano)",IF(Z780&gt;=4,"Medio (4-12x/ano)","Baixo (&lt;4x/ano)"))))</f>
        <v/>
      </c>
    </row>
    <row r="781" customFormat="false" ht="15" hidden="false" customHeight="true" outlineLevel="0" collapsed="false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18"/>
      <c r="L781" s="19" t="str">
        <f aca="false">IF(A781="","",G781*K781)</f>
        <v/>
      </c>
      <c r="M781" s="20"/>
      <c r="N781" s="6"/>
      <c r="O781" s="6"/>
      <c r="P781" s="5" t="str">
        <f aca="false">IF(A781="","",H781/90)</f>
        <v/>
      </c>
      <c r="Q781" s="5" t="str">
        <f aca="false">IF(A781="","",IFERROR(INDEX(Parâmetros!$C$6:$C$10,MATCH(F781,Parâmetros!$B$6:$B$10,0)),""))</f>
        <v/>
      </c>
      <c r="R781" s="5" t="str">
        <f aca="false">IF(OR(A781="",P781="",Q781=""),"",P781*Q781)</f>
        <v/>
      </c>
      <c r="S781" s="5" t="str">
        <f aca="false">IF(R781="","",MAX(0,R781-G781))</f>
        <v/>
      </c>
      <c r="T781" s="21" t="str">
        <f aca="false">IF(S781="","",S781*K781)</f>
        <v/>
      </c>
      <c r="U781" s="5" t="str">
        <f aca="false">IF(A781="","",IF(J781&gt;Parâmetros!$C$14,"SIM","NAO"))</f>
        <v/>
      </c>
      <c r="V781" s="5" t="str">
        <f aca="false">IF(B781="","",TRIM(LEFT(B781,IFERROR(FIND(" ",B781)-1,LEN(B781)))))</f>
        <v/>
      </c>
      <c r="W781" s="22"/>
      <c r="X781" s="5" t="str">
        <f aca="false">IF(A781="","",IF(W781&lt;&gt;"",W781,V781))</f>
        <v/>
      </c>
      <c r="Y781" s="5" t="str">
        <f aca="false">IF(A781="","",IF(COUNTIFS($X$2:$X$2001,X781,$D$2:$D$2001,"&lt;&gt;"&amp;D781,$C$2:$C$2001,C781)&gt;0,"SIM","NAO"))</f>
        <v/>
      </c>
      <c r="Z781" s="5" t="str">
        <f aca="false">IF(A781="","",IF(J781="","",IFERROR(360/J781,"")))</f>
        <v/>
      </c>
      <c r="AA781" s="5" t="str">
        <f aca="false">IF(A781="","",IF(H781=0,"Parado (sem venda 90d)",IF(Z781&gt;12,"Alto (&gt;12x/ano)",IF(Z781&gt;=4,"Medio (4-12x/ano)","Baixo (&lt;4x/ano)"))))</f>
        <v/>
      </c>
    </row>
    <row r="782" customFormat="false" ht="15" hidden="false" customHeight="true" outlineLevel="0" collapsed="false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18"/>
      <c r="L782" s="19" t="str">
        <f aca="false">IF(A782="","",G782*K782)</f>
        <v/>
      </c>
      <c r="M782" s="20"/>
      <c r="N782" s="6"/>
      <c r="O782" s="6"/>
      <c r="P782" s="5" t="str">
        <f aca="false">IF(A782="","",H782/90)</f>
        <v/>
      </c>
      <c r="Q782" s="5" t="str">
        <f aca="false">IF(A782="","",IFERROR(INDEX(Parâmetros!$C$6:$C$10,MATCH(F782,Parâmetros!$B$6:$B$10,0)),""))</f>
        <v/>
      </c>
      <c r="R782" s="5" t="str">
        <f aca="false">IF(OR(A782="",P782="",Q782=""),"",P782*Q782)</f>
        <v/>
      </c>
      <c r="S782" s="5" t="str">
        <f aca="false">IF(R782="","",MAX(0,R782-G782))</f>
        <v/>
      </c>
      <c r="T782" s="21" t="str">
        <f aca="false">IF(S782="","",S782*K782)</f>
        <v/>
      </c>
      <c r="U782" s="5" t="str">
        <f aca="false">IF(A782="","",IF(J782&gt;Parâmetros!$C$14,"SIM","NAO"))</f>
        <v/>
      </c>
      <c r="V782" s="5" t="str">
        <f aca="false">IF(B782="","",TRIM(LEFT(B782,IFERROR(FIND(" ",B782)-1,LEN(B782)))))</f>
        <v/>
      </c>
      <c r="W782" s="22"/>
      <c r="X782" s="5" t="str">
        <f aca="false">IF(A782="","",IF(W782&lt;&gt;"",W782,V782))</f>
        <v/>
      </c>
      <c r="Y782" s="5" t="str">
        <f aca="false">IF(A782="","",IF(COUNTIFS($X$2:$X$2001,X782,$D$2:$D$2001,"&lt;&gt;"&amp;D782,$C$2:$C$2001,C782)&gt;0,"SIM","NAO"))</f>
        <v/>
      </c>
      <c r="Z782" s="5" t="str">
        <f aca="false">IF(A782="","",IF(J782="","",IFERROR(360/J782,"")))</f>
        <v/>
      </c>
      <c r="AA782" s="5" t="str">
        <f aca="false">IF(A782="","",IF(H782=0,"Parado (sem venda 90d)",IF(Z782&gt;12,"Alto (&gt;12x/ano)",IF(Z782&gt;=4,"Medio (4-12x/ano)","Baixo (&lt;4x/ano)"))))</f>
        <v/>
      </c>
    </row>
    <row r="783" customFormat="false" ht="15" hidden="false" customHeight="true" outlineLevel="0" collapsed="false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18"/>
      <c r="L783" s="19" t="str">
        <f aca="false">IF(A783="","",G783*K783)</f>
        <v/>
      </c>
      <c r="M783" s="20"/>
      <c r="N783" s="6"/>
      <c r="O783" s="6"/>
      <c r="P783" s="5" t="str">
        <f aca="false">IF(A783="","",H783/90)</f>
        <v/>
      </c>
      <c r="Q783" s="5" t="str">
        <f aca="false">IF(A783="","",IFERROR(INDEX(Parâmetros!$C$6:$C$10,MATCH(F783,Parâmetros!$B$6:$B$10,0)),""))</f>
        <v/>
      </c>
      <c r="R783" s="5" t="str">
        <f aca="false">IF(OR(A783="",P783="",Q783=""),"",P783*Q783)</f>
        <v/>
      </c>
      <c r="S783" s="5" t="str">
        <f aca="false">IF(R783="","",MAX(0,R783-G783))</f>
        <v/>
      </c>
      <c r="T783" s="21" t="str">
        <f aca="false">IF(S783="","",S783*K783)</f>
        <v/>
      </c>
      <c r="U783" s="5" t="str">
        <f aca="false">IF(A783="","",IF(J783&gt;Parâmetros!$C$14,"SIM","NAO"))</f>
        <v/>
      </c>
      <c r="V783" s="5" t="str">
        <f aca="false">IF(B783="","",TRIM(LEFT(B783,IFERROR(FIND(" ",B783)-1,LEN(B783)))))</f>
        <v/>
      </c>
      <c r="W783" s="22"/>
      <c r="X783" s="5" t="str">
        <f aca="false">IF(A783="","",IF(W783&lt;&gt;"",W783,V783))</f>
        <v/>
      </c>
      <c r="Y783" s="5" t="str">
        <f aca="false">IF(A783="","",IF(COUNTIFS($X$2:$X$2001,X783,$D$2:$D$2001,"&lt;&gt;"&amp;D783,$C$2:$C$2001,C783)&gt;0,"SIM","NAO"))</f>
        <v/>
      </c>
      <c r="Z783" s="5" t="str">
        <f aca="false">IF(A783="","",IF(J783="","",IFERROR(360/J783,"")))</f>
        <v/>
      </c>
      <c r="AA783" s="5" t="str">
        <f aca="false">IF(A783="","",IF(H783=0,"Parado (sem venda 90d)",IF(Z783&gt;12,"Alto (&gt;12x/ano)",IF(Z783&gt;=4,"Medio (4-12x/ano)","Baixo (&lt;4x/ano)"))))</f>
        <v/>
      </c>
    </row>
    <row r="784" customFormat="false" ht="15" hidden="false" customHeight="true" outlineLevel="0" collapsed="false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18"/>
      <c r="L784" s="19" t="str">
        <f aca="false">IF(A784="","",G784*K784)</f>
        <v/>
      </c>
      <c r="M784" s="20"/>
      <c r="N784" s="6"/>
      <c r="O784" s="6"/>
      <c r="P784" s="5" t="str">
        <f aca="false">IF(A784="","",H784/90)</f>
        <v/>
      </c>
      <c r="Q784" s="5" t="str">
        <f aca="false">IF(A784="","",IFERROR(INDEX(Parâmetros!$C$6:$C$10,MATCH(F784,Parâmetros!$B$6:$B$10,0)),""))</f>
        <v/>
      </c>
      <c r="R784" s="5" t="str">
        <f aca="false">IF(OR(A784="",P784="",Q784=""),"",P784*Q784)</f>
        <v/>
      </c>
      <c r="S784" s="5" t="str">
        <f aca="false">IF(R784="","",MAX(0,R784-G784))</f>
        <v/>
      </c>
      <c r="T784" s="21" t="str">
        <f aca="false">IF(S784="","",S784*K784)</f>
        <v/>
      </c>
      <c r="U784" s="5" t="str">
        <f aca="false">IF(A784="","",IF(J784&gt;Parâmetros!$C$14,"SIM","NAO"))</f>
        <v/>
      </c>
      <c r="V784" s="5" t="str">
        <f aca="false">IF(B784="","",TRIM(LEFT(B784,IFERROR(FIND(" ",B784)-1,LEN(B784)))))</f>
        <v/>
      </c>
      <c r="W784" s="22"/>
      <c r="X784" s="5" t="str">
        <f aca="false">IF(A784="","",IF(W784&lt;&gt;"",W784,V784))</f>
        <v/>
      </c>
      <c r="Y784" s="5" t="str">
        <f aca="false">IF(A784="","",IF(COUNTIFS($X$2:$X$2001,X784,$D$2:$D$2001,"&lt;&gt;"&amp;D784,$C$2:$C$2001,C784)&gt;0,"SIM","NAO"))</f>
        <v/>
      </c>
      <c r="Z784" s="5" t="str">
        <f aca="false">IF(A784="","",IF(J784="","",IFERROR(360/J784,"")))</f>
        <v/>
      </c>
      <c r="AA784" s="5" t="str">
        <f aca="false">IF(A784="","",IF(H784=0,"Parado (sem venda 90d)",IF(Z784&gt;12,"Alto (&gt;12x/ano)",IF(Z784&gt;=4,"Medio (4-12x/ano)","Baixo (&lt;4x/ano)"))))</f>
        <v/>
      </c>
    </row>
    <row r="785" customFormat="false" ht="15" hidden="false" customHeight="true" outlineLevel="0" collapsed="false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18"/>
      <c r="L785" s="19" t="str">
        <f aca="false">IF(A785="","",G785*K785)</f>
        <v/>
      </c>
      <c r="M785" s="20"/>
      <c r="N785" s="6"/>
      <c r="O785" s="6"/>
      <c r="P785" s="5" t="str">
        <f aca="false">IF(A785="","",H785/90)</f>
        <v/>
      </c>
      <c r="Q785" s="5" t="str">
        <f aca="false">IF(A785="","",IFERROR(INDEX(Parâmetros!$C$6:$C$10,MATCH(F785,Parâmetros!$B$6:$B$10,0)),""))</f>
        <v/>
      </c>
      <c r="R785" s="5" t="str">
        <f aca="false">IF(OR(A785="",P785="",Q785=""),"",P785*Q785)</f>
        <v/>
      </c>
      <c r="S785" s="5" t="str">
        <f aca="false">IF(R785="","",MAX(0,R785-G785))</f>
        <v/>
      </c>
      <c r="T785" s="21" t="str">
        <f aca="false">IF(S785="","",S785*K785)</f>
        <v/>
      </c>
      <c r="U785" s="5" t="str">
        <f aca="false">IF(A785="","",IF(J785&gt;Parâmetros!$C$14,"SIM","NAO"))</f>
        <v/>
      </c>
      <c r="V785" s="5" t="str">
        <f aca="false">IF(B785="","",TRIM(LEFT(B785,IFERROR(FIND(" ",B785)-1,LEN(B785)))))</f>
        <v/>
      </c>
      <c r="W785" s="22"/>
      <c r="X785" s="5" t="str">
        <f aca="false">IF(A785="","",IF(W785&lt;&gt;"",W785,V785))</f>
        <v/>
      </c>
      <c r="Y785" s="5" t="str">
        <f aca="false">IF(A785="","",IF(COUNTIFS($X$2:$X$2001,X785,$D$2:$D$2001,"&lt;&gt;"&amp;D785,$C$2:$C$2001,C785)&gt;0,"SIM","NAO"))</f>
        <v/>
      </c>
      <c r="Z785" s="5" t="str">
        <f aca="false">IF(A785="","",IF(J785="","",IFERROR(360/J785,"")))</f>
        <v/>
      </c>
      <c r="AA785" s="5" t="str">
        <f aca="false">IF(A785="","",IF(H785=0,"Parado (sem venda 90d)",IF(Z785&gt;12,"Alto (&gt;12x/ano)",IF(Z785&gt;=4,"Medio (4-12x/ano)","Baixo (&lt;4x/ano)"))))</f>
        <v/>
      </c>
    </row>
    <row r="786" customFormat="false" ht="15" hidden="false" customHeight="true" outlineLevel="0" collapsed="false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18"/>
      <c r="L786" s="19" t="str">
        <f aca="false">IF(A786="","",G786*K786)</f>
        <v/>
      </c>
      <c r="M786" s="20"/>
      <c r="N786" s="6"/>
      <c r="O786" s="6"/>
      <c r="P786" s="5" t="str">
        <f aca="false">IF(A786="","",H786/90)</f>
        <v/>
      </c>
      <c r="Q786" s="5" t="str">
        <f aca="false">IF(A786="","",IFERROR(INDEX(Parâmetros!$C$6:$C$10,MATCH(F786,Parâmetros!$B$6:$B$10,0)),""))</f>
        <v/>
      </c>
      <c r="R786" s="5" t="str">
        <f aca="false">IF(OR(A786="",P786="",Q786=""),"",P786*Q786)</f>
        <v/>
      </c>
      <c r="S786" s="5" t="str">
        <f aca="false">IF(R786="","",MAX(0,R786-G786))</f>
        <v/>
      </c>
      <c r="T786" s="21" t="str">
        <f aca="false">IF(S786="","",S786*K786)</f>
        <v/>
      </c>
      <c r="U786" s="5" t="str">
        <f aca="false">IF(A786="","",IF(J786&gt;Parâmetros!$C$14,"SIM","NAO"))</f>
        <v/>
      </c>
      <c r="V786" s="5" t="str">
        <f aca="false">IF(B786="","",TRIM(LEFT(B786,IFERROR(FIND(" ",B786)-1,LEN(B786)))))</f>
        <v/>
      </c>
      <c r="W786" s="22"/>
      <c r="X786" s="5" t="str">
        <f aca="false">IF(A786="","",IF(W786&lt;&gt;"",W786,V786))</f>
        <v/>
      </c>
      <c r="Y786" s="5" t="str">
        <f aca="false">IF(A786="","",IF(COUNTIFS($X$2:$X$2001,X786,$D$2:$D$2001,"&lt;&gt;"&amp;D786,$C$2:$C$2001,C786)&gt;0,"SIM","NAO"))</f>
        <v/>
      </c>
      <c r="Z786" s="5" t="str">
        <f aca="false">IF(A786="","",IF(J786="","",IFERROR(360/J786,"")))</f>
        <v/>
      </c>
      <c r="AA786" s="5" t="str">
        <f aca="false">IF(A786="","",IF(H786=0,"Parado (sem venda 90d)",IF(Z786&gt;12,"Alto (&gt;12x/ano)",IF(Z786&gt;=4,"Medio (4-12x/ano)","Baixo (&lt;4x/ano)"))))</f>
        <v/>
      </c>
    </row>
    <row r="787" customFormat="false" ht="15" hidden="false" customHeight="true" outlineLevel="0" collapsed="false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18"/>
      <c r="L787" s="19" t="str">
        <f aca="false">IF(A787="","",G787*K787)</f>
        <v/>
      </c>
      <c r="M787" s="20"/>
      <c r="N787" s="6"/>
      <c r="O787" s="6"/>
      <c r="P787" s="5" t="str">
        <f aca="false">IF(A787="","",H787/90)</f>
        <v/>
      </c>
      <c r="Q787" s="5" t="str">
        <f aca="false">IF(A787="","",IFERROR(INDEX(Parâmetros!$C$6:$C$10,MATCH(F787,Parâmetros!$B$6:$B$10,0)),""))</f>
        <v/>
      </c>
      <c r="R787" s="5" t="str">
        <f aca="false">IF(OR(A787="",P787="",Q787=""),"",P787*Q787)</f>
        <v/>
      </c>
      <c r="S787" s="5" t="str">
        <f aca="false">IF(R787="","",MAX(0,R787-G787))</f>
        <v/>
      </c>
      <c r="T787" s="21" t="str">
        <f aca="false">IF(S787="","",S787*K787)</f>
        <v/>
      </c>
      <c r="U787" s="5" t="str">
        <f aca="false">IF(A787="","",IF(J787&gt;Parâmetros!$C$14,"SIM","NAO"))</f>
        <v/>
      </c>
      <c r="V787" s="5" t="str">
        <f aca="false">IF(B787="","",TRIM(LEFT(B787,IFERROR(FIND(" ",B787)-1,LEN(B787)))))</f>
        <v/>
      </c>
      <c r="W787" s="22"/>
      <c r="X787" s="5" t="str">
        <f aca="false">IF(A787="","",IF(W787&lt;&gt;"",W787,V787))</f>
        <v/>
      </c>
      <c r="Y787" s="5" t="str">
        <f aca="false">IF(A787="","",IF(COUNTIFS($X$2:$X$2001,X787,$D$2:$D$2001,"&lt;&gt;"&amp;D787,$C$2:$C$2001,C787)&gt;0,"SIM","NAO"))</f>
        <v/>
      </c>
      <c r="Z787" s="5" t="str">
        <f aca="false">IF(A787="","",IF(J787="","",IFERROR(360/J787,"")))</f>
        <v/>
      </c>
      <c r="AA787" s="5" t="str">
        <f aca="false">IF(A787="","",IF(H787=0,"Parado (sem venda 90d)",IF(Z787&gt;12,"Alto (&gt;12x/ano)",IF(Z787&gt;=4,"Medio (4-12x/ano)","Baixo (&lt;4x/ano)"))))</f>
        <v/>
      </c>
    </row>
    <row r="788" customFormat="false" ht="15" hidden="false" customHeight="true" outlineLevel="0" collapsed="false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18"/>
      <c r="L788" s="19" t="str">
        <f aca="false">IF(A788="","",G788*K788)</f>
        <v/>
      </c>
      <c r="M788" s="20"/>
      <c r="N788" s="6"/>
      <c r="O788" s="6"/>
      <c r="P788" s="5" t="str">
        <f aca="false">IF(A788="","",H788/90)</f>
        <v/>
      </c>
      <c r="Q788" s="5" t="str">
        <f aca="false">IF(A788="","",IFERROR(INDEX(Parâmetros!$C$6:$C$10,MATCH(F788,Parâmetros!$B$6:$B$10,0)),""))</f>
        <v/>
      </c>
      <c r="R788" s="5" t="str">
        <f aca="false">IF(OR(A788="",P788="",Q788=""),"",P788*Q788)</f>
        <v/>
      </c>
      <c r="S788" s="5" t="str">
        <f aca="false">IF(R788="","",MAX(0,R788-G788))</f>
        <v/>
      </c>
      <c r="T788" s="21" t="str">
        <f aca="false">IF(S788="","",S788*K788)</f>
        <v/>
      </c>
      <c r="U788" s="5" t="str">
        <f aca="false">IF(A788="","",IF(J788&gt;Parâmetros!$C$14,"SIM","NAO"))</f>
        <v/>
      </c>
      <c r="V788" s="5" t="str">
        <f aca="false">IF(B788="","",TRIM(LEFT(B788,IFERROR(FIND(" ",B788)-1,LEN(B788)))))</f>
        <v/>
      </c>
      <c r="W788" s="22"/>
      <c r="X788" s="5" t="str">
        <f aca="false">IF(A788="","",IF(W788&lt;&gt;"",W788,V788))</f>
        <v/>
      </c>
      <c r="Y788" s="5" t="str">
        <f aca="false">IF(A788="","",IF(COUNTIFS($X$2:$X$2001,X788,$D$2:$D$2001,"&lt;&gt;"&amp;D788,$C$2:$C$2001,C788)&gt;0,"SIM","NAO"))</f>
        <v/>
      </c>
      <c r="Z788" s="5" t="str">
        <f aca="false">IF(A788="","",IF(J788="","",IFERROR(360/J788,"")))</f>
        <v/>
      </c>
      <c r="AA788" s="5" t="str">
        <f aca="false">IF(A788="","",IF(H788=0,"Parado (sem venda 90d)",IF(Z788&gt;12,"Alto (&gt;12x/ano)",IF(Z788&gt;=4,"Medio (4-12x/ano)","Baixo (&lt;4x/ano)"))))</f>
        <v/>
      </c>
    </row>
    <row r="789" customFormat="false" ht="15" hidden="false" customHeight="true" outlineLevel="0" collapsed="false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18"/>
      <c r="L789" s="19" t="str">
        <f aca="false">IF(A789="","",G789*K789)</f>
        <v/>
      </c>
      <c r="M789" s="20"/>
      <c r="N789" s="6"/>
      <c r="O789" s="6"/>
      <c r="P789" s="5" t="str">
        <f aca="false">IF(A789="","",H789/90)</f>
        <v/>
      </c>
      <c r="Q789" s="5" t="str">
        <f aca="false">IF(A789="","",IFERROR(INDEX(Parâmetros!$C$6:$C$10,MATCH(F789,Parâmetros!$B$6:$B$10,0)),""))</f>
        <v/>
      </c>
      <c r="R789" s="5" t="str">
        <f aca="false">IF(OR(A789="",P789="",Q789=""),"",P789*Q789)</f>
        <v/>
      </c>
      <c r="S789" s="5" t="str">
        <f aca="false">IF(R789="","",MAX(0,R789-G789))</f>
        <v/>
      </c>
      <c r="T789" s="21" t="str">
        <f aca="false">IF(S789="","",S789*K789)</f>
        <v/>
      </c>
      <c r="U789" s="5" t="str">
        <f aca="false">IF(A789="","",IF(J789&gt;Parâmetros!$C$14,"SIM","NAO"))</f>
        <v/>
      </c>
      <c r="V789" s="5" t="str">
        <f aca="false">IF(B789="","",TRIM(LEFT(B789,IFERROR(FIND(" ",B789)-1,LEN(B789)))))</f>
        <v/>
      </c>
      <c r="W789" s="22"/>
      <c r="X789" s="5" t="str">
        <f aca="false">IF(A789="","",IF(W789&lt;&gt;"",W789,V789))</f>
        <v/>
      </c>
      <c r="Y789" s="5" t="str">
        <f aca="false">IF(A789="","",IF(COUNTIFS($X$2:$X$2001,X789,$D$2:$D$2001,"&lt;&gt;"&amp;D789,$C$2:$C$2001,C789)&gt;0,"SIM","NAO"))</f>
        <v/>
      </c>
      <c r="Z789" s="5" t="str">
        <f aca="false">IF(A789="","",IF(J789="","",IFERROR(360/J789,"")))</f>
        <v/>
      </c>
      <c r="AA789" s="5" t="str">
        <f aca="false">IF(A789="","",IF(H789=0,"Parado (sem venda 90d)",IF(Z789&gt;12,"Alto (&gt;12x/ano)",IF(Z789&gt;=4,"Medio (4-12x/ano)","Baixo (&lt;4x/ano)"))))</f>
        <v/>
      </c>
    </row>
    <row r="790" customFormat="false" ht="15" hidden="false" customHeight="true" outlineLevel="0" collapsed="false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18"/>
      <c r="L790" s="19" t="str">
        <f aca="false">IF(A790="","",G790*K790)</f>
        <v/>
      </c>
      <c r="M790" s="20"/>
      <c r="N790" s="6"/>
      <c r="O790" s="6"/>
      <c r="P790" s="5" t="str">
        <f aca="false">IF(A790="","",H790/90)</f>
        <v/>
      </c>
      <c r="Q790" s="5" t="str">
        <f aca="false">IF(A790="","",IFERROR(INDEX(Parâmetros!$C$6:$C$10,MATCH(F790,Parâmetros!$B$6:$B$10,0)),""))</f>
        <v/>
      </c>
      <c r="R790" s="5" t="str">
        <f aca="false">IF(OR(A790="",P790="",Q790=""),"",P790*Q790)</f>
        <v/>
      </c>
      <c r="S790" s="5" t="str">
        <f aca="false">IF(R790="","",MAX(0,R790-G790))</f>
        <v/>
      </c>
      <c r="T790" s="21" t="str">
        <f aca="false">IF(S790="","",S790*K790)</f>
        <v/>
      </c>
      <c r="U790" s="5" t="str">
        <f aca="false">IF(A790="","",IF(J790&gt;Parâmetros!$C$14,"SIM","NAO"))</f>
        <v/>
      </c>
      <c r="V790" s="5" t="str">
        <f aca="false">IF(B790="","",TRIM(LEFT(B790,IFERROR(FIND(" ",B790)-1,LEN(B790)))))</f>
        <v/>
      </c>
      <c r="W790" s="22"/>
      <c r="X790" s="5" t="str">
        <f aca="false">IF(A790="","",IF(W790&lt;&gt;"",W790,V790))</f>
        <v/>
      </c>
      <c r="Y790" s="5" t="str">
        <f aca="false">IF(A790="","",IF(COUNTIFS($X$2:$X$2001,X790,$D$2:$D$2001,"&lt;&gt;"&amp;D790,$C$2:$C$2001,C790)&gt;0,"SIM","NAO"))</f>
        <v/>
      </c>
      <c r="Z790" s="5" t="str">
        <f aca="false">IF(A790="","",IF(J790="","",IFERROR(360/J790,"")))</f>
        <v/>
      </c>
      <c r="AA790" s="5" t="str">
        <f aca="false">IF(A790="","",IF(H790=0,"Parado (sem venda 90d)",IF(Z790&gt;12,"Alto (&gt;12x/ano)",IF(Z790&gt;=4,"Medio (4-12x/ano)","Baixo (&lt;4x/ano)"))))</f>
        <v/>
      </c>
    </row>
    <row r="791" customFormat="false" ht="15" hidden="false" customHeight="true" outlineLevel="0" collapsed="false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18"/>
      <c r="L791" s="19" t="str">
        <f aca="false">IF(A791="","",G791*K791)</f>
        <v/>
      </c>
      <c r="M791" s="20"/>
      <c r="N791" s="6"/>
      <c r="O791" s="6"/>
      <c r="P791" s="5" t="str">
        <f aca="false">IF(A791="","",H791/90)</f>
        <v/>
      </c>
      <c r="Q791" s="5" t="str">
        <f aca="false">IF(A791="","",IFERROR(INDEX(Parâmetros!$C$6:$C$10,MATCH(F791,Parâmetros!$B$6:$B$10,0)),""))</f>
        <v/>
      </c>
      <c r="R791" s="5" t="str">
        <f aca="false">IF(OR(A791="",P791="",Q791=""),"",P791*Q791)</f>
        <v/>
      </c>
      <c r="S791" s="5" t="str">
        <f aca="false">IF(R791="","",MAX(0,R791-G791))</f>
        <v/>
      </c>
      <c r="T791" s="21" t="str">
        <f aca="false">IF(S791="","",S791*K791)</f>
        <v/>
      </c>
      <c r="U791" s="5" t="str">
        <f aca="false">IF(A791="","",IF(J791&gt;Parâmetros!$C$14,"SIM","NAO"))</f>
        <v/>
      </c>
      <c r="V791" s="5" t="str">
        <f aca="false">IF(B791="","",TRIM(LEFT(B791,IFERROR(FIND(" ",B791)-1,LEN(B791)))))</f>
        <v/>
      </c>
      <c r="W791" s="22"/>
      <c r="X791" s="5" t="str">
        <f aca="false">IF(A791="","",IF(W791&lt;&gt;"",W791,V791))</f>
        <v/>
      </c>
      <c r="Y791" s="5" t="str">
        <f aca="false">IF(A791="","",IF(COUNTIFS($X$2:$X$2001,X791,$D$2:$D$2001,"&lt;&gt;"&amp;D791,$C$2:$C$2001,C791)&gt;0,"SIM","NAO"))</f>
        <v/>
      </c>
      <c r="Z791" s="5" t="str">
        <f aca="false">IF(A791="","",IF(J791="","",IFERROR(360/J791,"")))</f>
        <v/>
      </c>
      <c r="AA791" s="5" t="str">
        <f aca="false">IF(A791="","",IF(H791=0,"Parado (sem venda 90d)",IF(Z791&gt;12,"Alto (&gt;12x/ano)",IF(Z791&gt;=4,"Medio (4-12x/ano)","Baixo (&lt;4x/ano)"))))</f>
        <v/>
      </c>
    </row>
    <row r="792" customFormat="false" ht="15" hidden="false" customHeight="true" outlineLevel="0" collapsed="false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18"/>
      <c r="L792" s="19" t="str">
        <f aca="false">IF(A792="","",G792*K792)</f>
        <v/>
      </c>
      <c r="M792" s="20"/>
      <c r="N792" s="6"/>
      <c r="O792" s="6"/>
      <c r="P792" s="5" t="str">
        <f aca="false">IF(A792="","",H792/90)</f>
        <v/>
      </c>
      <c r="Q792" s="5" t="str">
        <f aca="false">IF(A792="","",IFERROR(INDEX(Parâmetros!$C$6:$C$10,MATCH(F792,Parâmetros!$B$6:$B$10,0)),""))</f>
        <v/>
      </c>
      <c r="R792" s="5" t="str">
        <f aca="false">IF(OR(A792="",P792="",Q792=""),"",P792*Q792)</f>
        <v/>
      </c>
      <c r="S792" s="5" t="str">
        <f aca="false">IF(R792="","",MAX(0,R792-G792))</f>
        <v/>
      </c>
      <c r="T792" s="21" t="str">
        <f aca="false">IF(S792="","",S792*K792)</f>
        <v/>
      </c>
      <c r="U792" s="5" t="str">
        <f aca="false">IF(A792="","",IF(J792&gt;Parâmetros!$C$14,"SIM","NAO"))</f>
        <v/>
      </c>
      <c r="V792" s="5" t="str">
        <f aca="false">IF(B792="","",TRIM(LEFT(B792,IFERROR(FIND(" ",B792)-1,LEN(B792)))))</f>
        <v/>
      </c>
      <c r="W792" s="22"/>
      <c r="X792" s="5" t="str">
        <f aca="false">IF(A792="","",IF(W792&lt;&gt;"",W792,V792))</f>
        <v/>
      </c>
      <c r="Y792" s="5" t="str">
        <f aca="false">IF(A792="","",IF(COUNTIFS($X$2:$X$2001,X792,$D$2:$D$2001,"&lt;&gt;"&amp;D792,$C$2:$C$2001,C792)&gt;0,"SIM","NAO"))</f>
        <v/>
      </c>
      <c r="Z792" s="5" t="str">
        <f aca="false">IF(A792="","",IF(J792="","",IFERROR(360/J792,"")))</f>
        <v/>
      </c>
      <c r="AA792" s="5" t="str">
        <f aca="false">IF(A792="","",IF(H792=0,"Parado (sem venda 90d)",IF(Z792&gt;12,"Alto (&gt;12x/ano)",IF(Z792&gt;=4,"Medio (4-12x/ano)","Baixo (&lt;4x/ano)"))))</f>
        <v/>
      </c>
    </row>
    <row r="793" customFormat="false" ht="15" hidden="false" customHeight="true" outlineLevel="0" collapsed="false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18"/>
      <c r="L793" s="19" t="str">
        <f aca="false">IF(A793="","",G793*K793)</f>
        <v/>
      </c>
      <c r="M793" s="20"/>
      <c r="N793" s="6"/>
      <c r="O793" s="6"/>
      <c r="P793" s="5" t="str">
        <f aca="false">IF(A793="","",H793/90)</f>
        <v/>
      </c>
      <c r="Q793" s="5" t="str">
        <f aca="false">IF(A793="","",IFERROR(INDEX(Parâmetros!$C$6:$C$10,MATCH(F793,Parâmetros!$B$6:$B$10,0)),""))</f>
        <v/>
      </c>
      <c r="R793" s="5" t="str">
        <f aca="false">IF(OR(A793="",P793="",Q793=""),"",P793*Q793)</f>
        <v/>
      </c>
      <c r="S793" s="5" t="str">
        <f aca="false">IF(R793="","",MAX(0,R793-G793))</f>
        <v/>
      </c>
      <c r="T793" s="21" t="str">
        <f aca="false">IF(S793="","",S793*K793)</f>
        <v/>
      </c>
      <c r="U793" s="5" t="str">
        <f aca="false">IF(A793="","",IF(J793&gt;Parâmetros!$C$14,"SIM","NAO"))</f>
        <v/>
      </c>
      <c r="V793" s="5" t="str">
        <f aca="false">IF(B793="","",TRIM(LEFT(B793,IFERROR(FIND(" ",B793)-1,LEN(B793)))))</f>
        <v/>
      </c>
      <c r="W793" s="22"/>
      <c r="X793" s="5" t="str">
        <f aca="false">IF(A793="","",IF(W793&lt;&gt;"",W793,V793))</f>
        <v/>
      </c>
      <c r="Y793" s="5" t="str">
        <f aca="false">IF(A793="","",IF(COUNTIFS($X$2:$X$2001,X793,$D$2:$D$2001,"&lt;&gt;"&amp;D793,$C$2:$C$2001,C793)&gt;0,"SIM","NAO"))</f>
        <v/>
      </c>
      <c r="Z793" s="5" t="str">
        <f aca="false">IF(A793="","",IF(J793="","",IFERROR(360/J793,"")))</f>
        <v/>
      </c>
      <c r="AA793" s="5" t="str">
        <f aca="false">IF(A793="","",IF(H793=0,"Parado (sem venda 90d)",IF(Z793&gt;12,"Alto (&gt;12x/ano)",IF(Z793&gt;=4,"Medio (4-12x/ano)","Baixo (&lt;4x/ano)"))))</f>
        <v/>
      </c>
    </row>
    <row r="794" customFormat="false" ht="15" hidden="false" customHeight="true" outlineLevel="0" collapsed="false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18"/>
      <c r="L794" s="19" t="str">
        <f aca="false">IF(A794="","",G794*K794)</f>
        <v/>
      </c>
      <c r="M794" s="20"/>
      <c r="N794" s="6"/>
      <c r="O794" s="6"/>
      <c r="P794" s="5" t="str">
        <f aca="false">IF(A794="","",H794/90)</f>
        <v/>
      </c>
      <c r="Q794" s="5" t="str">
        <f aca="false">IF(A794="","",IFERROR(INDEX(Parâmetros!$C$6:$C$10,MATCH(F794,Parâmetros!$B$6:$B$10,0)),""))</f>
        <v/>
      </c>
      <c r="R794" s="5" t="str">
        <f aca="false">IF(OR(A794="",P794="",Q794=""),"",P794*Q794)</f>
        <v/>
      </c>
      <c r="S794" s="5" t="str">
        <f aca="false">IF(R794="","",MAX(0,R794-G794))</f>
        <v/>
      </c>
      <c r="T794" s="21" t="str">
        <f aca="false">IF(S794="","",S794*K794)</f>
        <v/>
      </c>
      <c r="U794" s="5" t="str">
        <f aca="false">IF(A794="","",IF(J794&gt;Parâmetros!$C$14,"SIM","NAO"))</f>
        <v/>
      </c>
      <c r="V794" s="5" t="str">
        <f aca="false">IF(B794="","",TRIM(LEFT(B794,IFERROR(FIND(" ",B794)-1,LEN(B794)))))</f>
        <v/>
      </c>
      <c r="W794" s="22"/>
      <c r="X794" s="5" t="str">
        <f aca="false">IF(A794="","",IF(W794&lt;&gt;"",W794,V794))</f>
        <v/>
      </c>
      <c r="Y794" s="5" t="str">
        <f aca="false">IF(A794="","",IF(COUNTIFS($X$2:$X$2001,X794,$D$2:$D$2001,"&lt;&gt;"&amp;D794,$C$2:$C$2001,C794)&gt;0,"SIM","NAO"))</f>
        <v/>
      </c>
      <c r="Z794" s="5" t="str">
        <f aca="false">IF(A794="","",IF(J794="","",IFERROR(360/J794,"")))</f>
        <v/>
      </c>
      <c r="AA794" s="5" t="str">
        <f aca="false">IF(A794="","",IF(H794=0,"Parado (sem venda 90d)",IF(Z794&gt;12,"Alto (&gt;12x/ano)",IF(Z794&gt;=4,"Medio (4-12x/ano)","Baixo (&lt;4x/ano)"))))</f>
        <v/>
      </c>
    </row>
    <row r="795" customFormat="false" ht="15" hidden="false" customHeight="true" outlineLevel="0" collapsed="false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18"/>
      <c r="L795" s="19" t="str">
        <f aca="false">IF(A795="","",G795*K795)</f>
        <v/>
      </c>
      <c r="M795" s="20"/>
      <c r="N795" s="6"/>
      <c r="O795" s="6"/>
      <c r="P795" s="5" t="str">
        <f aca="false">IF(A795="","",H795/90)</f>
        <v/>
      </c>
      <c r="Q795" s="5" t="str">
        <f aca="false">IF(A795="","",IFERROR(INDEX(Parâmetros!$C$6:$C$10,MATCH(F795,Parâmetros!$B$6:$B$10,0)),""))</f>
        <v/>
      </c>
      <c r="R795" s="5" t="str">
        <f aca="false">IF(OR(A795="",P795="",Q795=""),"",P795*Q795)</f>
        <v/>
      </c>
      <c r="S795" s="5" t="str">
        <f aca="false">IF(R795="","",MAX(0,R795-G795))</f>
        <v/>
      </c>
      <c r="T795" s="21" t="str">
        <f aca="false">IF(S795="","",S795*K795)</f>
        <v/>
      </c>
      <c r="U795" s="5" t="str">
        <f aca="false">IF(A795="","",IF(J795&gt;Parâmetros!$C$14,"SIM","NAO"))</f>
        <v/>
      </c>
      <c r="V795" s="5" t="str">
        <f aca="false">IF(B795="","",TRIM(LEFT(B795,IFERROR(FIND(" ",B795)-1,LEN(B795)))))</f>
        <v/>
      </c>
      <c r="W795" s="22"/>
      <c r="X795" s="5" t="str">
        <f aca="false">IF(A795="","",IF(W795&lt;&gt;"",W795,V795))</f>
        <v/>
      </c>
      <c r="Y795" s="5" t="str">
        <f aca="false">IF(A795="","",IF(COUNTIFS($X$2:$X$2001,X795,$D$2:$D$2001,"&lt;&gt;"&amp;D795,$C$2:$C$2001,C795)&gt;0,"SIM","NAO"))</f>
        <v/>
      </c>
      <c r="Z795" s="5" t="str">
        <f aca="false">IF(A795="","",IF(J795="","",IFERROR(360/J795,"")))</f>
        <v/>
      </c>
      <c r="AA795" s="5" t="str">
        <f aca="false">IF(A795="","",IF(H795=0,"Parado (sem venda 90d)",IF(Z795&gt;12,"Alto (&gt;12x/ano)",IF(Z795&gt;=4,"Medio (4-12x/ano)","Baixo (&lt;4x/ano)"))))</f>
        <v/>
      </c>
    </row>
    <row r="796" customFormat="false" ht="15" hidden="false" customHeight="true" outlineLevel="0" collapsed="false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18"/>
      <c r="L796" s="19" t="str">
        <f aca="false">IF(A796="","",G796*K796)</f>
        <v/>
      </c>
      <c r="M796" s="20"/>
      <c r="N796" s="6"/>
      <c r="O796" s="6"/>
      <c r="P796" s="5" t="str">
        <f aca="false">IF(A796="","",H796/90)</f>
        <v/>
      </c>
      <c r="Q796" s="5" t="str">
        <f aca="false">IF(A796="","",IFERROR(INDEX(Parâmetros!$C$6:$C$10,MATCH(F796,Parâmetros!$B$6:$B$10,0)),""))</f>
        <v/>
      </c>
      <c r="R796" s="5" t="str">
        <f aca="false">IF(OR(A796="",P796="",Q796=""),"",P796*Q796)</f>
        <v/>
      </c>
      <c r="S796" s="5" t="str">
        <f aca="false">IF(R796="","",MAX(0,R796-G796))</f>
        <v/>
      </c>
      <c r="T796" s="21" t="str">
        <f aca="false">IF(S796="","",S796*K796)</f>
        <v/>
      </c>
      <c r="U796" s="5" t="str">
        <f aca="false">IF(A796="","",IF(J796&gt;Parâmetros!$C$14,"SIM","NAO"))</f>
        <v/>
      </c>
      <c r="V796" s="5" t="str">
        <f aca="false">IF(B796="","",TRIM(LEFT(B796,IFERROR(FIND(" ",B796)-1,LEN(B796)))))</f>
        <v/>
      </c>
      <c r="W796" s="22"/>
      <c r="X796" s="5" t="str">
        <f aca="false">IF(A796="","",IF(W796&lt;&gt;"",W796,V796))</f>
        <v/>
      </c>
      <c r="Y796" s="5" t="str">
        <f aca="false">IF(A796="","",IF(COUNTIFS($X$2:$X$2001,X796,$D$2:$D$2001,"&lt;&gt;"&amp;D796,$C$2:$C$2001,C796)&gt;0,"SIM","NAO"))</f>
        <v/>
      </c>
      <c r="Z796" s="5" t="str">
        <f aca="false">IF(A796="","",IF(J796="","",IFERROR(360/J796,"")))</f>
        <v/>
      </c>
      <c r="AA796" s="5" t="str">
        <f aca="false">IF(A796="","",IF(H796=0,"Parado (sem venda 90d)",IF(Z796&gt;12,"Alto (&gt;12x/ano)",IF(Z796&gt;=4,"Medio (4-12x/ano)","Baixo (&lt;4x/ano)"))))</f>
        <v/>
      </c>
    </row>
    <row r="797" customFormat="false" ht="15" hidden="false" customHeight="true" outlineLevel="0" collapsed="false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18"/>
      <c r="L797" s="19" t="str">
        <f aca="false">IF(A797="","",G797*K797)</f>
        <v/>
      </c>
      <c r="M797" s="20"/>
      <c r="N797" s="6"/>
      <c r="O797" s="6"/>
      <c r="P797" s="5" t="str">
        <f aca="false">IF(A797="","",H797/90)</f>
        <v/>
      </c>
      <c r="Q797" s="5" t="str">
        <f aca="false">IF(A797="","",IFERROR(INDEX(Parâmetros!$C$6:$C$10,MATCH(F797,Parâmetros!$B$6:$B$10,0)),""))</f>
        <v/>
      </c>
      <c r="R797" s="5" t="str">
        <f aca="false">IF(OR(A797="",P797="",Q797=""),"",P797*Q797)</f>
        <v/>
      </c>
      <c r="S797" s="5" t="str">
        <f aca="false">IF(R797="","",MAX(0,R797-G797))</f>
        <v/>
      </c>
      <c r="T797" s="21" t="str">
        <f aca="false">IF(S797="","",S797*K797)</f>
        <v/>
      </c>
      <c r="U797" s="5" t="str">
        <f aca="false">IF(A797="","",IF(J797&gt;Parâmetros!$C$14,"SIM","NAO"))</f>
        <v/>
      </c>
      <c r="V797" s="5" t="str">
        <f aca="false">IF(B797="","",TRIM(LEFT(B797,IFERROR(FIND(" ",B797)-1,LEN(B797)))))</f>
        <v/>
      </c>
      <c r="W797" s="22"/>
      <c r="X797" s="5" t="str">
        <f aca="false">IF(A797="","",IF(W797&lt;&gt;"",W797,V797))</f>
        <v/>
      </c>
      <c r="Y797" s="5" t="str">
        <f aca="false">IF(A797="","",IF(COUNTIFS($X$2:$X$2001,X797,$D$2:$D$2001,"&lt;&gt;"&amp;D797,$C$2:$C$2001,C797)&gt;0,"SIM","NAO"))</f>
        <v/>
      </c>
      <c r="Z797" s="5" t="str">
        <f aca="false">IF(A797="","",IF(J797="","",IFERROR(360/J797,"")))</f>
        <v/>
      </c>
      <c r="AA797" s="5" t="str">
        <f aca="false">IF(A797="","",IF(H797=0,"Parado (sem venda 90d)",IF(Z797&gt;12,"Alto (&gt;12x/ano)",IF(Z797&gt;=4,"Medio (4-12x/ano)","Baixo (&lt;4x/ano)"))))</f>
        <v/>
      </c>
    </row>
    <row r="798" customFormat="false" ht="15" hidden="false" customHeight="true" outlineLevel="0" collapsed="false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18"/>
      <c r="L798" s="19" t="str">
        <f aca="false">IF(A798="","",G798*K798)</f>
        <v/>
      </c>
      <c r="M798" s="20"/>
      <c r="N798" s="6"/>
      <c r="O798" s="6"/>
      <c r="P798" s="5" t="str">
        <f aca="false">IF(A798="","",H798/90)</f>
        <v/>
      </c>
      <c r="Q798" s="5" t="str">
        <f aca="false">IF(A798="","",IFERROR(INDEX(Parâmetros!$C$6:$C$10,MATCH(F798,Parâmetros!$B$6:$B$10,0)),""))</f>
        <v/>
      </c>
      <c r="R798" s="5" t="str">
        <f aca="false">IF(OR(A798="",P798="",Q798=""),"",P798*Q798)</f>
        <v/>
      </c>
      <c r="S798" s="5" t="str">
        <f aca="false">IF(R798="","",MAX(0,R798-G798))</f>
        <v/>
      </c>
      <c r="T798" s="21" t="str">
        <f aca="false">IF(S798="","",S798*K798)</f>
        <v/>
      </c>
      <c r="U798" s="5" t="str">
        <f aca="false">IF(A798="","",IF(J798&gt;Parâmetros!$C$14,"SIM","NAO"))</f>
        <v/>
      </c>
      <c r="V798" s="5" t="str">
        <f aca="false">IF(B798="","",TRIM(LEFT(B798,IFERROR(FIND(" ",B798)-1,LEN(B798)))))</f>
        <v/>
      </c>
      <c r="W798" s="22"/>
      <c r="X798" s="5" t="str">
        <f aca="false">IF(A798="","",IF(W798&lt;&gt;"",W798,V798))</f>
        <v/>
      </c>
      <c r="Y798" s="5" t="str">
        <f aca="false">IF(A798="","",IF(COUNTIFS($X$2:$X$2001,X798,$D$2:$D$2001,"&lt;&gt;"&amp;D798,$C$2:$C$2001,C798)&gt;0,"SIM","NAO"))</f>
        <v/>
      </c>
      <c r="Z798" s="5" t="str">
        <f aca="false">IF(A798="","",IF(J798="","",IFERROR(360/J798,"")))</f>
        <v/>
      </c>
      <c r="AA798" s="5" t="str">
        <f aca="false">IF(A798="","",IF(H798=0,"Parado (sem venda 90d)",IF(Z798&gt;12,"Alto (&gt;12x/ano)",IF(Z798&gt;=4,"Medio (4-12x/ano)","Baixo (&lt;4x/ano)"))))</f>
        <v/>
      </c>
    </row>
    <row r="799" customFormat="false" ht="15" hidden="false" customHeight="true" outlineLevel="0" collapsed="false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18"/>
      <c r="L799" s="19" t="str">
        <f aca="false">IF(A799="","",G799*K799)</f>
        <v/>
      </c>
      <c r="M799" s="20"/>
      <c r="N799" s="6"/>
      <c r="O799" s="6"/>
      <c r="P799" s="5" t="str">
        <f aca="false">IF(A799="","",H799/90)</f>
        <v/>
      </c>
      <c r="Q799" s="5" t="str">
        <f aca="false">IF(A799="","",IFERROR(INDEX(Parâmetros!$C$6:$C$10,MATCH(F799,Parâmetros!$B$6:$B$10,0)),""))</f>
        <v/>
      </c>
      <c r="R799" s="5" t="str">
        <f aca="false">IF(OR(A799="",P799="",Q799=""),"",P799*Q799)</f>
        <v/>
      </c>
      <c r="S799" s="5" t="str">
        <f aca="false">IF(R799="","",MAX(0,R799-G799))</f>
        <v/>
      </c>
      <c r="T799" s="21" t="str">
        <f aca="false">IF(S799="","",S799*K799)</f>
        <v/>
      </c>
      <c r="U799" s="5" t="str">
        <f aca="false">IF(A799="","",IF(J799&gt;Parâmetros!$C$14,"SIM","NAO"))</f>
        <v/>
      </c>
      <c r="V799" s="5" t="str">
        <f aca="false">IF(B799="","",TRIM(LEFT(B799,IFERROR(FIND(" ",B799)-1,LEN(B799)))))</f>
        <v/>
      </c>
      <c r="W799" s="22"/>
      <c r="X799" s="5" t="str">
        <f aca="false">IF(A799="","",IF(W799&lt;&gt;"",W799,V799))</f>
        <v/>
      </c>
      <c r="Y799" s="5" t="str">
        <f aca="false">IF(A799="","",IF(COUNTIFS($X$2:$X$2001,X799,$D$2:$D$2001,"&lt;&gt;"&amp;D799,$C$2:$C$2001,C799)&gt;0,"SIM","NAO"))</f>
        <v/>
      </c>
      <c r="Z799" s="5" t="str">
        <f aca="false">IF(A799="","",IF(J799="","",IFERROR(360/J799,"")))</f>
        <v/>
      </c>
      <c r="AA799" s="5" t="str">
        <f aca="false">IF(A799="","",IF(H799=0,"Parado (sem venda 90d)",IF(Z799&gt;12,"Alto (&gt;12x/ano)",IF(Z799&gt;=4,"Medio (4-12x/ano)","Baixo (&lt;4x/ano)"))))</f>
        <v/>
      </c>
    </row>
    <row r="800" customFormat="false" ht="15" hidden="false" customHeight="true" outlineLevel="0" collapsed="false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18"/>
      <c r="L800" s="19" t="str">
        <f aca="false">IF(A800="","",G800*K800)</f>
        <v/>
      </c>
      <c r="M800" s="20"/>
      <c r="N800" s="6"/>
      <c r="O800" s="6"/>
      <c r="P800" s="5" t="str">
        <f aca="false">IF(A800="","",H800/90)</f>
        <v/>
      </c>
      <c r="Q800" s="5" t="str">
        <f aca="false">IF(A800="","",IFERROR(INDEX(Parâmetros!$C$6:$C$10,MATCH(F800,Parâmetros!$B$6:$B$10,0)),""))</f>
        <v/>
      </c>
      <c r="R800" s="5" t="str">
        <f aca="false">IF(OR(A800="",P800="",Q800=""),"",P800*Q800)</f>
        <v/>
      </c>
      <c r="S800" s="5" t="str">
        <f aca="false">IF(R800="","",MAX(0,R800-G800))</f>
        <v/>
      </c>
      <c r="T800" s="21" t="str">
        <f aca="false">IF(S800="","",S800*K800)</f>
        <v/>
      </c>
      <c r="U800" s="5" t="str">
        <f aca="false">IF(A800="","",IF(J800&gt;Parâmetros!$C$14,"SIM","NAO"))</f>
        <v/>
      </c>
      <c r="V800" s="5" t="str">
        <f aca="false">IF(B800="","",TRIM(LEFT(B800,IFERROR(FIND(" ",B800)-1,LEN(B800)))))</f>
        <v/>
      </c>
      <c r="W800" s="22"/>
      <c r="X800" s="5" t="str">
        <f aca="false">IF(A800="","",IF(W800&lt;&gt;"",W800,V800))</f>
        <v/>
      </c>
      <c r="Y800" s="5" t="str">
        <f aca="false">IF(A800="","",IF(COUNTIFS($X$2:$X$2001,X800,$D$2:$D$2001,"&lt;&gt;"&amp;D800,$C$2:$C$2001,C800)&gt;0,"SIM","NAO"))</f>
        <v/>
      </c>
      <c r="Z800" s="5" t="str">
        <f aca="false">IF(A800="","",IF(J800="","",IFERROR(360/J800,"")))</f>
        <v/>
      </c>
      <c r="AA800" s="5" t="str">
        <f aca="false">IF(A800="","",IF(H800=0,"Parado (sem venda 90d)",IF(Z800&gt;12,"Alto (&gt;12x/ano)",IF(Z800&gt;=4,"Medio (4-12x/ano)","Baixo (&lt;4x/ano)"))))</f>
        <v/>
      </c>
    </row>
    <row r="801" customFormat="false" ht="15" hidden="false" customHeight="true" outlineLevel="0" collapsed="false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18"/>
      <c r="L801" s="19" t="str">
        <f aca="false">IF(A801="","",G801*K801)</f>
        <v/>
      </c>
      <c r="M801" s="20"/>
      <c r="N801" s="6"/>
      <c r="O801" s="6"/>
      <c r="P801" s="5" t="str">
        <f aca="false">IF(A801="","",H801/90)</f>
        <v/>
      </c>
      <c r="Q801" s="5" t="str">
        <f aca="false">IF(A801="","",IFERROR(INDEX(Parâmetros!$C$6:$C$10,MATCH(F801,Parâmetros!$B$6:$B$10,0)),""))</f>
        <v/>
      </c>
      <c r="R801" s="5" t="str">
        <f aca="false">IF(OR(A801="",P801="",Q801=""),"",P801*Q801)</f>
        <v/>
      </c>
      <c r="S801" s="5" t="str">
        <f aca="false">IF(R801="","",MAX(0,R801-G801))</f>
        <v/>
      </c>
      <c r="T801" s="21" t="str">
        <f aca="false">IF(S801="","",S801*K801)</f>
        <v/>
      </c>
      <c r="U801" s="5" t="str">
        <f aca="false">IF(A801="","",IF(J801&gt;Parâmetros!$C$14,"SIM","NAO"))</f>
        <v/>
      </c>
      <c r="V801" s="5" t="str">
        <f aca="false">IF(B801="","",TRIM(LEFT(B801,IFERROR(FIND(" ",B801)-1,LEN(B801)))))</f>
        <v/>
      </c>
      <c r="W801" s="22"/>
      <c r="X801" s="5" t="str">
        <f aca="false">IF(A801="","",IF(W801&lt;&gt;"",W801,V801))</f>
        <v/>
      </c>
      <c r="Y801" s="5" t="str">
        <f aca="false">IF(A801="","",IF(COUNTIFS($X$2:$X$2001,X801,$D$2:$D$2001,"&lt;&gt;"&amp;D801,$C$2:$C$2001,C801)&gt;0,"SIM","NAO"))</f>
        <v/>
      </c>
      <c r="Z801" s="5" t="str">
        <f aca="false">IF(A801="","",IF(J801="","",IFERROR(360/J801,"")))</f>
        <v/>
      </c>
      <c r="AA801" s="5" t="str">
        <f aca="false">IF(A801="","",IF(H801=0,"Parado (sem venda 90d)",IF(Z801&gt;12,"Alto (&gt;12x/ano)",IF(Z801&gt;=4,"Medio (4-12x/ano)","Baixo (&lt;4x/ano)"))))</f>
        <v/>
      </c>
    </row>
    <row r="802" customFormat="false" ht="15" hidden="false" customHeight="true" outlineLevel="0" collapsed="false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18"/>
      <c r="L802" s="19" t="str">
        <f aca="false">IF(A802="","",G802*K802)</f>
        <v/>
      </c>
      <c r="M802" s="20"/>
      <c r="N802" s="6"/>
      <c r="O802" s="6"/>
      <c r="P802" s="5" t="str">
        <f aca="false">IF(A802="","",H802/90)</f>
        <v/>
      </c>
      <c r="Q802" s="5" t="str">
        <f aca="false">IF(A802="","",IFERROR(INDEX(Parâmetros!$C$6:$C$10,MATCH(F802,Parâmetros!$B$6:$B$10,0)),""))</f>
        <v/>
      </c>
      <c r="R802" s="5" t="str">
        <f aca="false">IF(OR(A802="",P802="",Q802=""),"",P802*Q802)</f>
        <v/>
      </c>
      <c r="S802" s="5" t="str">
        <f aca="false">IF(R802="","",MAX(0,R802-G802))</f>
        <v/>
      </c>
      <c r="T802" s="21" t="str">
        <f aca="false">IF(S802="","",S802*K802)</f>
        <v/>
      </c>
      <c r="U802" s="5" t="str">
        <f aca="false">IF(A802="","",IF(J802&gt;Parâmetros!$C$14,"SIM","NAO"))</f>
        <v/>
      </c>
      <c r="V802" s="5" t="str">
        <f aca="false">IF(B802="","",TRIM(LEFT(B802,IFERROR(FIND(" ",B802)-1,LEN(B802)))))</f>
        <v/>
      </c>
      <c r="W802" s="22"/>
      <c r="X802" s="5" t="str">
        <f aca="false">IF(A802="","",IF(W802&lt;&gt;"",W802,V802))</f>
        <v/>
      </c>
      <c r="Y802" s="5" t="str">
        <f aca="false">IF(A802="","",IF(COUNTIFS($X$2:$X$2001,X802,$D$2:$D$2001,"&lt;&gt;"&amp;D802,$C$2:$C$2001,C802)&gt;0,"SIM","NAO"))</f>
        <v/>
      </c>
      <c r="Z802" s="5" t="str">
        <f aca="false">IF(A802="","",IF(J802="","",IFERROR(360/J802,"")))</f>
        <v/>
      </c>
      <c r="AA802" s="5" t="str">
        <f aca="false">IF(A802="","",IF(H802=0,"Parado (sem venda 90d)",IF(Z802&gt;12,"Alto (&gt;12x/ano)",IF(Z802&gt;=4,"Medio (4-12x/ano)","Baixo (&lt;4x/ano)"))))</f>
        <v/>
      </c>
    </row>
    <row r="803" customFormat="false" ht="15" hidden="false" customHeight="true" outlineLevel="0" collapsed="false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18"/>
      <c r="L803" s="19" t="str">
        <f aca="false">IF(A803="","",G803*K803)</f>
        <v/>
      </c>
      <c r="M803" s="20"/>
      <c r="N803" s="6"/>
      <c r="O803" s="6"/>
      <c r="P803" s="5" t="str">
        <f aca="false">IF(A803="","",H803/90)</f>
        <v/>
      </c>
      <c r="Q803" s="5" t="str">
        <f aca="false">IF(A803="","",IFERROR(INDEX(Parâmetros!$C$6:$C$10,MATCH(F803,Parâmetros!$B$6:$B$10,0)),""))</f>
        <v/>
      </c>
      <c r="R803" s="5" t="str">
        <f aca="false">IF(OR(A803="",P803="",Q803=""),"",P803*Q803)</f>
        <v/>
      </c>
      <c r="S803" s="5" t="str">
        <f aca="false">IF(R803="","",MAX(0,R803-G803))</f>
        <v/>
      </c>
      <c r="T803" s="21" t="str">
        <f aca="false">IF(S803="","",S803*K803)</f>
        <v/>
      </c>
      <c r="U803" s="5" t="str">
        <f aca="false">IF(A803="","",IF(J803&gt;Parâmetros!$C$14,"SIM","NAO"))</f>
        <v/>
      </c>
      <c r="V803" s="5" t="str">
        <f aca="false">IF(B803="","",TRIM(LEFT(B803,IFERROR(FIND(" ",B803)-1,LEN(B803)))))</f>
        <v/>
      </c>
      <c r="W803" s="22"/>
      <c r="X803" s="5" t="str">
        <f aca="false">IF(A803="","",IF(W803&lt;&gt;"",W803,V803))</f>
        <v/>
      </c>
      <c r="Y803" s="5" t="str">
        <f aca="false">IF(A803="","",IF(COUNTIFS($X$2:$X$2001,X803,$D$2:$D$2001,"&lt;&gt;"&amp;D803,$C$2:$C$2001,C803)&gt;0,"SIM","NAO"))</f>
        <v/>
      </c>
      <c r="Z803" s="5" t="str">
        <f aca="false">IF(A803="","",IF(J803="","",IFERROR(360/J803,"")))</f>
        <v/>
      </c>
      <c r="AA803" s="5" t="str">
        <f aca="false">IF(A803="","",IF(H803=0,"Parado (sem venda 90d)",IF(Z803&gt;12,"Alto (&gt;12x/ano)",IF(Z803&gt;=4,"Medio (4-12x/ano)","Baixo (&lt;4x/ano)"))))</f>
        <v/>
      </c>
    </row>
    <row r="804" customFormat="false" ht="15" hidden="false" customHeight="true" outlineLevel="0" collapsed="false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18"/>
      <c r="L804" s="19" t="str">
        <f aca="false">IF(A804="","",G804*K804)</f>
        <v/>
      </c>
      <c r="M804" s="20"/>
      <c r="N804" s="6"/>
      <c r="O804" s="6"/>
      <c r="P804" s="5" t="str">
        <f aca="false">IF(A804="","",H804/90)</f>
        <v/>
      </c>
      <c r="Q804" s="5" t="str">
        <f aca="false">IF(A804="","",IFERROR(INDEX(Parâmetros!$C$6:$C$10,MATCH(F804,Parâmetros!$B$6:$B$10,0)),""))</f>
        <v/>
      </c>
      <c r="R804" s="5" t="str">
        <f aca="false">IF(OR(A804="",P804="",Q804=""),"",P804*Q804)</f>
        <v/>
      </c>
      <c r="S804" s="5" t="str">
        <f aca="false">IF(R804="","",MAX(0,R804-G804))</f>
        <v/>
      </c>
      <c r="T804" s="21" t="str">
        <f aca="false">IF(S804="","",S804*K804)</f>
        <v/>
      </c>
      <c r="U804" s="5" t="str">
        <f aca="false">IF(A804="","",IF(J804&gt;Parâmetros!$C$14,"SIM","NAO"))</f>
        <v/>
      </c>
      <c r="V804" s="5" t="str">
        <f aca="false">IF(B804="","",TRIM(LEFT(B804,IFERROR(FIND(" ",B804)-1,LEN(B804)))))</f>
        <v/>
      </c>
      <c r="W804" s="22"/>
      <c r="X804" s="5" t="str">
        <f aca="false">IF(A804="","",IF(W804&lt;&gt;"",W804,V804))</f>
        <v/>
      </c>
      <c r="Y804" s="5" t="str">
        <f aca="false">IF(A804="","",IF(COUNTIFS($X$2:$X$2001,X804,$D$2:$D$2001,"&lt;&gt;"&amp;D804,$C$2:$C$2001,C804)&gt;0,"SIM","NAO"))</f>
        <v/>
      </c>
      <c r="Z804" s="5" t="str">
        <f aca="false">IF(A804="","",IF(J804="","",IFERROR(360/J804,"")))</f>
        <v/>
      </c>
      <c r="AA804" s="5" t="str">
        <f aca="false">IF(A804="","",IF(H804=0,"Parado (sem venda 90d)",IF(Z804&gt;12,"Alto (&gt;12x/ano)",IF(Z804&gt;=4,"Medio (4-12x/ano)","Baixo (&lt;4x/ano)"))))</f>
        <v/>
      </c>
    </row>
    <row r="805" customFormat="false" ht="15" hidden="false" customHeight="true" outlineLevel="0" collapsed="false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18"/>
      <c r="L805" s="19" t="str">
        <f aca="false">IF(A805="","",G805*K805)</f>
        <v/>
      </c>
      <c r="M805" s="20"/>
      <c r="N805" s="6"/>
      <c r="O805" s="6"/>
      <c r="P805" s="5" t="str">
        <f aca="false">IF(A805="","",H805/90)</f>
        <v/>
      </c>
      <c r="Q805" s="5" t="str">
        <f aca="false">IF(A805="","",IFERROR(INDEX(Parâmetros!$C$6:$C$10,MATCH(F805,Parâmetros!$B$6:$B$10,0)),""))</f>
        <v/>
      </c>
      <c r="R805" s="5" t="str">
        <f aca="false">IF(OR(A805="",P805="",Q805=""),"",P805*Q805)</f>
        <v/>
      </c>
      <c r="S805" s="5" t="str">
        <f aca="false">IF(R805="","",MAX(0,R805-G805))</f>
        <v/>
      </c>
      <c r="T805" s="21" t="str">
        <f aca="false">IF(S805="","",S805*K805)</f>
        <v/>
      </c>
      <c r="U805" s="5" t="str">
        <f aca="false">IF(A805="","",IF(J805&gt;Parâmetros!$C$14,"SIM","NAO"))</f>
        <v/>
      </c>
      <c r="V805" s="5" t="str">
        <f aca="false">IF(B805="","",TRIM(LEFT(B805,IFERROR(FIND(" ",B805)-1,LEN(B805)))))</f>
        <v/>
      </c>
      <c r="W805" s="22"/>
      <c r="X805" s="5" t="str">
        <f aca="false">IF(A805="","",IF(W805&lt;&gt;"",W805,V805))</f>
        <v/>
      </c>
      <c r="Y805" s="5" t="str">
        <f aca="false">IF(A805="","",IF(COUNTIFS($X$2:$X$2001,X805,$D$2:$D$2001,"&lt;&gt;"&amp;D805,$C$2:$C$2001,C805)&gt;0,"SIM","NAO"))</f>
        <v/>
      </c>
      <c r="Z805" s="5" t="str">
        <f aca="false">IF(A805="","",IF(J805="","",IFERROR(360/J805,"")))</f>
        <v/>
      </c>
      <c r="AA805" s="5" t="str">
        <f aca="false">IF(A805="","",IF(H805=0,"Parado (sem venda 90d)",IF(Z805&gt;12,"Alto (&gt;12x/ano)",IF(Z805&gt;=4,"Medio (4-12x/ano)","Baixo (&lt;4x/ano)"))))</f>
        <v/>
      </c>
    </row>
    <row r="806" customFormat="false" ht="15" hidden="false" customHeight="true" outlineLevel="0" collapsed="false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18"/>
      <c r="L806" s="19" t="str">
        <f aca="false">IF(A806="","",G806*K806)</f>
        <v/>
      </c>
      <c r="M806" s="20"/>
      <c r="N806" s="6"/>
      <c r="O806" s="6"/>
      <c r="P806" s="5" t="str">
        <f aca="false">IF(A806="","",H806/90)</f>
        <v/>
      </c>
      <c r="Q806" s="5" t="str">
        <f aca="false">IF(A806="","",IFERROR(INDEX(Parâmetros!$C$6:$C$10,MATCH(F806,Parâmetros!$B$6:$B$10,0)),""))</f>
        <v/>
      </c>
      <c r="R806" s="5" t="str">
        <f aca="false">IF(OR(A806="",P806="",Q806=""),"",P806*Q806)</f>
        <v/>
      </c>
      <c r="S806" s="5" t="str">
        <f aca="false">IF(R806="","",MAX(0,R806-G806))</f>
        <v/>
      </c>
      <c r="T806" s="21" t="str">
        <f aca="false">IF(S806="","",S806*K806)</f>
        <v/>
      </c>
      <c r="U806" s="5" t="str">
        <f aca="false">IF(A806="","",IF(J806&gt;Parâmetros!$C$14,"SIM","NAO"))</f>
        <v/>
      </c>
      <c r="V806" s="5" t="str">
        <f aca="false">IF(B806="","",TRIM(LEFT(B806,IFERROR(FIND(" ",B806)-1,LEN(B806)))))</f>
        <v/>
      </c>
      <c r="W806" s="22"/>
      <c r="X806" s="5" t="str">
        <f aca="false">IF(A806="","",IF(W806&lt;&gt;"",W806,V806))</f>
        <v/>
      </c>
      <c r="Y806" s="5" t="str">
        <f aca="false">IF(A806="","",IF(COUNTIFS($X$2:$X$2001,X806,$D$2:$D$2001,"&lt;&gt;"&amp;D806,$C$2:$C$2001,C806)&gt;0,"SIM","NAO"))</f>
        <v/>
      </c>
      <c r="Z806" s="5" t="str">
        <f aca="false">IF(A806="","",IF(J806="","",IFERROR(360/J806,"")))</f>
        <v/>
      </c>
      <c r="AA806" s="5" t="str">
        <f aca="false">IF(A806="","",IF(H806=0,"Parado (sem venda 90d)",IF(Z806&gt;12,"Alto (&gt;12x/ano)",IF(Z806&gt;=4,"Medio (4-12x/ano)","Baixo (&lt;4x/ano)"))))</f>
        <v/>
      </c>
    </row>
    <row r="807" customFormat="false" ht="15" hidden="false" customHeight="true" outlineLevel="0" collapsed="false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18"/>
      <c r="L807" s="19" t="str">
        <f aca="false">IF(A807="","",G807*K807)</f>
        <v/>
      </c>
      <c r="M807" s="20"/>
      <c r="N807" s="6"/>
      <c r="O807" s="6"/>
      <c r="P807" s="5" t="str">
        <f aca="false">IF(A807="","",H807/90)</f>
        <v/>
      </c>
      <c r="Q807" s="5" t="str">
        <f aca="false">IF(A807="","",IFERROR(INDEX(Parâmetros!$C$6:$C$10,MATCH(F807,Parâmetros!$B$6:$B$10,0)),""))</f>
        <v/>
      </c>
      <c r="R807" s="5" t="str">
        <f aca="false">IF(OR(A807="",P807="",Q807=""),"",P807*Q807)</f>
        <v/>
      </c>
      <c r="S807" s="5" t="str">
        <f aca="false">IF(R807="","",MAX(0,R807-G807))</f>
        <v/>
      </c>
      <c r="T807" s="21" t="str">
        <f aca="false">IF(S807="","",S807*K807)</f>
        <v/>
      </c>
      <c r="U807" s="5" t="str">
        <f aca="false">IF(A807="","",IF(J807&gt;Parâmetros!$C$14,"SIM","NAO"))</f>
        <v/>
      </c>
      <c r="V807" s="5" t="str">
        <f aca="false">IF(B807="","",TRIM(LEFT(B807,IFERROR(FIND(" ",B807)-1,LEN(B807)))))</f>
        <v/>
      </c>
      <c r="W807" s="22"/>
      <c r="X807" s="5" t="str">
        <f aca="false">IF(A807="","",IF(W807&lt;&gt;"",W807,V807))</f>
        <v/>
      </c>
      <c r="Y807" s="5" t="str">
        <f aca="false">IF(A807="","",IF(COUNTIFS($X$2:$X$2001,X807,$D$2:$D$2001,"&lt;&gt;"&amp;D807,$C$2:$C$2001,C807)&gt;0,"SIM","NAO"))</f>
        <v/>
      </c>
      <c r="Z807" s="5" t="str">
        <f aca="false">IF(A807="","",IF(J807="","",IFERROR(360/J807,"")))</f>
        <v/>
      </c>
      <c r="AA807" s="5" t="str">
        <f aca="false">IF(A807="","",IF(H807=0,"Parado (sem venda 90d)",IF(Z807&gt;12,"Alto (&gt;12x/ano)",IF(Z807&gt;=4,"Medio (4-12x/ano)","Baixo (&lt;4x/ano)"))))</f>
        <v/>
      </c>
    </row>
    <row r="808" customFormat="false" ht="15" hidden="false" customHeight="true" outlineLevel="0" collapsed="false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18"/>
      <c r="L808" s="19" t="str">
        <f aca="false">IF(A808="","",G808*K808)</f>
        <v/>
      </c>
      <c r="M808" s="20"/>
      <c r="N808" s="6"/>
      <c r="O808" s="6"/>
      <c r="P808" s="5" t="str">
        <f aca="false">IF(A808="","",H808/90)</f>
        <v/>
      </c>
      <c r="Q808" s="5" t="str">
        <f aca="false">IF(A808="","",IFERROR(INDEX(Parâmetros!$C$6:$C$10,MATCH(F808,Parâmetros!$B$6:$B$10,0)),""))</f>
        <v/>
      </c>
      <c r="R808" s="5" t="str">
        <f aca="false">IF(OR(A808="",P808="",Q808=""),"",P808*Q808)</f>
        <v/>
      </c>
      <c r="S808" s="5" t="str">
        <f aca="false">IF(R808="","",MAX(0,R808-G808))</f>
        <v/>
      </c>
      <c r="T808" s="21" t="str">
        <f aca="false">IF(S808="","",S808*K808)</f>
        <v/>
      </c>
      <c r="U808" s="5" t="str">
        <f aca="false">IF(A808="","",IF(J808&gt;Parâmetros!$C$14,"SIM","NAO"))</f>
        <v/>
      </c>
      <c r="V808" s="5" t="str">
        <f aca="false">IF(B808="","",TRIM(LEFT(B808,IFERROR(FIND(" ",B808)-1,LEN(B808)))))</f>
        <v/>
      </c>
      <c r="W808" s="22"/>
      <c r="X808" s="5" t="str">
        <f aca="false">IF(A808="","",IF(W808&lt;&gt;"",W808,V808))</f>
        <v/>
      </c>
      <c r="Y808" s="5" t="str">
        <f aca="false">IF(A808="","",IF(COUNTIFS($X$2:$X$2001,X808,$D$2:$D$2001,"&lt;&gt;"&amp;D808,$C$2:$C$2001,C808)&gt;0,"SIM","NAO"))</f>
        <v/>
      </c>
      <c r="Z808" s="5" t="str">
        <f aca="false">IF(A808="","",IF(J808="","",IFERROR(360/J808,"")))</f>
        <v/>
      </c>
      <c r="AA808" s="5" t="str">
        <f aca="false">IF(A808="","",IF(H808=0,"Parado (sem venda 90d)",IF(Z808&gt;12,"Alto (&gt;12x/ano)",IF(Z808&gt;=4,"Medio (4-12x/ano)","Baixo (&lt;4x/ano)"))))</f>
        <v/>
      </c>
    </row>
    <row r="809" customFormat="false" ht="15" hidden="false" customHeight="true" outlineLevel="0" collapsed="false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18"/>
      <c r="L809" s="19" t="str">
        <f aca="false">IF(A809="","",G809*K809)</f>
        <v/>
      </c>
      <c r="M809" s="20"/>
      <c r="N809" s="6"/>
      <c r="O809" s="6"/>
      <c r="P809" s="5" t="str">
        <f aca="false">IF(A809="","",H809/90)</f>
        <v/>
      </c>
      <c r="Q809" s="5" t="str">
        <f aca="false">IF(A809="","",IFERROR(INDEX(Parâmetros!$C$6:$C$10,MATCH(F809,Parâmetros!$B$6:$B$10,0)),""))</f>
        <v/>
      </c>
      <c r="R809" s="5" t="str">
        <f aca="false">IF(OR(A809="",P809="",Q809=""),"",P809*Q809)</f>
        <v/>
      </c>
      <c r="S809" s="5" t="str">
        <f aca="false">IF(R809="","",MAX(0,R809-G809))</f>
        <v/>
      </c>
      <c r="T809" s="21" t="str">
        <f aca="false">IF(S809="","",S809*K809)</f>
        <v/>
      </c>
      <c r="U809" s="5" t="str">
        <f aca="false">IF(A809="","",IF(J809&gt;Parâmetros!$C$14,"SIM","NAO"))</f>
        <v/>
      </c>
      <c r="V809" s="5" t="str">
        <f aca="false">IF(B809="","",TRIM(LEFT(B809,IFERROR(FIND(" ",B809)-1,LEN(B809)))))</f>
        <v/>
      </c>
      <c r="W809" s="22"/>
      <c r="X809" s="5" t="str">
        <f aca="false">IF(A809="","",IF(W809&lt;&gt;"",W809,V809))</f>
        <v/>
      </c>
      <c r="Y809" s="5" t="str">
        <f aca="false">IF(A809="","",IF(COUNTIFS($X$2:$X$2001,X809,$D$2:$D$2001,"&lt;&gt;"&amp;D809,$C$2:$C$2001,C809)&gt;0,"SIM","NAO"))</f>
        <v/>
      </c>
      <c r="Z809" s="5" t="str">
        <f aca="false">IF(A809="","",IF(J809="","",IFERROR(360/J809,"")))</f>
        <v/>
      </c>
      <c r="AA809" s="5" t="str">
        <f aca="false">IF(A809="","",IF(H809=0,"Parado (sem venda 90d)",IF(Z809&gt;12,"Alto (&gt;12x/ano)",IF(Z809&gt;=4,"Medio (4-12x/ano)","Baixo (&lt;4x/ano)"))))</f>
        <v/>
      </c>
    </row>
    <row r="810" customFormat="false" ht="15" hidden="false" customHeight="true" outlineLevel="0" collapsed="false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18"/>
      <c r="L810" s="19" t="str">
        <f aca="false">IF(A810="","",G810*K810)</f>
        <v/>
      </c>
      <c r="M810" s="20"/>
      <c r="N810" s="6"/>
      <c r="O810" s="6"/>
      <c r="P810" s="5" t="str">
        <f aca="false">IF(A810="","",H810/90)</f>
        <v/>
      </c>
      <c r="Q810" s="5" t="str">
        <f aca="false">IF(A810="","",IFERROR(INDEX(Parâmetros!$C$6:$C$10,MATCH(F810,Parâmetros!$B$6:$B$10,0)),""))</f>
        <v/>
      </c>
      <c r="R810" s="5" t="str">
        <f aca="false">IF(OR(A810="",P810="",Q810=""),"",P810*Q810)</f>
        <v/>
      </c>
      <c r="S810" s="5" t="str">
        <f aca="false">IF(R810="","",MAX(0,R810-G810))</f>
        <v/>
      </c>
      <c r="T810" s="21" t="str">
        <f aca="false">IF(S810="","",S810*K810)</f>
        <v/>
      </c>
      <c r="U810" s="5" t="str">
        <f aca="false">IF(A810="","",IF(J810&gt;Parâmetros!$C$14,"SIM","NAO"))</f>
        <v/>
      </c>
      <c r="V810" s="5" t="str">
        <f aca="false">IF(B810="","",TRIM(LEFT(B810,IFERROR(FIND(" ",B810)-1,LEN(B810)))))</f>
        <v/>
      </c>
      <c r="W810" s="22"/>
      <c r="X810" s="5" t="str">
        <f aca="false">IF(A810="","",IF(W810&lt;&gt;"",W810,V810))</f>
        <v/>
      </c>
      <c r="Y810" s="5" t="str">
        <f aca="false">IF(A810="","",IF(COUNTIFS($X$2:$X$2001,X810,$D$2:$D$2001,"&lt;&gt;"&amp;D810,$C$2:$C$2001,C810)&gt;0,"SIM","NAO"))</f>
        <v/>
      </c>
      <c r="Z810" s="5" t="str">
        <f aca="false">IF(A810="","",IF(J810="","",IFERROR(360/J810,"")))</f>
        <v/>
      </c>
      <c r="AA810" s="5" t="str">
        <f aca="false">IF(A810="","",IF(H810=0,"Parado (sem venda 90d)",IF(Z810&gt;12,"Alto (&gt;12x/ano)",IF(Z810&gt;=4,"Medio (4-12x/ano)","Baixo (&lt;4x/ano)"))))</f>
        <v/>
      </c>
    </row>
    <row r="811" customFormat="false" ht="15" hidden="false" customHeight="true" outlineLevel="0" collapsed="false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18"/>
      <c r="L811" s="19" t="str">
        <f aca="false">IF(A811="","",G811*K811)</f>
        <v/>
      </c>
      <c r="M811" s="20"/>
      <c r="N811" s="6"/>
      <c r="O811" s="6"/>
      <c r="P811" s="5" t="str">
        <f aca="false">IF(A811="","",H811/90)</f>
        <v/>
      </c>
      <c r="Q811" s="5" t="str">
        <f aca="false">IF(A811="","",IFERROR(INDEX(Parâmetros!$C$6:$C$10,MATCH(F811,Parâmetros!$B$6:$B$10,0)),""))</f>
        <v/>
      </c>
      <c r="R811" s="5" t="str">
        <f aca="false">IF(OR(A811="",P811="",Q811=""),"",P811*Q811)</f>
        <v/>
      </c>
      <c r="S811" s="5" t="str">
        <f aca="false">IF(R811="","",MAX(0,R811-G811))</f>
        <v/>
      </c>
      <c r="T811" s="21" t="str">
        <f aca="false">IF(S811="","",S811*K811)</f>
        <v/>
      </c>
      <c r="U811" s="5" t="str">
        <f aca="false">IF(A811="","",IF(J811&gt;Parâmetros!$C$14,"SIM","NAO"))</f>
        <v/>
      </c>
      <c r="V811" s="5" t="str">
        <f aca="false">IF(B811="","",TRIM(LEFT(B811,IFERROR(FIND(" ",B811)-1,LEN(B811)))))</f>
        <v/>
      </c>
      <c r="W811" s="22"/>
      <c r="X811" s="5" t="str">
        <f aca="false">IF(A811="","",IF(W811&lt;&gt;"",W811,V811))</f>
        <v/>
      </c>
      <c r="Y811" s="5" t="str">
        <f aca="false">IF(A811="","",IF(COUNTIFS($X$2:$X$2001,X811,$D$2:$D$2001,"&lt;&gt;"&amp;D811,$C$2:$C$2001,C811)&gt;0,"SIM","NAO"))</f>
        <v/>
      </c>
      <c r="Z811" s="5" t="str">
        <f aca="false">IF(A811="","",IF(J811="","",IFERROR(360/J811,"")))</f>
        <v/>
      </c>
      <c r="AA811" s="5" t="str">
        <f aca="false">IF(A811="","",IF(H811=0,"Parado (sem venda 90d)",IF(Z811&gt;12,"Alto (&gt;12x/ano)",IF(Z811&gt;=4,"Medio (4-12x/ano)","Baixo (&lt;4x/ano)"))))</f>
        <v/>
      </c>
    </row>
    <row r="812" customFormat="false" ht="15" hidden="false" customHeight="true" outlineLevel="0" collapsed="false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18"/>
      <c r="L812" s="19" t="str">
        <f aca="false">IF(A812="","",G812*K812)</f>
        <v/>
      </c>
      <c r="M812" s="20"/>
      <c r="N812" s="6"/>
      <c r="O812" s="6"/>
      <c r="P812" s="5" t="str">
        <f aca="false">IF(A812="","",H812/90)</f>
        <v/>
      </c>
      <c r="Q812" s="5" t="str">
        <f aca="false">IF(A812="","",IFERROR(INDEX(Parâmetros!$C$6:$C$10,MATCH(F812,Parâmetros!$B$6:$B$10,0)),""))</f>
        <v/>
      </c>
      <c r="R812" s="5" t="str">
        <f aca="false">IF(OR(A812="",P812="",Q812=""),"",P812*Q812)</f>
        <v/>
      </c>
      <c r="S812" s="5" t="str">
        <f aca="false">IF(R812="","",MAX(0,R812-G812))</f>
        <v/>
      </c>
      <c r="T812" s="21" t="str">
        <f aca="false">IF(S812="","",S812*K812)</f>
        <v/>
      </c>
      <c r="U812" s="5" t="str">
        <f aca="false">IF(A812="","",IF(J812&gt;Parâmetros!$C$14,"SIM","NAO"))</f>
        <v/>
      </c>
      <c r="V812" s="5" t="str">
        <f aca="false">IF(B812="","",TRIM(LEFT(B812,IFERROR(FIND(" ",B812)-1,LEN(B812)))))</f>
        <v/>
      </c>
      <c r="W812" s="22"/>
      <c r="X812" s="5" t="str">
        <f aca="false">IF(A812="","",IF(W812&lt;&gt;"",W812,V812))</f>
        <v/>
      </c>
      <c r="Y812" s="5" t="str">
        <f aca="false">IF(A812="","",IF(COUNTIFS($X$2:$X$2001,X812,$D$2:$D$2001,"&lt;&gt;"&amp;D812,$C$2:$C$2001,C812)&gt;0,"SIM","NAO"))</f>
        <v/>
      </c>
      <c r="Z812" s="5" t="str">
        <f aca="false">IF(A812="","",IF(J812="","",IFERROR(360/J812,"")))</f>
        <v/>
      </c>
      <c r="AA812" s="5" t="str">
        <f aca="false">IF(A812="","",IF(H812=0,"Parado (sem venda 90d)",IF(Z812&gt;12,"Alto (&gt;12x/ano)",IF(Z812&gt;=4,"Medio (4-12x/ano)","Baixo (&lt;4x/ano)"))))</f>
        <v/>
      </c>
    </row>
    <row r="813" customFormat="false" ht="15" hidden="false" customHeight="true" outlineLevel="0" collapsed="false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18"/>
      <c r="L813" s="19" t="str">
        <f aca="false">IF(A813="","",G813*K813)</f>
        <v/>
      </c>
      <c r="M813" s="20"/>
      <c r="N813" s="6"/>
      <c r="O813" s="6"/>
      <c r="P813" s="5" t="str">
        <f aca="false">IF(A813="","",H813/90)</f>
        <v/>
      </c>
      <c r="Q813" s="5" t="str">
        <f aca="false">IF(A813="","",IFERROR(INDEX(Parâmetros!$C$6:$C$10,MATCH(F813,Parâmetros!$B$6:$B$10,0)),""))</f>
        <v/>
      </c>
      <c r="R813" s="5" t="str">
        <f aca="false">IF(OR(A813="",P813="",Q813=""),"",P813*Q813)</f>
        <v/>
      </c>
      <c r="S813" s="5" t="str">
        <f aca="false">IF(R813="","",MAX(0,R813-G813))</f>
        <v/>
      </c>
      <c r="T813" s="21" t="str">
        <f aca="false">IF(S813="","",S813*K813)</f>
        <v/>
      </c>
      <c r="U813" s="5" t="str">
        <f aca="false">IF(A813="","",IF(J813&gt;Parâmetros!$C$14,"SIM","NAO"))</f>
        <v/>
      </c>
      <c r="V813" s="5" t="str">
        <f aca="false">IF(B813="","",TRIM(LEFT(B813,IFERROR(FIND(" ",B813)-1,LEN(B813)))))</f>
        <v/>
      </c>
      <c r="W813" s="22"/>
      <c r="X813" s="5" t="str">
        <f aca="false">IF(A813="","",IF(W813&lt;&gt;"",W813,V813))</f>
        <v/>
      </c>
      <c r="Y813" s="5" t="str">
        <f aca="false">IF(A813="","",IF(COUNTIFS($X$2:$X$2001,X813,$D$2:$D$2001,"&lt;&gt;"&amp;D813,$C$2:$C$2001,C813)&gt;0,"SIM","NAO"))</f>
        <v/>
      </c>
      <c r="Z813" s="5" t="str">
        <f aca="false">IF(A813="","",IF(J813="","",IFERROR(360/J813,"")))</f>
        <v/>
      </c>
      <c r="AA813" s="5" t="str">
        <f aca="false">IF(A813="","",IF(H813=0,"Parado (sem venda 90d)",IF(Z813&gt;12,"Alto (&gt;12x/ano)",IF(Z813&gt;=4,"Medio (4-12x/ano)","Baixo (&lt;4x/ano)"))))</f>
        <v/>
      </c>
    </row>
    <row r="814" customFormat="false" ht="15" hidden="false" customHeight="true" outlineLevel="0" collapsed="false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18"/>
      <c r="L814" s="19" t="str">
        <f aca="false">IF(A814="","",G814*K814)</f>
        <v/>
      </c>
      <c r="M814" s="20"/>
      <c r="N814" s="6"/>
      <c r="O814" s="6"/>
      <c r="P814" s="5" t="str">
        <f aca="false">IF(A814="","",H814/90)</f>
        <v/>
      </c>
      <c r="Q814" s="5" t="str">
        <f aca="false">IF(A814="","",IFERROR(INDEX(Parâmetros!$C$6:$C$10,MATCH(F814,Parâmetros!$B$6:$B$10,0)),""))</f>
        <v/>
      </c>
      <c r="R814" s="5" t="str">
        <f aca="false">IF(OR(A814="",P814="",Q814=""),"",P814*Q814)</f>
        <v/>
      </c>
      <c r="S814" s="5" t="str">
        <f aca="false">IF(R814="","",MAX(0,R814-G814))</f>
        <v/>
      </c>
      <c r="T814" s="21" t="str">
        <f aca="false">IF(S814="","",S814*K814)</f>
        <v/>
      </c>
      <c r="U814" s="5" t="str">
        <f aca="false">IF(A814="","",IF(J814&gt;Parâmetros!$C$14,"SIM","NAO"))</f>
        <v/>
      </c>
      <c r="V814" s="5" t="str">
        <f aca="false">IF(B814="","",TRIM(LEFT(B814,IFERROR(FIND(" ",B814)-1,LEN(B814)))))</f>
        <v/>
      </c>
      <c r="W814" s="22"/>
      <c r="X814" s="5" t="str">
        <f aca="false">IF(A814="","",IF(W814&lt;&gt;"",W814,V814))</f>
        <v/>
      </c>
      <c r="Y814" s="5" t="str">
        <f aca="false">IF(A814="","",IF(COUNTIFS($X$2:$X$2001,X814,$D$2:$D$2001,"&lt;&gt;"&amp;D814,$C$2:$C$2001,C814)&gt;0,"SIM","NAO"))</f>
        <v/>
      </c>
      <c r="Z814" s="5" t="str">
        <f aca="false">IF(A814="","",IF(J814="","",IFERROR(360/J814,"")))</f>
        <v/>
      </c>
      <c r="AA814" s="5" t="str">
        <f aca="false">IF(A814="","",IF(H814=0,"Parado (sem venda 90d)",IF(Z814&gt;12,"Alto (&gt;12x/ano)",IF(Z814&gt;=4,"Medio (4-12x/ano)","Baixo (&lt;4x/ano)"))))</f>
        <v/>
      </c>
    </row>
    <row r="815" customFormat="false" ht="15" hidden="false" customHeight="true" outlineLevel="0" collapsed="false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18"/>
      <c r="L815" s="19" t="str">
        <f aca="false">IF(A815="","",G815*K815)</f>
        <v/>
      </c>
      <c r="M815" s="20"/>
      <c r="N815" s="6"/>
      <c r="O815" s="6"/>
      <c r="P815" s="5" t="str">
        <f aca="false">IF(A815="","",H815/90)</f>
        <v/>
      </c>
      <c r="Q815" s="5" t="str">
        <f aca="false">IF(A815="","",IFERROR(INDEX(Parâmetros!$C$6:$C$10,MATCH(F815,Parâmetros!$B$6:$B$10,0)),""))</f>
        <v/>
      </c>
      <c r="R815" s="5" t="str">
        <f aca="false">IF(OR(A815="",P815="",Q815=""),"",P815*Q815)</f>
        <v/>
      </c>
      <c r="S815" s="5" t="str">
        <f aca="false">IF(R815="","",MAX(0,R815-G815))</f>
        <v/>
      </c>
      <c r="T815" s="21" t="str">
        <f aca="false">IF(S815="","",S815*K815)</f>
        <v/>
      </c>
      <c r="U815" s="5" t="str">
        <f aca="false">IF(A815="","",IF(J815&gt;Parâmetros!$C$14,"SIM","NAO"))</f>
        <v/>
      </c>
      <c r="V815" s="5" t="str">
        <f aca="false">IF(B815="","",TRIM(LEFT(B815,IFERROR(FIND(" ",B815)-1,LEN(B815)))))</f>
        <v/>
      </c>
      <c r="W815" s="22"/>
      <c r="X815" s="5" t="str">
        <f aca="false">IF(A815="","",IF(W815&lt;&gt;"",W815,V815))</f>
        <v/>
      </c>
      <c r="Y815" s="5" t="str">
        <f aca="false">IF(A815="","",IF(COUNTIFS($X$2:$X$2001,X815,$D$2:$D$2001,"&lt;&gt;"&amp;D815,$C$2:$C$2001,C815)&gt;0,"SIM","NAO"))</f>
        <v/>
      </c>
      <c r="Z815" s="5" t="str">
        <f aca="false">IF(A815="","",IF(J815="","",IFERROR(360/J815,"")))</f>
        <v/>
      </c>
      <c r="AA815" s="5" t="str">
        <f aca="false">IF(A815="","",IF(H815=0,"Parado (sem venda 90d)",IF(Z815&gt;12,"Alto (&gt;12x/ano)",IF(Z815&gt;=4,"Medio (4-12x/ano)","Baixo (&lt;4x/ano)"))))</f>
        <v/>
      </c>
    </row>
    <row r="816" customFormat="false" ht="15" hidden="false" customHeight="true" outlineLevel="0" collapsed="false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18"/>
      <c r="L816" s="19" t="str">
        <f aca="false">IF(A816="","",G816*K816)</f>
        <v/>
      </c>
      <c r="M816" s="20"/>
      <c r="N816" s="6"/>
      <c r="O816" s="6"/>
      <c r="P816" s="5" t="str">
        <f aca="false">IF(A816="","",H816/90)</f>
        <v/>
      </c>
      <c r="Q816" s="5" t="str">
        <f aca="false">IF(A816="","",IFERROR(INDEX(Parâmetros!$C$6:$C$10,MATCH(F816,Parâmetros!$B$6:$B$10,0)),""))</f>
        <v/>
      </c>
      <c r="R816" s="5" t="str">
        <f aca="false">IF(OR(A816="",P816="",Q816=""),"",P816*Q816)</f>
        <v/>
      </c>
      <c r="S816" s="5" t="str">
        <f aca="false">IF(R816="","",MAX(0,R816-G816))</f>
        <v/>
      </c>
      <c r="T816" s="21" t="str">
        <f aca="false">IF(S816="","",S816*K816)</f>
        <v/>
      </c>
      <c r="U816" s="5" t="str">
        <f aca="false">IF(A816="","",IF(J816&gt;Parâmetros!$C$14,"SIM","NAO"))</f>
        <v/>
      </c>
      <c r="V816" s="5" t="str">
        <f aca="false">IF(B816="","",TRIM(LEFT(B816,IFERROR(FIND(" ",B816)-1,LEN(B816)))))</f>
        <v/>
      </c>
      <c r="W816" s="22"/>
      <c r="X816" s="5" t="str">
        <f aca="false">IF(A816="","",IF(W816&lt;&gt;"",W816,V816))</f>
        <v/>
      </c>
      <c r="Y816" s="5" t="str">
        <f aca="false">IF(A816="","",IF(COUNTIFS($X$2:$X$2001,X816,$D$2:$D$2001,"&lt;&gt;"&amp;D816,$C$2:$C$2001,C816)&gt;0,"SIM","NAO"))</f>
        <v/>
      </c>
      <c r="Z816" s="5" t="str">
        <f aca="false">IF(A816="","",IF(J816="","",IFERROR(360/J816,"")))</f>
        <v/>
      </c>
      <c r="AA816" s="5" t="str">
        <f aca="false">IF(A816="","",IF(H816=0,"Parado (sem venda 90d)",IF(Z816&gt;12,"Alto (&gt;12x/ano)",IF(Z816&gt;=4,"Medio (4-12x/ano)","Baixo (&lt;4x/ano)"))))</f>
        <v/>
      </c>
    </row>
    <row r="817" customFormat="false" ht="15" hidden="false" customHeight="true" outlineLevel="0" collapsed="false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18"/>
      <c r="L817" s="19" t="str">
        <f aca="false">IF(A817="","",G817*K817)</f>
        <v/>
      </c>
      <c r="M817" s="20"/>
      <c r="N817" s="6"/>
      <c r="O817" s="6"/>
      <c r="P817" s="5" t="str">
        <f aca="false">IF(A817="","",H817/90)</f>
        <v/>
      </c>
      <c r="Q817" s="5" t="str">
        <f aca="false">IF(A817="","",IFERROR(INDEX(Parâmetros!$C$6:$C$10,MATCH(F817,Parâmetros!$B$6:$B$10,0)),""))</f>
        <v/>
      </c>
      <c r="R817" s="5" t="str">
        <f aca="false">IF(OR(A817="",P817="",Q817=""),"",P817*Q817)</f>
        <v/>
      </c>
      <c r="S817" s="5" t="str">
        <f aca="false">IF(R817="","",MAX(0,R817-G817))</f>
        <v/>
      </c>
      <c r="T817" s="21" t="str">
        <f aca="false">IF(S817="","",S817*K817)</f>
        <v/>
      </c>
      <c r="U817" s="5" t="str">
        <f aca="false">IF(A817="","",IF(J817&gt;Parâmetros!$C$14,"SIM","NAO"))</f>
        <v/>
      </c>
      <c r="V817" s="5" t="str">
        <f aca="false">IF(B817="","",TRIM(LEFT(B817,IFERROR(FIND(" ",B817)-1,LEN(B817)))))</f>
        <v/>
      </c>
      <c r="W817" s="22"/>
      <c r="X817" s="5" t="str">
        <f aca="false">IF(A817="","",IF(W817&lt;&gt;"",W817,V817))</f>
        <v/>
      </c>
      <c r="Y817" s="5" t="str">
        <f aca="false">IF(A817="","",IF(COUNTIFS($X$2:$X$2001,X817,$D$2:$D$2001,"&lt;&gt;"&amp;D817,$C$2:$C$2001,C817)&gt;0,"SIM","NAO"))</f>
        <v/>
      </c>
      <c r="Z817" s="5" t="str">
        <f aca="false">IF(A817="","",IF(J817="","",IFERROR(360/J817,"")))</f>
        <v/>
      </c>
      <c r="AA817" s="5" t="str">
        <f aca="false">IF(A817="","",IF(H817=0,"Parado (sem venda 90d)",IF(Z817&gt;12,"Alto (&gt;12x/ano)",IF(Z817&gt;=4,"Medio (4-12x/ano)","Baixo (&lt;4x/ano)"))))</f>
        <v/>
      </c>
    </row>
    <row r="818" customFormat="false" ht="15" hidden="false" customHeight="true" outlineLevel="0" collapsed="false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18"/>
      <c r="L818" s="19" t="str">
        <f aca="false">IF(A818="","",G818*K818)</f>
        <v/>
      </c>
      <c r="M818" s="20"/>
      <c r="N818" s="6"/>
      <c r="O818" s="6"/>
      <c r="P818" s="5" t="str">
        <f aca="false">IF(A818="","",H818/90)</f>
        <v/>
      </c>
      <c r="Q818" s="5" t="str">
        <f aca="false">IF(A818="","",IFERROR(INDEX(Parâmetros!$C$6:$C$10,MATCH(F818,Parâmetros!$B$6:$B$10,0)),""))</f>
        <v/>
      </c>
      <c r="R818" s="5" t="str">
        <f aca="false">IF(OR(A818="",P818="",Q818=""),"",P818*Q818)</f>
        <v/>
      </c>
      <c r="S818" s="5" t="str">
        <f aca="false">IF(R818="","",MAX(0,R818-G818))</f>
        <v/>
      </c>
      <c r="T818" s="21" t="str">
        <f aca="false">IF(S818="","",S818*K818)</f>
        <v/>
      </c>
      <c r="U818" s="5" t="str">
        <f aca="false">IF(A818="","",IF(J818&gt;Parâmetros!$C$14,"SIM","NAO"))</f>
        <v/>
      </c>
      <c r="V818" s="5" t="str">
        <f aca="false">IF(B818="","",TRIM(LEFT(B818,IFERROR(FIND(" ",B818)-1,LEN(B818)))))</f>
        <v/>
      </c>
      <c r="W818" s="22"/>
      <c r="X818" s="5" t="str">
        <f aca="false">IF(A818="","",IF(W818&lt;&gt;"",W818,V818))</f>
        <v/>
      </c>
      <c r="Y818" s="5" t="str">
        <f aca="false">IF(A818="","",IF(COUNTIFS($X$2:$X$2001,X818,$D$2:$D$2001,"&lt;&gt;"&amp;D818,$C$2:$C$2001,C818)&gt;0,"SIM","NAO"))</f>
        <v/>
      </c>
      <c r="Z818" s="5" t="str">
        <f aca="false">IF(A818="","",IF(J818="","",IFERROR(360/J818,"")))</f>
        <v/>
      </c>
      <c r="AA818" s="5" t="str">
        <f aca="false">IF(A818="","",IF(H818=0,"Parado (sem venda 90d)",IF(Z818&gt;12,"Alto (&gt;12x/ano)",IF(Z818&gt;=4,"Medio (4-12x/ano)","Baixo (&lt;4x/ano)"))))</f>
        <v/>
      </c>
    </row>
    <row r="819" customFormat="false" ht="15" hidden="false" customHeight="true" outlineLevel="0" collapsed="false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18"/>
      <c r="L819" s="19" t="str">
        <f aca="false">IF(A819="","",G819*K819)</f>
        <v/>
      </c>
      <c r="M819" s="20"/>
      <c r="N819" s="6"/>
      <c r="O819" s="6"/>
      <c r="P819" s="5" t="str">
        <f aca="false">IF(A819="","",H819/90)</f>
        <v/>
      </c>
      <c r="Q819" s="5" t="str">
        <f aca="false">IF(A819="","",IFERROR(INDEX(Parâmetros!$C$6:$C$10,MATCH(F819,Parâmetros!$B$6:$B$10,0)),""))</f>
        <v/>
      </c>
      <c r="R819" s="5" t="str">
        <f aca="false">IF(OR(A819="",P819="",Q819=""),"",P819*Q819)</f>
        <v/>
      </c>
      <c r="S819" s="5" t="str">
        <f aca="false">IF(R819="","",MAX(0,R819-G819))</f>
        <v/>
      </c>
      <c r="T819" s="21" t="str">
        <f aca="false">IF(S819="","",S819*K819)</f>
        <v/>
      </c>
      <c r="U819" s="5" t="str">
        <f aca="false">IF(A819="","",IF(J819&gt;Parâmetros!$C$14,"SIM","NAO"))</f>
        <v/>
      </c>
      <c r="V819" s="5" t="str">
        <f aca="false">IF(B819="","",TRIM(LEFT(B819,IFERROR(FIND(" ",B819)-1,LEN(B819)))))</f>
        <v/>
      </c>
      <c r="W819" s="22"/>
      <c r="X819" s="5" t="str">
        <f aca="false">IF(A819="","",IF(W819&lt;&gt;"",W819,V819))</f>
        <v/>
      </c>
      <c r="Y819" s="5" t="str">
        <f aca="false">IF(A819="","",IF(COUNTIFS($X$2:$X$2001,X819,$D$2:$D$2001,"&lt;&gt;"&amp;D819,$C$2:$C$2001,C819)&gt;0,"SIM","NAO"))</f>
        <v/>
      </c>
      <c r="Z819" s="5" t="str">
        <f aca="false">IF(A819="","",IF(J819="","",IFERROR(360/J819,"")))</f>
        <v/>
      </c>
      <c r="AA819" s="5" t="str">
        <f aca="false">IF(A819="","",IF(H819=0,"Parado (sem venda 90d)",IF(Z819&gt;12,"Alto (&gt;12x/ano)",IF(Z819&gt;=4,"Medio (4-12x/ano)","Baixo (&lt;4x/ano)"))))</f>
        <v/>
      </c>
    </row>
    <row r="820" customFormat="false" ht="15" hidden="false" customHeight="true" outlineLevel="0" collapsed="false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18"/>
      <c r="L820" s="19" t="str">
        <f aca="false">IF(A820="","",G820*K820)</f>
        <v/>
      </c>
      <c r="M820" s="20"/>
      <c r="N820" s="6"/>
      <c r="O820" s="6"/>
      <c r="P820" s="5" t="str">
        <f aca="false">IF(A820="","",H820/90)</f>
        <v/>
      </c>
      <c r="Q820" s="5" t="str">
        <f aca="false">IF(A820="","",IFERROR(INDEX(Parâmetros!$C$6:$C$10,MATCH(F820,Parâmetros!$B$6:$B$10,0)),""))</f>
        <v/>
      </c>
      <c r="R820" s="5" t="str">
        <f aca="false">IF(OR(A820="",P820="",Q820=""),"",P820*Q820)</f>
        <v/>
      </c>
      <c r="S820" s="5" t="str">
        <f aca="false">IF(R820="","",MAX(0,R820-G820))</f>
        <v/>
      </c>
      <c r="T820" s="21" t="str">
        <f aca="false">IF(S820="","",S820*K820)</f>
        <v/>
      </c>
      <c r="U820" s="5" t="str">
        <f aca="false">IF(A820="","",IF(J820&gt;Parâmetros!$C$14,"SIM","NAO"))</f>
        <v/>
      </c>
      <c r="V820" s="5" t="str">
        <f aca="false">IF(B820="","",TRIM(LEFT(B820,IFERROR(FIND(" ",B820)-1,LEN(B820)))))</f>
        <v/>
      </c>
      <c r="W820" s="22"/>
      <c r="X820" s="5" t="str">
        <f aca="false">IF(A820="","",IF(W820&lt;&gt;"",W820,V820))</f>
        <v/>
      </c>
      <c r="Y820" s="5" t="str">
        <f aca="false">IF(A820="","",IF(COUNTIFS($X$2:$X$2001,X820,$D$2:$D$2001,"&lt;&gt;"&amp;D820,$C$2:$C$2001,C820)&gt;0,"SIM","NAO"))</f>
        <v/>
      </c>
      <c r="Z820" s="5" t="str">
        <f aca="false">IF(A820="","",IF(J820="","",IFERROR(360/J820,"")))</f>
        <v/>
      </c>
      <c r="AA820" s="5" t="str">
        <f aca="false">IF(A820="","",IF(H820=0,"Parado (sem venda 90d)",IF(Z820&gt;12,"Alto (&gt;12x/ano)",IF(Z820&gt;=4,"Medio (4-12x/ano)","Baixo (&lt;4x/ano)"))))</f>
        <v/>
      </c>
    </row>
    <row r="821" customFormat="false" ht="15" hidden="false" customHeight="true" outlineLevel="0" collapsed="false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18"/>
      <c r="L821" s="19" t="str">
        <f aca="false">IF(A821="","",G821*K821)</f>
        <v/>
      </c>
      <c r="M821" s="20"/>
      <c r="N821" s="6"/>
      <c r="O821" s="6"/>
      <c r="P821" s="5" t="str">
        <f aca="false">IF(A821="","",H821/90)</f>
        <v/>
      </c>
      <c r="Q821" s="5" t="str">
        <f aca="false">IF(A821="","",IFERROR(INDEX(Parâmetros!$C$6:$C$10,MATCH(F821,Parâmetros!$B$6:$B$10,0)),""))</f>
        <v/>
      </c>
      <c r="R821" s="5" t="str">
        <f aca="false">IF(OR(A821="",P821="",Q821=""),"",P821*Q821)</f>
        <v/>
      </c>
      <c r="S821" s="5" t="str">
        <f aca="false">IF(R821="","",MAX(0,R821-G821))</f>
        <v/>
      </c>
      <c r="T821" s="21" t="str">
        <f aca="false">IF(S821="","",S821*K821)</f>
        <v/>
      </c>
      <c r="U821" s="5" t="str">
        <f aca="false">IF(A821="","",IF(J821&gt;Parâmetros!$C$14,"SIM","NAO"))</f>
        <v/>
      </c>
      <c r="V821" s="5" t="str">
        <f aca="false">IF(B821="","",TRIM(LEFT(B821,IFERROR(FIND(" ",B821)-1,LEN(B821)))))</f>
        <v/>
      </c>
      <c r="W821" s="22"/>
      <c r="X821" s="5" t="str">
        <f aca="false">IF(A821="","",IF(W821&lt;&gt;"",W821,V821))</f>
        <v/>
      </c>
      <c r="Y821" s="5" t="str">
        <f aca="false">IF(A821="","",IF(COUNTIFS($X$2:$X$2001,X821,$D$2:$D$2001,"&lt;&gt;"&amp;D821,$C$2:$C$2001,C821)&gt;0,"SIM","NAO"))</f>
        <v/>
      </c>
      <c r="Z821" s="5" t="str">
        <f aca="false">IF(A821="","",IF(J821="","",IFERROR(360/J821,"")))</f>
        <v/>
      </c>
      <c r="AA821" s="5" t="str">
        <f aca="false">IF(A821="","",IF(H821=0,"Parado (sem venda 90d)",IF(Z821&gt;12,"Alto (&gt;12x/ano)",IF(Z821&gt;=4,"Medio (4-12x/ano)","Baixo (&lt;4x/ano)"))))</f>
        <v/>
      </c>
    </row>
    <row r="822" customFormat="false" ht="15" hidden="false" customHeight="true" outlineLevel="0" collapsed="false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18"/>
      <c r="L822" s="19" t="str">
        <f aca="false">IF(A822="","",G822*K822)</f>
        <v/>
      </c>
      <c r="M822" s="20"/>
      <c r="N822" s="6"/>
      <c r="O822" s="6"/>
      <c r="P822" s="5" t="str">
        <f aca="false">IF(A822="","",H822/90)</f>
        <v/>
      </c>
      <c r="Q822" s="5" t="str">
        <f aca="false">IF(A822="","",IFERROR(INDEX(Parâmetros!$C$6:$C$10,MATCH(F822,Parâmetros!$B$6:$B$10,0)),""))</f>
        <v/>
      </c>
      <c r="R822" s="5" t="str">
        <f aca="false">IF(OR(A822="",P822="",Q822=""),"",P822*Q822)</f>
        <v/>
      </c>
      <c r="S822" s="5" t="str">
        <f aca="false">IF(R822="","",MAX(0,R822-G822))</f>
        <v/>
      </c>
      <c r="T822" s="21" t="str">
        <f aca="false">IF(S822="","",S822*K822)</f>
        <v/>
      </c>
      <c r="U822" s="5" t="str">
        <f aca="false">IF(A822="","",IF(J822&gt;Parâmetros!$C$14,"SIM","NAO"))</f>
        <v/>
      </c>
      <c r="V822" s="5" t="str">
        <f aca="false">IF(B822="","",TRIM(LEFT(B822,IFERROR(FIND(" ",B822)-1,LEN(B822)))))</f>
        <v/>
      </c>
      <c r="W822" s="22"/>
      <c r="X822" s="5" t="str">
        <f aca="false">IF(A822="","",IF(W822&lt;&gt;"",W822,V822))</f>
        <v/>
      </c>
      <c r="Y822" s="5" t="str">
        <f aca="false">IF(A822="","",IF(COUNTIFS($X$2:$X$2001,X822,$D$2:$D$2001,"&lt;&gt;"&amp;D822,$C$2:$C$2001,C822)&gt;0,"SIM","NAO"))</f>
        <v/>
      </c>
      <c r="Z822" s="5" t="str">
        <f aca="false">IF(A822="","",IF(J822="","",IFERROR(360/J822,"")))</f>
        <v/>
      </c>
      <c r="AA822" s="5" t="str">
        <f aca="false">IF(A822="","",IF(H822=0,"Parado (sem venda 90d)",IF(Z822&gt;12,"Alto (&gt;12x/ano)",IF(Z822&gt;=4,"Medio (4-12x/ano)","Baixo (&lt;4x/ano)"))))</f>
        <v/>
      </c>
    </row>
    <row r="823" customFormat="false" ht="15" hidden="false" customHeight="true" outlineLevel="0" collapsed="false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18"/>
      <c r="L823" s="19" t="str">
        <f aca="false">IF(A823="","",G823*K823)</f>
        <v/>
      </c>
      <c r="M823" s="20"/>
      <c r="N823" s="6"/>
      <c r="O823" s="6"/>
      <c r="P823" s="5" t="str">
        <f aca="false">IF(A823="","",H823/90)</f>
        <v/>
      </c>
      <c r="Q823" s="5" t="str">
        <f aca="false">IF(A823="","",IFERROR(INDEX(Parâmetros!$C$6:$C$10,MATCH(F823,Parâmetros!$B$6:$B$10,0)),""))</f>
        <v/>
      </c>
      <c r="R823" s="5" t="str">
        <f aca="false">IF(OR(A823="",P823="",Q823=""),"",P823*Q823)</f>
        <v/>
      </c>
      <c r="S823" s="5" t="str">
        <f aca="false">IF(R823="","",MAX(0,R823-G823))</f>
        <v/>
      </c>
      <c r="T823" s="21" t="str">
        <f aca="false">IF(S823="","",S823*K823)</f>
        <v/>
      </c>
      <c r="U823" s="5" t="str">
        <f aca="false">IF(A823="","",IF(J823&gt;Parâmetros!$C$14,"SIM","NAO"))</f>
        <v/>
      </c>
      <c r="V823" s="5" t="str">
        <f aca="false">IF(B823="","",TRIM(LEFT(B823,IFERROR(FIND(" ",B823)-1,LEN(B823)))))</f>
        <v/>
      </c>
      <c r="W823" s="22"/>
      <c r="X823" s="5" t="str">
        <f aca="false">IF(A823="","",IF(W823&lt;&gt;"",W823,V823))</f>
        <v/>
      </c>
      <c r="Y823" s="5" t="str">
        <f aca="false">IF(A823="","",IF(COUNTIFS($X$2:$X$2001,X823,$D$2:$D$2001,"&lt;&gt;"&amp;D823,$C$2:$C$2001,C823)&gt;0,"SIM","NAO"))</f>
        <v/>
      </c>
      <c r="Z823" s="5" t="str">
        <f aca="false">IF(A823="","",IF(J823="","",IFERROR(360/J823,"")))</f>
        <v/>
      </c>
      <c r="AA823" s="5" t="str">
        <f aca="false">IF(A823="","",IF(H823=0,"Parado (sem venda 90d)",IF(Z823&gt;12,"Alto (&gt;12x/ano)",IF(Z823&gt;=4,"Medio (4-12x/ano)","Baixo (&lt;4x/ano)"))))</f>
        <v/>
      </c>
    </row>
    <row r="824" customFormat="false" ht="15" hidden="false" customHeight="true" outlineLevel="0" collapsed="false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18"/>
      <c r="L824" s="19" t="str">
        <f aca="false">IF(A824="","",G824*K824)</f>
        <v/>
      </c>
      <c r="M824" s="20"/>
      <c r="N824" s="6"/>
      <c r="O824" s="6"/>
      <c r="P824" s="5" t="str">
        <f aca="false">IF(A824="","",H824/90)</f>
        <v/>
      </c>
      <c r="Q824" s="5" t="str">
        <f aca="false">IF(A824="","",IFERROR(INDEX(Parâmetros!$C$6:$C$10,MATCH(F824,Parâmetros!$B$6:$B$10,0)),""))</f>
        <v/>
      </c>
      <c r="R824" s="5" t="str">
        <f aca="false">IF(OR(A824="",P824="",Q824=""),"",P824*Q824)</f>
        <v/>
      </c>
      <c r="S824" s="5" t="str">
        <f aca="false">IF(R824="","",MAX(0,R824-G824))</f>
        <v/>
      </c>
      <c r="T824" s="21" t="str">
        <f aca="false">IF(S824="","",S824*K824)</f>
        <v/>
      </c>
      <c r="U824" s="5" t="str">
        <f aca="false">IF(A824="","",IF(J824&gt;Parâmetros!$C$14,"SIM","NAO"))</f>
        <v/>
      </c>
      <c r="V824" s="5" t="str">
        <f aca="false">IF(B824="","",TRIM(LEFT(B824,IFERROR(FIND(" ",B824)-1,LEN(B824)))))</f>
        <v/>
      </c>
      <c r="W824" s="22"/>
      <c r="X824" s="5" t="str">
        <f aca="false">IF(A824="","",IF(W824&lt;&gt;"",W824,V824))</f>
        <v/>
      </c>
      <c r="Y824" s="5" t="str">
        <f aca="false">IF(A824="","",IF(COUNTIFS($X$2:$X$2001,X824,$D$2:$D$2001,"&lt;&gt;"&amp;D824,$C$2:$C$2001,C824)&gt;0,"SIM","NAO"))</f>
        <v/>
      </c>
      <c r="Z824" s="5" t="str">
        <f aca="false">IF(A824="","",IF(J824="","",IFERROR(360/J824,"")))</f>
        <v/>
      </c>
      <c r="AA824" s="5" t="str">
        <f aca="false">IF(A824="","",IF(H824=0,"Parado (sem venda 90d)",IF(Z824&gt;12,"Alto (&gt;12x/ano)",IF(Z824&gt;=4,"Medio (4-12x/ano)","Baixo (&lt;4x/ano)"))))</f>
        <v/>
      </c>
    </row>
    <row r="825" customFormat="false" ht="15" hidden="false" customHeight="true" outlineLevel="0" collapsed="false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18"/>
      <c r="L825" s="19" t="str">
        <f aca="false">IF(A825="","",G825*K825)</f>
        <v/>
      </c>
      <c r="M825" s="20"/>
      <c r="N825" s="6"/>
      <c r="O825" s="6"/>
      <c r="P825" s="5" t="str">
        <f aca="false">IF(A825="","",H825/90)</f>
        <v/>
      </c>
      <c r="Q825" s="5" t="str">
        <f aca="false">IF(A825="","",IFERROR(INDEX(Parâmetros!$C$6:$C$10,MATCH(F825,Parâmetros!$B$6:$B$10,0)),""))</f>
        <v/>
      </c>
      <c r="R825" s="5" t="str">
        <f aca="false">IF(OR(A825="",P825="",Q825=""),"",P825*Q825)</f>
        <v/>
      </c>
      <c r="S825" s="5" t="str">
        <f aca="false">IF(R825="","",MAX(0,R825-G825))</f>
        <v/>
      </c>
      <c r="T825" s="21" t="str">
        <f aca="false">IF(S825="","",S825*K825)</f>
        <v/>
      </c>
      <c r="U825" s="5" t="str">
        <f aca="false">IF(A825="","",IF(J825&gt;Parâmetros!$C$14,"SIM","NAO"))</f>
        <v/>
      </c>
      <c r="V825" s="5" t="str">
        <f aca="false">IF(B825="","",TRIM(LEFT(B825,IFERROR(FIND(" ",B825)-1,LEN(B825)))))</f>
        <v/>
      </c>
      <c r="W825" s="22"/>
      <c r="X825" s="5" t="str">
        <f aca="false">IF(A825="","",IF(W825&lt;&gt;"",W825,V825))</f>
        <v/>
      </c>
      <c r="Y825" s="5" t="str">
        <f aca="false">IF(A825="","",IF(COUNTIFS($X$2:$X$2001,X825,$D$2:$D$2001,"&lt;&gt;"&amp;D825,$C$2:$C$2001,C825)&gt;0,"SIM","NAO"))</f>
        <v/>
      </c>
      <c r="Z825" s="5" t="str">
        <f aca="false">IF(A825="","",IF(J825="","",IFERROR(360/J825,"")))</f>
        <v/>
      </c>
      <c r="AA825" s="5" t="str">
        <f aca="false">IF(A825="","",IF(H825=0,"Parado (sem venda 90d)",IF(Z825&gt;12,"Alto (&gt;12x/ano)",IF(Z825&gt;=4,"Medio (4-12x/ano)","Baixo (&lt;4x/ano)"))))</f>
        <v/>
      </c>
    </row>
    <row r="826" customFormat="false" ht="15" hidden="false" customHeight="true" outlineLevel="0" collapsed="false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18"/>
      <c r="L826" s="19" t="str">
        <f aca="false">IF(A826="","",G826*K826)</f>
        <v/>
      </c>
      <c r="M826" s="20"/>
      <c r="N826" s="6"/>
      <c r="O826" s="6"/>
      <c r="P826" s="5" t="str">
        <f aca="false">IF(A826="","",H826/90)</f>
        <v/>
      </c>
      <c r="Q826" s="5" t="str">
        <f aca="false">IF(A826="","",IFERROR(INDEX(Parâmetros!$C$6:$C$10,MATCH(F826,Parâmetros!$B$6:$B$10,0)),""))</f>
        <v/>
      </c>
      <c r="R826" s="5" t="str">
        <f aca="false">IF(OR(A826="",P826="",Q826=""),"",P826*Q826)</f>
        <v/>
      </c>
      <c r="S826" s="5" t="str">
        <f aca="false">IF(R826="","",MAX(0,R826-G826))</f>
        <v/>
      </c>
      <c r="T826" s="21" t="str">
        <f aca="false">IF(S826="","",S826*K826)</f>
        <v/>
      </c>
      <c r="U826" s="5" t="str">
        <f aca="false">IF(A826="","",IF(J826&gt;Parâmetros!$C$14,"SIM","NAO"))</f>
        <v/>
      </c>
      <c r="V826" s="5" t="str">
        <f aca="false">IF(B826="","",TRIM(LEFT(B826,IFERROR(FIND(" ",B826)-1,LEN(B826)))))</f>
        <v/>
      </c>
      <c r="W826" s="22"/>
      <c r="X826" s="5" t="str">
        <f aca="false">IF(A826="","",IF(W826&lt;&gt;"",W826,V826))</f>
        <v/>
      </c>
      <c r="Y826" s="5" t="str">
        <f aca="false">IF(A826="","",IF(COUNTIFS($X$2:$X$2001,X826,$D$2:$D$2001,"&lt;&gt;"&amp;D826,$C$2:$C$2001,C826)&gt;0,"SIM","NAO"))</f>
        <v/>
      </c>
      <c r="Z826" s="5" t="str">
        <f aca="false">IF(A826="","",IF(J826="","",IFERROR(360/J826,"")))</f>
        <v/>
      </c>
      <c r="AA826" s="5" t="str">
        <f aca="false">IF(A826="","",IF(H826=0,"Parado (sem venda 90d)",IF(Z826&gt;12,"Alto (&gt;12x/ano)",IF(Z826&gt;=4,"Medio (4-12x/ano)","Baixo (&lt;4x/ano)"))))</f>
        <v/>
      </c>
    </row>
    <row r="827" customFormat="false" ht="15" hidden="false" customHeight="true" outlineLevel="0" collapsed="false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18"/>
      <c r="L827" s="19" t="str">
        <f aca="false">IF(A827="","",G827*K827)</f>
        <v/>
      </c>
      <c r="M827" s="20"/>
      <c r="N827" s="6"/>
      <c r="O827" s="6"/>
      <c r="P827" s="5" t="str">
        <f aca="false">IF(A827="","",H827/90)</f>
        <v/>
      </c>
      <c r="Q827" s="5" t="str">
        <f aca="false">IF(A827="","",IFERROR(INDEX(Parâmetros!$C$6:$C$10,MATCH(F827,Parâmetros!$B$6:$B$10,0)),""))</f>
        <v/>
      </c>
      <c r="R827" s="5" t="str">
        <f aca="false">IF(OR(A827="",P827="",Q827=""),"",P827*Q827)</f>
        <v/>
      </c>
      <c r="S827" s="5" t="str">
        <f aca="false">IF(R827="","",MAX(0,R827-G827))</f>
        <v/>
      </c>
      <c r="T827" s="21" t="str">
        <f aca="false">IF(S827="","",S827*K827)</f>
        <v/>
      </c>
      <c r="U827" s="5" t="str">
        <f aca="false">IF(A827="","",IF(J827&gt;Parâmetros!$C$14,"SIM","NAO"))</f>
        <v/>
      </c>
      <c r="V827" s="5" t="str">
        <f aca="false">IF(B827="","",TRIM(LEFT(B827,IFERROR(FIND(" ",B827)-1,LEN(B827)))))</f>
        <v/>
      </c>
      <c r="W827" s="22"/>
      <c r="X827" s="5" t="str">
        <f aca="false">IF(A827="","",IF(W827&lt;&gt;"",W827,V827))</f>
        <v/>
      </c>
      <c r="Y827" s="5" t="str">
        <f aca="false">IF(A827="","",IF(COUNTIFS($X$2:$X$2001,X827,$D$2:$D$2001,"&lt;&gt;"&amp;D827,$C$2:$C$2001,C827)&gt;0,"SIM","NAO"))</f>
        <v/>
      </c>
      <c r="Z827" s="5" t="str">
        <f aca="false">IF(A827="","",IF(J827="","",IFERROR(360/J827,"")))</f>
        <v/>
      </c>
      <c r="AA827" s="5" t="str">
        <f aca="false">IF(A827="","",IF(H827=0,"Parado (sem venda 90d)",IF(Z827&gt;12,"Alto (&gt;12x/ano)",IF(Z827&gt;=4,"Medio (4-12x/ano)","Baixo (&lt;4x/ano)"))))</f>
        <v/>
      </c>
    </row>
    <row r="828" customFormat="false" ht="15" hidden="false" customHeight="true" outlineLevel="0" collapsed="false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18"/>
      <c r="L828" s="19" t="str">
        <f aca="false">IF(A828="","",G828*K828)</f>
        <v/>
      </c>
      <c r="M828" s="20"/>
      <c r="N828" s="6"/>
      <c r="O828" s="6"/>
      <c r="P828" s="5" t="str">
        <f aca="false">IF(A828="","",H828/90)</f>
        <v/>
      </c>
      <c r="Q828" s="5" t="str">
        <f aca="false">IF(A828="","",IFERROR(INDEX(Parâmetros!$C$6:$C$10,MATCH(F828,Parâmetros!$B$6:$B$10,0)),""))</f>
        <v/>
      </c>
      <c r="R828" s="5" t="str">
        <f aca="false">IF(OR(A828="",P828="",Q828=""),"",P828*Q828)</f>
        <v/>
      </c>
      <c r="S828" s="5" t="str">
        <f aca="false">IF(R828="","",MAX(0,R828-G828))</f>
        <v/>
      </c>
      <c r="T828" s="21" t="str">
        <f aca="false">IF(S828="","",S828*K828)</f>
        <v/>
      </c>
      <c r="U828" s="5" t="str">
        <f aca="false">IF(A828="","",IF(J828&gt;Parâmetros!$C$14,"SIM","NAO"))</f>
        <v/>
      </c>
      <c r="V828" s="5" t="str">
        <f aca="false">IF(B828="","",TRIM(LEFT(B828,IFERROR(FIND(" ",B828)-1,LEN(B828)))))</f>
        <v/>
      </c>
      <c r="W828" s="22"/>
      <c r="X828" s="5" t="str">
        <f aca="false">IF(A828="","",IF(W828&lt;&gt;"",W828,V828))</f>
        <v/>
      </c>
      <c r="Y828" s="5" t="str">
        <f aca="false">IF(A828="","",IF(COUNTIFS($X$2:$X$2001,X828,$D$2:$D$2001,"&lt;&gt;"&amp;D828,$C$2:$C$2001,C828)&gt;0,"SIM","NAO"))</f>
        <v/>
      </c>
      <c r="Z828" s="5" t="str">
        <f aca="false">IF(A828="","",IF(J828="","",IFERROR(360/J828,"")))</f>
        <v/>
      </c>
      <c r="AA828" s="5" t="str">
        <f aca="false">IF(A828="","",IF(H828=0,"Parado (sem venda 90d)",IF(Z828&gt;12,"Alto (&gt;12x/ano)",IF(Z828&gt;=4,"Medio (4-12x/ano)","Baixo (&lt;4x/ano)"))))</f>
        <v/>
      </c>
    </row>
    <row r="829" customFormat="false" ht="15" hidden="false" customHeight="true" outlineLevel="0" collapsed="false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18"/>
      <c r="L829" s="19" t="str">
        <f aca="false">IF(A829="","",G829*K829)</f>
        <v/>
      </c>
      <c r="M829" s="20"/>
      <c r="N829" s="6"/>
      <c r="O829" s="6"/>
      <c r="P829" s="5" t="str">
        <f aca="false">IF(A829="","",H829/90)</f>
        <v/>
      </c>
      <c r="Q829" s="5" t="str">
        <f aca="false">IF(A829="","",IFERROR(INDEX(Parâmetros!$C$6:$C$10,MATCH(F829,Parâmetros!$B$6:$B$10,0)),""))</f>
        <v/>
      </c>
      <c r="R829" s="5" t="str">
        <f aca="false">IF(OR(A829="",P829="",Q829=""),"",P829*Q829)</f>
        <v/>
      </c>
      <c r="S829" s="5" t="str">
        <f aca="false">IF(R829="","",MAX(0,R829-G829))</f>
        <v/>
      </c>
      <c r="T829" s="21" t="str">
        <f aca="false">IF(S829="","",S829*K829)</f>
        <v/>
      </c>
      <c r="U829" s="5" t="str">
        <f aca="false">IF(A829="","",IF(J829&gt;Parâmetros!$C$14,"SIM","NAO"))</f>
        <v/>
      </c>
      <c r="V829" s="5" t="str">
        <f aca="false">IF(B829="","",TRIM(LEFT(B829,IFERROR(FIND(" ",B829)-1,LEN(B829)))))</f>
        <v/>
      </c>
      <c r="W829" s="22"/>
      <c r="X829" s="5" t="str">
        <f aca="false">IF(A829="","",IF(W829&lt;&gt;"",W829,V829))</f>
        <v/>
      </c>
      <c r="Y829" s="5" t="str">
        <f aca="false">IF(A829="","",IF(COUNTIFS($X$2:$X$2001,X829,$D$2:$D$2001,"&lt;&gt;"&amp;D829,$C$2:$C$2001,C829)&gt;0,"SIM","NAO"))</f>
        <v/>
      </c>
      <c r="Z829" s="5" t="str">
        <f aca="false">IF(A829="","",IF(J829="","",IFERROR(360/J829,"")))</f>
        <v/>
      </c>
      <c r="AA829" s="5" t="str">
        <f aca="false">IF(A829="","",IF(H829=0,"Parado (sem venda 90d)",IF(Z829&gt;12,"Alto (&gt;12x/ano)",IF(Z829&gt;=4,"Medio (4-12x/ano)","Baixo (&lt;4x/ano)"))))</f>
        <v/>
      </c>
    </row>
    <row r="830" customFormat="false" ht="15" hidden="false" customHeight="true" outlineLevel="0" collapsed="false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18"/>
      <c r="L830" s="19" t="str">
        <f aca="false">IF(A830="","",G830*K830)</f>
        <v/>
      </c>
      <c r="M830" s="20"/>
      <c r="N830" s="6"/>
      <c r="O830" s="6"/>
      <c r="P830" s="5" t="str">
        <f aca="false">IF(A830="","",H830/90)</f>
        <v/>
      </c>
      <c r="Q830" s="5" t="str">
        <f aca="false">IF(A830="","",IFERROR(INDEX(Parâmetros!$C$6:$C$10,MATCH(F830,Parâmetros!$B$6:$B$10,0)),""))</f>
        <v/>
      </c>
      <c r="R830" s="5" t="str">
        <f aca="false">IF(OR(A830="",P830="",Q830=""),"",P830*Q830)</f>
        <v/>
      </c>
      <c r="S830" s="5" t="str">
        <f aca="false">IF(R830="","",MAX(0,R830-G830))</f>
        <v/>
      </c>
      <c r="T830" s="21" t="str">
        <f aca="false">IF(S830="","",S830*K830)</f>
        <v/>
      </c>
      <c r="U830" s="5" t="str">
        <f aca="false">IF(A830="","",IF(J830&gt;Parâmetros!$C$14,"SIM","NAO"))</f>
        <v/>
      </c>
      <c r="V830" s="5" t="str">
        <f aca="false">IF(B830="","",TRIM(LEFT(B830,IFERROR(FIND(" ",B830)-1,LEN(B830)))))</f>
        <v/>
      </c>
      <c r="W830" s="22"/>
      <c r="X830" s="5" t="str">
        <f aca="false">IF(A830="","",IF(W830&lt;&gt;"",W830,V830))</f>
        <v/>
      </c>
      <c r="Y830" s="5" t="str">
        <f aca="false">IF(A830="","",IF(COUNTIFS($X$2:$X$2001,X830,$D$2:$D$2001,"&lt;&gt;"&amp;D830,$C$2:$C$2001,C830)&gt;0,"SIM","NAO"))</f>
        <v/>
      </c>
      <c r="Z830" s="5" t="str">
        <f aca="false">IF(A830="","",IF(J830="","",IFERROR(360/J830,"")))</f>
        <v/>
      </c>
      <c r="AA830" s="5" t="str">
        <f aca="false">IF(A830="","",IF(H830=0,"Parado (sem venda 90d)",IF(Z830&gt;12,"Alto (&gt;12x/ano)",IF(Z830&gt;=4,"Medio (4-12x/ano)","Baixo (&lt;4x/ano)"))))</f>
        <v/>
      </c>
    </row>
    <row r="831" customFormat="false" ht="15" hidden="false" customHeight="true" outlineLevel="0" collapsed="false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18"/>
      <c r="L831" s="19" t="str">
        <f aca="false">IF(A831="","",G831*K831)</f>
        <v/>
      </c>
      <c r="M831" s="20"/>
      <c r="N831" s="6"/>
      <c r="O831" s="6"/>
      <c r="P831" s="5" t="str">
        <f aca="false">IF(A831="","",H831/90)</f>
        <v/>
      </c>
      <c r="Q831" s="5" t="str">
        <f aca="false">IF(A831="","",IFERROR(INDEX(Parâmetros!$C$6:$C$10,MATCH(F831,Parâmetros!$B$6:$B$10,0)),""))</f>
        <v/>
      </c>
      <c r="R831" s="5" t="str">
        <f aca="false">IF(OR(A831="",P831="",Q831=""),"",P831*Q831)</f>
        <v/>
      </c>
      <c r="S831" s="5" t="str">
        <f aca="false">IF(R831="","",MAX(0,R831-G831))</f>
        <v/>
      </c>
      <c r="T831" s="21" t="str">
        <f aca="false">IF(S831="","",S831*K831)</f>
        <v/>
      </c>
      <c r="U831" s="5" t="str">
        <f aca="false">IF(A831="","",IF(J831&gt;Parâmetros!$C$14,"SIM","NAO"))</f>
        <v/>
      </c>
      <c r="V831" s="5" t="str">
        <f aca="false">IF(B831="","",TRIM(LEFT(B831,IFERROR(FIND(" ",B831)-1,LEN(B831)))))</f>
        <v/>
      </c>
      <c r="W831" s="22"/>
      <c r="X831" s="5" t="str">
        <f aca="false">IF(A831="","",IF(W831&lt;&gt;"",W831,V831))</f>
        <v/>
      </c>
      <c r="Y831" s="5" t="str">
        <f aca="false">IF(A831="","",IF(COUNTIFS($X$2:$X$2001,X831,$D$2:$D$2001,"&lt;&gt;"&amp;D831,$C$2:$C$2001,C831)&gt;0,"SIM","NAO"))</f>
        <v/>
      </c>
      <c r="Z831" s="5" t="str">
        <f aca="false">IF(A831="","",IF(J831="","",IFERROR(360/J831,"")))</f>
        <v/>
      </c>
      <c r="AA831" s="5" t="str">
        <f aca="false">IF(A831="","",IF(H831=0,"Parado (sem venda 90d)",IF(Z831&gt;12,"Alto (&gt;12x/ano)",IF(Z831&gt;=4,"Medio (4-12x/ano)","Baixo (&lt;4x/ano)"))))</f>
        <v/>
      </c>
    </row>
    <row r="832" customFormat="false" ht="15" hidden="false" customHeight="true" outlineLevel="0" collapsed="false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18"/>
      <c r="L832" s="19" t="str">
        <f aca="false">IF(A832="","",G832*K832)</f>
        <v/>
      </c>
      <c r="M832" s="20"/>
      <c r="N832" s="6"/>
      <c r="O832" s="6"/>
      <c r="P832" s="5" t="str">
        <f aca="false">IF(A832="","",H832/90)</f>
        <v/>
      </c>
      <c r="Q832" s="5" t="str">
        <f aca="false">IF(A832="","",IFERROR(INDEX(Parâmetros!$C$6:$C$10,MATCH(F832,Parâmetros!$B$6:$B$10,0)),""))</f>
        <v/>
      </c>
      <c r="R832" s="5" t="str">
        <f aca="false">IF(OR(A832="",P832="",Q832=""),"",P832*Q832)</f>
        <v/>
      </c>
      <c r="S832" s="5" t="str">
        <f aca="false">IF(R832="","",MAX(0,R832-G832))</f>
        <v/>
      </c>
      <c r="T832" s="21" t="str">
        <f aca="false">IF(S832="","",S832*K832)</f>
        <v/>
      </c>
      <c r="U832" s="5" t="str">
        <f aca="false">IF(A832="","",IF(J832&gt;Parâmetros!$C$14,"SIM","NAO"))</f>
        <v/>
      </c>
      <c r="V832" s="5" t="str">
        <f aca="false">IF(B832="","",TRIM(LEFT(B832,IFERROR(FIND(" ",B832)-1,LEN(B832)))))</f>
        <v/>
      </c>
      <c r="W832" s="22"/>
      <c r="X832" s="5" t="str">
        <f aca="false">IF(A832="","",IF(W832&lt;&gt;"",W832,V832))</f>
        <v/>
      </c>
      <c r="Y832" s="5" t="str">
        <f aca="false">IF(A832="","",IF(COUNTIFS($X$2:$X$2001,X832,$D$2:$D$2001,"&lt;&gt;"&amp;D832,$C$2:$C$2001,C832)&gt;0,"SIM","NAO"))</f>
        <v/>
      </c>
      <c r="Z832" s="5" t="str">
        <f aca="false">IF(A832="","",IF(J832="","",IFERROR(360/J832,"")))</f>
        <v/>
      </c>
      <c r="AA832" s="5" t="str">
        <f aca="false">IF(A832="","",IF(H832=0,"Parado (sem venda 90d)",IF(Z832&gt;12,"Alto (&gt;12x/ano)",IF(Z832&gt;=4,"Medio (4-12x/ano)","Baixo (&lt;4x/ano)"))))</f>
        <v/>
      </c>
    </row>
    <row r="833" customFormat="false" ht="15" hidden="false" customHeight="true" outlineLevel="0" collapsed="false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18"/>
      <c r="L833" s="19" t="str">
        <f aca="false">IF(A833="","",G833*K833)</f>
        <v/>
      </c>
      <c r="M833" s="20"/>
      <c r="N833" s="6"/>
      <c r="O833" s="6"/>
      <c r="P833" s="5" t="str">
        <f aca="false">IF(A833="","",H833/90)</f>
        <v/>
      </c>
      <c r="Q833" s="5" t="str">
        <f aca="false">IF(A833="","",IFERROR(INDEX(Parâmetros!$C$6:$C$10,MATCH(F833,Parâmetros!$B$6:$B$10,0)),""))</f>
        <v/>
      </c>
      <c r="R833" s="5" t="str">
        <f aca="false">IF(OR(A833="",P833="",Q833=""),"",P833*Q833)</f>
        <v/>
      </c>
      <c r="S833" s="5" t="str">
        <f aca="false">IF(R833="","",MAX(0,R833-G833))</f>
        <v/>
      </c>
      <c r="T833" s="21" t="str">
        <f aca="false">IF(S833="","",S833*K833)</f>
        <v/>
      </c>
      <c r="U833" s="5" t="str">
        <f aca="false">IF(A833="","",IF(J833&gt;Parâmetros!$C$14,"SIM","NAO"))</f>
        <v/>
      </c>
      <c r="V833" s="5" t="str">
        <f aca="false">IF(B833="","",TRIM(LEFT(B833,IFERROR(FIND(" ",B833)-1,LEN(B833)))))</f>
        <v/>
      </c>
      <c r="W833" s="22"/>
      <c r="X833" s="5" t="str">
        <f aca="false">IF(A833="","",IF(W833&lt;&gt;"",W833,V833))</f>
        <v/>
      </c>
      <c r="Y833" s="5" t="str">
        <f aca="false">IF(A833="","",IF(COUNTIFS($X$2:$X$2001,X833,$D$2:$D$2001,"&lt;&gt;"&amp;D833,$C$2:$C$2001,C833)&gt;0,"SIM","NAO"))</f>
        <v/>
      </c>
      <c r="Z833" s="5" t="str">
        <f aca="false">IF(A833="","",IF(J833="","",IFERROR(360/J833,"")))</f>
        <v/>
      </c>
      <c r="AA833" s="5" t="str">
        <f aca="false">IF(A833="","",IF(H833=0,"Parado (sem venda 90d)",IF(Z833&gt;12,"Alto (&gt;12x/ano)",IF(Z833&gt;=4,"Medio (4-12x/ano)","Baixo (&lt;4x/ano)"))))</f>
        <v/>
      </c>
    </row>
    <row r="834" customFormat="false" ht="15" hidden="false" customHeight="true" outlineLevel="0" collapsed="false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18"/>
      <c r="L834" s="19" t="str">
        <f aca="false">IF(A834="","",G834*K834)</f>
        <v/>
      </c>
      <c r="M834" s="20"/>
      <c r="N834" s="6"/>
      <c r="O834" s="6"/>
      <c r="P834" s="5" t="str">
        <f aca="false">IF(A834="","",H834/90)</f>
        <v/>
      </c>
      <c r="Q834" s="5" t="str">
        <f aca="false">IF(A834="","",IFERROR(INDEX(Parâmetros!$C$6:$C$10,MATCH(F834,Parâmetros!$B$6:$B$10,0)),""))</f>
        <v/>
      </c>
      <c r="R834" s="5" t="str">
        <f aca="false">IF(OR(A834="",P834="",Q834=""),"",P834*Q834)</f>
        <v/>
      </c>
      <c r="S834" s="5" t="str">
        <f aca="false">IF(R834="","",MAX(0,R834-G834))</f>
        <v/>
      </c>
      <c r="T834" s="21" t="str">
        <f aca="false">IF(S834="","",S834*K834)</f>
        <v/>
      </c>
      <c r="U834" s="5" t="str">
        <f aca="false">IF(A834="","",IF(J834&gt;Parâmetros!$C$14,"SIM","NAO"))</f>
        <v/>
      </c>
      <c r="V834" s="5" t="str">
        <f aca="false">IF(B834="","",TRIM(LEFT(B834,IFERROR(FIND(" ",B834)-1,LEN(B834)))))</f>
        <v/>
      </c>
      <c r="W834" s="22"/>
      <c r="X834" s="5" t="str">
        <f aca="false">IF(A834="","",IF(W834&lt;&gt;"",W834,V834))</f>
        <v/>
      </c>
      <c r="Y834" s="5" t="str">
        <f aca="false">IF(A834="","",IF(COUNTIFS($X$2:$X$2001,X834,$D$2:$D$2001,"&lt;&gt;"&amp;D834,$C$2:$C$2001,C834)&gt;0,"SIM","NAO"))</f>
        <v/>
      </c>
      <c r="Z834" s="5" t="str">
        <f aca="false">IF(A834="","",IF(J834="","",IFERROR(360/J834,"")))</f>
        <v/>
      </c>
      <c r="AA834" s="5" t="str">
        <f aca="false">IF(A834="","",IF(H834=0,"Parado (sem venda 90d)",IF(Z834&gt;12,"Alto (&gt;12x/ano)",IF(Z834&gt;=4,"Medio (4-12x/ano)","Baixo (&lt;4x/ano)"))))</f>
        <v/>
      </c>
    </row>
    <row r="835" customFormat="false" ht="15" hidden="false" customHeight="true" outlineLevel="0" collapsed="false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18"/>
      <c r="L835" s="19" t="str">
        <f aca="false">IF(A835="","",G835*K835)</f>
        <v/>
      </c>
      <c r="M835" s="20"/>
      <c r="N835" s="6"/>
      <c r="O835" s="6"/>
      <c r="P835" s="5" t="str">
        <f aca="false">IF(A835="","",H835/90)</f>
        <v/>
      </c>
      <c r="Q835" s="5" t="str">
        <f aca="false">IF(A835="","",IFERROR(INDEX(Parâmetros!$C$6:$C$10,MATCH(F835,Parâmetros!$B$6:$B$10,0)),""))</f>
        <v/>
      </c>
      <c r="R835" s="5" t="str">
        <f aca="false">IF(OR(A835="",P835="",Q835=""),"",P835*Q835)</f>
        <v/>
      </c>
      <c r="S835" s="5" t="str">
        <f aca="false">IF(R835="","",MAX(0,R835-G835))</f>
        <v/>
      </c>
      <c r="T835" s="21" t="str">
        <f aca="false">IF(S835="","",S835*K835)</f>
        <v/>
      </c>
      <c r="U835" s="5" t="str">
        <f aca="false">IF(A835="","",IF(J835&gt;Parâmetros!$C$14,"SIM","NAO"))</f>
        <v/>
      </c>
      <c r="V835" s="5" t="str">
        <f aca="false">IF(B835="","",TRIM(LEFT(B835,IFERROR(FIND(" ",B835)-1,LEN(B835)))))</f>
        <v/>
      </c>
      <c r="W835" s="22"/>
      <c r="X835" s="5" t="str">
        <f aca="false">IF(A835="","",IF(W835&lt;&gt;"",W835,V835))</f>
        <v/>
      </c>
      <c r="Y835" s="5" t="str">
        <f aca="false">IF(A835="","",IF(COUNTIFS($X$2:$X$2001,X835,$D$2:$D$2001,"&lt;&gt;"&amp;D835,$C$2:$C$2001,C835)&gt;0,"SIM","NAO"))</f>
        <v/>
      </c>
      <c r="Z835" s="5" t="str">
        <f aca="false">IF(A835="","",IF(J835="","",IFERROR(360/J835,"")))</f>
        <v/>
      </c>
      <c r="AA835" s="5" t="str">
        <f aca="false">IF(A835="","",IF(H835=0,"Parado (sem venda 90d)",IF(Z835&gt;12,"Alto (&gt;12x/ano)",IF(Z835&gt;=4,"Medio (4-12x/ano)","Baixo (&lt;4x/ano)"))))</f>
        <v/>
      </c>
    </row>
    <row r="836" customFormat="false" ht="15" hidden="false" customHeight="true" outlineLevel="0" collapsed="false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18"/>
      <c r="L836" s="19" t="str">
        <f aca="false">IF(A836="","",G836*K836)</f>
        <v/>
      </c>
      <c r="M836" s="20"/>
      <c r="N836" s="6"/>
      <c r="O836" s="6"/>
      <c r="P836" s="5" t="str">
        <f aca="false">IF(A836="","",H836/90)</f>
        <v/>
      </c>
      <c r="Q836" s="5" t="str">
        <f aca="false">IF(A836="","",IFERROR(INDEX(Parâmetros!$C$6:$C$10,MATCH(F836,Parâmetros!$B$6:$B$10,0)),""))</f>
        <v/>
      </c>
      <c r="R836" s="5" t="str">
        <f aca="false">IF(OR(A836="",P836="",Q836=""),"",P836*Q836)</f>
        <v/>
      </c>
      <c r="S836" s="5" t="str">
        <f aca="false">IF(R836="","",MAX(0,R836-G836))</f>
        <v/>
      </c>
      <c r="T836" s="21" t="str">
        <f aca="false">IF(S836="","",S836*K836)</f>
        <v/>
      </c>
      <c r="U836" s="5" t="str">
        <f aca="false">IF(A836="","",IF(J836&gt;Parâmetros!$C$14,"SIM","NAO"))</f>
        <v/>
      </c>
      <c r="V836" s="5" t="str">
        <f aca="false">IF(B836="","",TRIM(LEFT(B836,IFERROR(FIND(" ",B836)-1,LEN(B836)))))</f>
        <v/>
      </c>
      <c r="W836" s="22"/>
      <c r="X836" s="5" t="str">
        <f aca="false">IF(A836="","",IF(W836&lt;&gt;"",W836,V836))</f>
        <v/>
      </c>
      <c r="Y836" s="5" t="str">
        <f aca="false">IF(A836="","",IF(COUNTIFS($X$2:$X$2001,X836,$D$2:$D$2001,"&lt;&gt;"&amp;D836,$C$2:$C$2001,C836)&gt;0,"SIM","NAO"))</f>
        <v/>
      </c>
      <c r="Z836" s="5" t="str">
        <f aca="false">IF(A836="","",IF(J836="","",IFERROR(360/J836,"")))</f>
        <v/>
      </c>
      <c r="AA836" s="5" t="str">
        <f aca="false">IF(A836="","",IF(H836=0,"Parado (sem venda 90d)",IF(Z836&gt;12,"Alto (&gt;12x/ano)",IF(Z836&gt;=4,"Medio (4-12x/ano)","Baixo (&lt;4x/ano)"))))</f>
        <v/>
      </c>
    </row>
    <row r="837" customFormat="false" ht="15" hidden="false" customHeight="true" outlineLevel="0" collapsed="false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18"/>
      <c r="L837" s="19" t="str">
        <f aca="false">IF(A837="","",G837*K837)</f>
        <v/>
      </c>
      <c r="M837" s="20"/>
      <c r="N837" s="6"/>
      <c r="O837" s="6"/>
      <c r="P837" s="5" t="str">
        <f aca="false">IF(A837="","",H837/90)</f>
        <v/>
      </c>
      <c r="Q837" s="5" t="str">
        <f aca="false">IF(A837="","",IFERROR(INDEX(Parâmetros!$C$6:$C$10,MATCH(F837,Parâmetros!$B$6:$B$10,0)),""))</f>
        <v/>
      </c>
      <c r="R837" s="5" t="str">
        <f aca="false">IF(OR(A837="",P837="",Q837=""),"",P837*Q837)</f>
        <v/>
      </c>
      <c r="S837" s="5" t="str">
        <f aca="false">IF(R837="","",MAX(0,R837-G837))</f>
        <v/>
      </c>
      <c r="T837" s="21" t="str">
        <f aca="false">IF(S837="","",S837*K837)</f>
        <v/>
      </c>
      <c r="U837" s="5" t="str">
        <f aca="false">IF(A837="","",IF(J837&gt;Parâmetros!$C$14,"SIM","NAO"))</f>
        <v/>
      </c>
      <c r="V837" s="5" t="str">
        <f aca="false">IF(B837="","",TRIM(LEFT(B837,IFERROR(FIND(" ",B837)-1,LEN(B837)))))</f>
        <v/>
      </c>
      <c r="W837" s="22"/>
      <c r="X837" s="5" t="str">
        <f aca="false">IF(A837="","",IF(W837&lt;&gt;"",W837,V837))</f>
        <v/>
      </c>
      <c r="Y837" s="5" t="str">
        <f aca="false">IF(A837="","",IF(COUNTIFS($X$2:$X$2001,X837,$D$2:$D$2001,"&lt;&gt;"&amp;D837,$C$2:$C$2001,C837)&gt;0,"SIM","NAO"))</f>
        <v/>
      </c>
      <c r="Z837" s="5" t="str">
        <f aca="false">IF(A837="","",IF(J837="","",IFERROR(360/J837,"")))</f>
        <v/>
      </c>
      <c r="AA837" s="5" t="str">
        <f aca="false">IF(A837="","",IF(H837=0,"Parado (sem venda 90d)",IF(Z837&gt;12,"Alto (&gt;12x/ano)",IF(Z837&gt;=4,"Medio (4-12x/ano)","Baixo (&lt;4x/ano)"))))</f>
        <v/>
      </c>
    </row>
    <row r="838" customFormat="false" ht="15" hidden="false" customHeight="true" outlineLevel="0" collapsed="false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18"/>
      <c r="L838" s="19" t="str">
        <f aca="false">IF(A838="","",G838*K838)</f>
        <v/>
      </c>
      <c r="M838" s="20"/>
      <c r="N838" s="6"/>
      <c r="O838" s="6"/>
      <c r="P838" s="5" t="str">
        <f aca="false">IF(A838="","",H838/90)</f>
        <v/>
      </c>
      <c r="Q838" s="5" t="str">
        <f aca="false">IF(A838="","",IFERROR(INDEX(Parâmetros!$C$6:$C$10,MATCH(F838,Parâmetros!$B$6:$B$10,0)),""))</f>
        <v/>
      </c>
      <c r="R838" s="5" t="str">
        <f aca="false">IF(OR(A838="",P838="",Q838=""),"",P838*Q838)</f>
        <v/>
      </c>
      <c r="S838" s="5" t="str">
        <f aca="false">IF(R838="","",MAX(0,R838-G838))</f>
        <v/>
      </c>
      <c r="T838" s="21" t="str">
        <f aca="false">IF(S838="","",S838*K838)</f>
        <v/>
      </c>
      <c r="U838" s="5" t="str">
        <f aca="false">IF(A838="","",IF(J838&gt;Parâmetros!$C$14,"SIM","NAO"))</f>
        <v/>
      </c>
      <c r="V838" s="5" t="str">
        <f aca="false">IF(B838="","",TRIM(LEFT(B838,IFERROR(FIND(" ",B838)-1,LEN(B838)))))</f>
        <v/>
      </c>
      <c r="W838" s="22"/>
      <c r="X838" s="5" t="str">
        <f aca="false">IF(A838="","",IF(W838&lt;&gt;"",W838,V838))</f>
        <v/>
      </c>
      <c r="Y838" s="5" t="str">
        <f aca="false">IF(A838="","",IF(COUNTIFS($X$2:$X$2001,X838,$D$2:$D$2001,"&lt;&gt;"&amp;D838,$C$2:$C$2001,C838)&gt;0,"SIM","NAO"))</f>
        <v/>
      </c>
      <c r="Z838" s="5" t="str">
        <f aca="false">IF(A838="","",IF(J838="","",IFERROR(360/J838,"")))</f>
        <v/>
      </c>
      <c r="AA838" s="5" t="str">
        <f aca="false">IF(A838="","",IF(H838=0,"Parado (sem venda 90d)",IF(Z838&gt;12,"Alto (&gt;12x/ano)",IF(Z838&gt;=4,"Medio (4-12x/ano)","Baixo (&lt;4x/ano)"))))</f>
        <v/>
      </c>
    </row>
    <row r="839" customFormat="false" ht="15" hidden="false" customHeight="true" outlineLevel="0" collapsed="false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18"/>
      <c r="L839" s="19" t="str">
        <f aca="false">IF(A839="","",G839*K839)</f>
        <v/>
      </c>
      <c r="M839" s="20"/>
      <c r="N839" s="6"/>
      <c r="O839" s="6"/>
      <c r="P839" s="5" t="str">
        <f aca="false">IF(A839="","",H839/90)</f>
        <v/>
      </c>
      <c r="Q839" s="5" t="str">
        <f aca="false">IF(A839="","",IFERROR(INDEX(Parâmetros!$C$6:$C$10,MATCH(F839,Parâmetros!$B$6:$B$10,0)),""))</f>
        <v/>
      </c>
      <c r="R839" s="5" t="str">
        <f aca="false">IF(OR(A839="",P839="",Q839=""),"",P839*Q839)</f>
        <v/>
      </c>
      <c r="S839" s="5" t="str">
        <f aca="false">IF(R839="","",MAX(0,R839-G839))</f>
        <v/>
      </c>
      <c r="T839" s="21" t="str">
        <f aca="false">IF(S839="","",S839*K839)</f>
        <v/>
      </c>
      <c r="U839" s="5" t="str">
        <f aca="false">IF(A839="","",IF(J839&gt;Parâmetros!$C$14,"SIM","NAO"))</f>
        <v/>
      </c>
      <c r="V839" s="5" t="str">
        <f aca="false">IF(B839="","",TRIM(LEFT(B839,IFERROR(FIND(" ",B839)-1,LEN(B839)))))</f>
        <v/>
      </c>
      <c r="W839" s="22"/>
      <c r="X839" s="5" t="str">
        <f aca="false">IF(A839="","",IF(W839&lt;&gt;"",W839,V839))</f>
        <v/>
      </c>
      <c r="Y839" s="5" t="str">
        <f aca="false">IF(A839="","",IF(COUNTIFS($X$2:$X$2001,X839,$D$2:$D$2001,"&lt;&gt;"&amp;D839,$C$2:$C$2001,C839)&gt;0,"SIM","NAO"))</f>
        <v/>
      </c>
      <c r="Z839" s="5" t="str">
        <f aca="false">IF(A839="","",IF(J839="","",IFERROR(360/J839,"")))</f>
        <v/>
      </c>
      <c r="AA839" s="5" t="str">
        <f aca="false">IF(A839="","",IF(H839=0,"Parado (sem venda 90d)",IF(Z839&gt;12,"Alto (&gt;12x/ano)",IF(Z839&gt;=4,"Medio (4-12x/ano)","Baixo (&lt;4x/ano)"))))</f>
        <v/>
      </c>
    </row>
    <row r="840" customFormat="false" ht="15" hidden="false" customHeight="true" outlineLevel="0" collapsed="false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18"/>
      <c r="L840" s="19" t="str">
        <f aca="false">IF(A840="","",G840*K840)</f>
        <v/>
      </c>
      <c r="M840" s="20"/>
      <c r="N840" s="6"/>
      <c r="O840" s="6"/>
      <c r="P840" s="5" t="str">
        <f aca="false">IF(A840="","",H840/90)</f>
        <v/>
      </c>
      <c r="Q840" s="5" t="str">
        <f aca="false">IF(A840="","",IFERROR(INDEX(Parâmetros!$C$6:$C$10,MATCH(F840,Parâmetros!$B$6:$B$10,0)),""))</f>
        <v/>
      </c>
      <c r="R840" s="5" t="str">
        <f aca="false">IF(OR(A840="",P840="",Q840=""),"",P840*Q840)</f>
        <v/>
      </c>
      <c r="S840" s="5" t="str">
        <f aca="false">IF(R840="","",MAX(0,R840-G840))</f>
        <v/>
      </c>
      <c r="T840" s="21" t="str">
        <f aca="false">IF(S840="","",S840*K840)</f>
        <v/>
      </c>
      <c r="U840" s="5" t="str">
        <f aca="false">IF(A840="","",IF(J840&gt;Parâmetros!$C$14,"SIM","NAO"))</f>
        <v/>
      </c>
      <c r="V840" s="5" t="str">
        <f aca="false">IF(B840="","",TRIM(LEFT(B840,IFERROR(FIND(" ",B840)-1,LEN(B840)))))</f>
        <v/>
      </c>
      <c r="W840" s="22"/>
      <c r="X840" s="5" t="str">
        <f aca="false">IF(A840="","",IF(W840&lt;&gt;"",W840,V840))</f>
        <v/>
      </c>
      <c r="Y840" s="5" t="str">
        <f aca="false">IF(A840="","",IF(COUNTIFS($X$2:$X$2001,X840,$D$2:$D$2001,"&lt;&gt;"&amp;D840,$C$2:$C$2001,C840)&gt;0,"SIM","NAO"))</f>
        <v/>
      </c>
      <c r="Z840" s="5" t="str">
        <f aca="false">IF(A840="","",IF(J840="","",IFERROR(360/J840,"")))</f>
        <v/>
      </c>
      <c r="AA840" s="5" t="str">
        <f aca="false">IF(A840="","",IF(H840=0,"Parado (sem venda 90d)",IF(Z840&gt;12,"Alto (&gt;12x/ano)",IF(Z840&gt;=4,"Medio (4-12x/ano)","Baixo (&lt;4x/ano)"))))</f>
        <v/>
      </c>
    </row>
    <row r="841" customFormat="false" ht="15" hidden="false" customHeight="true" outlineLevel="0" collapsed="false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18"/>
      <c r="L841" s="19" t="str">
        <f aca="false">IF(A841="","",G841*K841)</f>
        <v/>
      </c>
      <c r="M841" s="20"/>
      <c r="N841" s="6"/>
      <c r="O841" s="6"/>
      <c r="P841" s="5" t="str">
        <f aca="false">IF(A841="","",H841/90)</f>
        <v/>
      </c>
      <c r="Q841" s="5" t="str">
        <f aca="false">IF(A841="","",IFERROR(INDEX(Parâmetros!$C$6:$C$10,MATCH(F841,Parâmetros!$B$6:$B$10,0)),""))</f>
        <v/>
      </c>
      <c r="R841" s="5" t="str">
        <f aca="false">IF(OR(A841="",P841="",Q841=""),"",P841*Q841)</f>
        <v/>
      </c>
      <c r="S841" s="5" t="str">
        <f aca="false">IF(R841="","",MAX(0,R841-G841))</f>
        <v/>
      </c>
      <c r="T841" s="21" t="str">
        <f aca="false">IF(S841="","",S841*K841)</f>
        <v/>
      </c>
      <c r="U841" s="5" t="str">
        <f aca="false">IF(A841="","",IF(J841&gt;Parâmetros!$C$14,"SIM","NAO"))</f>
        <v/>
      </c>
      <c r="V841" s="5" t="str">
        <f aca="false">IF(B841="","",TRIM(LEFT(B841,IFERROR(FIND(" ",B841)-1,LEN(B841)))))</f>
        <v/>
      </c>
      <c r="W841" s="22"/>
      <c r="X841" s="5" t="str">
        <f aca="false">IF(A841="","",IF(W841&lt;&gt;"",W841,V841))</f>
        <v/>
      </c>
      <c r="Y841" s="5" t="str">
        <f aca="false">IF(A841="","",IF(COUNTIFS($X$2:$X$2001,X841,$D$2:$D$2001,"&lt;&gt;"&amp;D841,$C$2:$C$2001,C841)&gt;0,"SIM","NAO"))</f>
        <v/>
      </c>
      <c r="Z841" s="5" t="str">
        <f aca="false">IF(A841="","",IF(J841="","",IFERROR(360/J841,"")))</f>
        <v/>
      </c>
      <c r="AA841" s="5" t="str">
        <f aca="false">IF(A841="","",IF(H841=0,"Parado (sem venda 90d)",IF(Z841&gt;12,"Alto (&gt;12x/ano)",IF(Z841&gt;=4,"Medio (4-12x/ano)","Baixo (&lt;4x/ano)"))))</f>
        <v/>
      </c>
    </row>
    <row r="842" customFormat="false" ht="15" hidden="false" customHeight="true" outlineLevel="0" collapsed="false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18"/>
      <c r="L842" s="19" t="str">
        <f aca="false">IF(A842="","",G842*K842)</f>
        <v/>
      </c>
      <c r="M842" s="20"/>
      <c r="N842" s="6"/>
      <c r="O842" s="6"/>
      <c r="P842" s="5" t="str">
        <f aca="false">IF(A842="","",H842/90)</f>
        <v/>
      </c>
      <c r="Q842" s="5" t="str">
        <f aca="false">IF(A842="","",IFERROR(INDEX(Parâmetros!$C$6:$C$10,MATCH(F842,Parâmetros!$B$6:$B$10,0)),""))</f>
        <v/>
      </c>
      <c r="R842" s="5" t="str">
        <f aca="false">IF(OR(A842="",P842="",Q842=""),"",P842*Q842)</f>
        <v/>
      </c>
      <c r="S842" s="5" t="str">
        <f aca="false">IF(R842="","",MAX(0,R842-G842))</f>
        <v/>
      </c>
      <c r="T842" s="21" t="str">
        <f aca="false">IF(S842="","",S842*K842)</f>
        <v/>
      </c>
      <c r="U842" s="5" t="str">
        <f aca="false">IF(A842="","",IF(J842&gt;Parâmetros!$C$14,"SIM","NAO"))</f>
        <v/>
      </c>
      <c r="V842" s="5" t="str">
        <f aca="false">IF(B842="","",TRIM(LEFT(B842,IFERROR(FIND(" ",B842)-1,LEN(B842)))))</f>
        <v/>
      </c>
      <c r="W842" s="22"/>
      <c r="X842" s="5" t="str">
        <f aca="false">IF(A842="","",IF(W842&lt;&gt;"",W842,V842))</f>
        <v/>
      </c>
      <c r="Y842" s="5" t="str">
        <f aca="false">IF(A842="","",IF(COUNTIFS($X$2:$X$2001,X842,$D$2:$D$2001,"&lt;&gt;"&amp;D842,$C$2:$C$2001,C842)&gt;0,"SIM","NAO"))</f>
        <v/>
      </c>
      <c r="Z842" s="5" t="str">
        <f aca="false">IF(A842="","",IF(J842="","",IFERROR(360/J842,"")))</f>
        <v/>
      </c>
      <c r="AA842" s="5" t="str">
        <f aca="false">IF(A842="","",IF(H842=0,"Parado (sem venda 90d)",IF(Z842&gt;12,"Alto (&gt;12x/ano)",IF(Z842&gt;=4,"Medio (4-12x/ano)","Baixo (&lt;4x/ano)"))))</f>
        <v/>
      </c>
    </row>
    <row r="843" customFormat="false" ht="15" hidden="false" customHeight="true" outlineLevel="0" collapsed="false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18"/>
      <c r="L843" s="19" t="str">
        <f aca="false">IF(A843="","",G843*K843)</f>
        <v/>
      </c>
      <c r="M843" s="20"/>
      <c r="N843" s="6"/>
      <c r="O843" s="6"/>
      <c r="P843" s="5" t="str">
        <f aca="false">IF(A843="","",H843/90)</f>
        <v/>
      </c>
      <c r="Q843" s="5" t="str">
        <f aca="false">IF(A843="","",IFERROR(INDEX(Parâmetros!$C$6:$C$10,MATCH(F843,Parâmetros!$B$6:$B$10,0)),""))</f>
        <v/>
      </c>
      <c r="R843" s="5" t="str">
        <f aca="false">IF(OR(A843="",P843="",Q843=""),"",P843*Q843)</f>
        <v/>
      </c>
      <c r="S843" s="5" t="str">
        <f aca="false">IF(R843="","",MAX(0,R843-G843))</f>
        <v/>
      </c>
      <c r="T843" s="21" t="str">
        <f aca="false">IF(S843="","",S843*K843)</f>
        <v/>
      </c>
      <c r="U843" s="5" t="str">
        <f aca="false">IF(A843="","",IF(J843&gt;Parâmetros!$C$14,"SIM","NAO"))</f>
        <v/>
      </c>
      <c r="V843" s="5" t="str">
        <f aca="false">IF(B843="","",TRIM(LEFT(B843,IFERROR(FIND(" ",B843)-1,LEN(B843)))))</f>
        <v/>
      </c>
      <c r="W843" s="22"/>
      <c r="X843" s="5" t="str">
        <f aca="false">IF(A843="","",IF(W843&lt;&gt;"",W843,V843))</f>
        <v/>
      </c>
      <c r="Y843" s="5" t="str">
        <f aca="false">IF(A843="","",IF(COUNTIFS($X$2:$X$2001,X843,$D$2:$D$2001,"&lt;&gt;"&amp;D843,$C$2:$C$2001,C843)&gt;0,"SIM","NAO"))</f>
        <v/>
      </c>
      <c r="Z843" s="5" t="str">
        <f aca="false">IF(A843="","",IF(J843="","",IFERROR(360/J843,"")))</f>
        <v/>
      </c>
      <c r="AA843" s="5" t="str">
        <f aca="false">IF(A843="","",IF(H843=0,"Parado (sem venda 90d)",IF(Z843&gt;12,"Alto (&gt;12x/ano)",IF(Z843&gt;=4,"Medio (4-12x/ano)","Baixo (&lt;4x/ano)"))))</f>
        <v/>
      </c>
    </row>
    <row r="844" customFormat="false" ht="15" hidden="false" customHeight="true" outlineLevel="0" collapsed="false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18"/>
      <c r="L844" s="19" t="str">
        <f aca="false">IF(A844="","",G844*K844)</f>
        <v/>
      </c>
      <c r="M844" s="20"/>
      <c r="N844" s="6"/>
      <c r="O844" s="6"/>
      <c r="P844" s="5" t="str">
        <f aca="false">IF(A844="","",H844/90)</f>
        <v/>
      </c>
      <c r="Q844" s="5" t="str">
        <f aca="false">IF(A844="","",IFERROR(INDEX(Parâmetros!$C$6:$C$10,MATCH(F844,Parâmetros!$B$6:$B$10,0)),""))</f>
        <v/>
      </c>
      <c r="R844" s="5" t="str">
        <f aca="false">IF(OR(A844="",P844="",Q844=""),"",P844*Q844)</f>
        <v/>
      </c>
      <c r="S844" s="5" t="str">
        <f aca="false">IF(R844="","",MAX(0,R844-G844))</f>
        <v/>
      </c>
      <c r="T844" s="21" t="str">
        <f aca="false">IF(S844="","",S844*K844)</f>
        <v/>
      </c>
      <c r="U844" s="5" t="str">
        <f aca="false">IF(A844="","",IF(J844&gt;Parâmetros!$C$14,"SIM","NAO"))</f>
        <v/>
      </c>
      <c r="V844" s="5" t="str">
        <f aca="false">IF(B844="","",TRIM(LEFT(B844,IFERROR(FIND(" ",B844)-1,LEN(B844)))))</f>
        <v/>
      </c>
      <c r="W844" s="22"/>
      <c r="X844" s="5" t="str">
        <f aca="false">IF(A844="","",IF(W844&lt;&gt;"",W844,V844))</f>
        <v/>
      </c>
      <c r="Y844" s="5" t="str">
        <f aca="false">IF(A844="","",IF(COUNTIFS($X$2:$X$2001,X844,$D$2:$D$2001,"&lt;&gt;"&amp;D844,$C$2:$C$2001,C844)&gt;0,"SIM","NAO"))</f>
        <v/>
      </c>
      <c r="Z844" s="5" t="str">
        <f aca="false">IF(A844="","",IF(J844="","",IFERROR(360/J844,"")))</f>
        <v/>
      </c>
      <c r="AA844" s="5" t="str">
        <f aca="false">IF(A844="","",IF(H844=0,"Parado (sem venda 90d)",IF(Z844&gt;12,"Alto (&gt;12x/ano)",IF(Z844&gt;=4,"Medio (4-12x/ano)","Baixo (&lt;4x/ano)"))))</f>
        <v/>
      </c>
    </row>
    <row r="845" customFormat="false" ht="15" hidden="false" customHeight="true" outlineLevel="0" collapsed="false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18"/>
      <c r="L845" s="19" t="str">
        <f aca="false">IF(A845="","",G845*K845)</f>
        <v/>
      </c>
      <c r="M845" s="20"/>
      <c r="N845" s="6"/>
      <c r="O845" s="6"/>
      <c r="P845" s="5" t="str">
        <f aca="false">IF(A845="","",H845/90)</f>
        <v/>
      </c>
      <c r="Q845" s="5" t="str">
        <f aca="false">IF(A845="","",IFERROR(INDEX(Parâmetros!$C$6:$C$10,MATCH(F845,Parâmetros!$B$6:$B$10,0)),""))</f>
        <v/>
      </c>
      <c r="R845" s="5" t="str">
        <f aca="false">IF(OR(A845="",P845="",Q845=""),"",P845*Q845)</f>
        <v/>
      </c>
      <c r="S845" s="5" t="str">
        <f aca="false">IF(R845="","",MAX(0,R845-G845))</f>
        <v/>
      </c>
      <c r="T845" s="21" t="str">
        <f aca="false">IF(S845="","",S845*K845)</f>
        <v/>
      </c>
      <c r="U845" s="5" t="str">
        <f aca="false">IF(A845="","",IF(J845&gt;Parâmetros!$C$14,"SIM","NAO"))</f>
        <v/>
      </c>
      <c r="V845" s="5" t="str">
        <f aca="false">IF(B845="","",TRIM(LEFT(B845,IFERROR(FIND(" ",B845)-1,LEN(B845)))))</f>
        <v/>
      </c>
      <c r="W845" s="22"/>
      <c r="X845" s="5" t="str">
        <f aca="false">IF(A845="","",IF(W845&lt;&gt;"",W845,V845))</f>
        <v/>
      </c>
      <c r="Y845" s="5" t="str">
        <f aca="false">IF(A845="","",IF(COUNTIFS($X$2:$X$2001,X845,$D$2:$D$2001,"&lt;&gt;"&amp;D845,$C$2:$C$2001,C845)&gt;0,"SIM","NAO"))</f>
        <v/>
      </c>
      <c r="Z845" s="5" t="str">
        <f aca="false">IF(A845="","",IF(J845="","",IFERROR(360/J845,"")))</f>
        <v/>
      </c>
      <c r="AA845" s="5" t="str">
        <f aca="false">IF(A845="","",IF(H845=0,"Parado (sem venda 90d)",IF(Z845&gt;12,"Alto (&gt;12x/ano)",IF(Z845&gt;=4,"Medio (4-12x/ano)","Baixo (&lt;4x/ano)"))))</f>
        <v/>
      </c>
    </row>
    <row r="846" customFormat="false" ht="15" hidden="false" customHeight="true" outlineLevel="0" collapsed="false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18"/>
      <c r="L846" s="19" t="str">
        <f aca="false">IF(A846="","",G846*K846)</f>
        <v/>
      </c>
      <c r="M846" s="20"/>
      <c r="N846" s="6"/>
      <c r="O846" s="6"/>
      <c r="P846" s="5" t="str">
        <f aca="false">IF(A846="","",H846/90)</f>
        <v/>
      </c>
      <c r="Q846" s="5" t="str">
        <f aca="false">IF(A846="","",IFERROR(INDEX(Parâmetros!$C$6:$C$10,MATCH(F846,Parâmetros!$B$6:$B$10,0)),""))</f>
        <v/>
      </c>
      <c r="R846" s="5" t="str">
        <f aca="false">IF(OR(A846="",P846="",Q846=""),"",P846*Q846)</f>
        <v/>
      </c>
      <c r="S846" s="5" t="str">
        <f aca="false">IF(R846="","",MAX(0,R846-G846))</f>
        <v/>
      </c>
      <c r="T846" s="21" t="str">
        <f aca="false">IF(S846="","",S846*K846)</f>
        <v/>
      </c>
      <c r="U846" s="5" t="str">
        <f aca="false">IF(A846="","",IF(J846&gt;Parâmetros!$C$14,"SIM","NAO"))</f>
        <v/>
      </c>
      <c r="V846" s="5" t="str">
        <f aca="false">IF(B846="","",TRIM(LEFT(B846,IFERROR(FIND(" ",B846)-1,LEN(B846)))))</f>
        <v/>
      </c>
      <c r="W846" s="22"/>
      <c r="X846" s="5" t="str">
        <f aca="false">IF(A846="","",IF(W846&lt;&gt;"",W846,V846))</f>
        <v/>
      </c>
      <c r="Y846" s="5" t="str">
        <f aca="false">IF(A846="","",IF(COUNTIFS($X$2:$X$2001,X846,$D$2:$D$2001,"&lt;&gt;"&amp;D846,$C$2:$C$2001,C846)&gt;0,"SIM","NAO"))</f>
        <v/>
      </c>
      <c r="Z846" s="5" t="str">
        <f aca="false">IF(A846="","",IF(J846="","",IFERROR(360/J846,"")))</f>
        <v/>
      </c>
      <c r="AA846" s="5" t="str">
        <f aca="false">IF(A846="","",IF(H846=0,"Parado (sem venda 90d)",IF(Z846&gt;12,"Alto (&gt;12x/ano)",IF(Z846&gt;=4,"Medio (4-12x/ano)","Baixo (&lt;4x/ano)"))))</f>
        <v/>
      </c>
    </row>
    <row r="847" customFormat="false" ht="15" hidden="false" customHeight="true" outlineLevel="0" collapsed="false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18"/>
      <c r="L847" s="19" t="str">
        <f aca="false">IF(A847="","",G847*K847)</f>
        <v/>
      </c>
      <c r="M847" s="20"/>
      <c r="N847" s="6"/>
      <c r="O847" s="6"/>
      <c r="P847" s="5" t="str">
        <f aca="false">IF(A847="","",H847/90)</f>
        <v/>
      </c>
      <c r="Q847" s="5" t="str">
        <f aca="false">IF(A847="","",IFERROR(INDEX(Parâmetros!$C$6:$C$10,MATCH(F847,Parâmetros!$B$6:$B$10,0)),""))</f>
        <v/>
      </c>
      <c r="R847" s="5" t="str">
        <f aca="false">IF(OR(A847="",P847="",Q847=""),"",P847*Q847)</f>
        <v/>
      </c>
      <c r="S847" s="5" t="str">
        <f aca="false">IF(R847="","",MAX(0,R847-G847))</f>
        <v/>
      </c>
      <c r="T847" s="21" t="str">
        <f aca="false">IF(S847="","",S847*K847)</f>
        <v/>
      </c>
      <c r="U847" s="5" t="str">
        <f aca="false">IF(A847="","",IF(J847&gt;Parâmetros!$C$14,"SIM","NAO"))</f>
        <v/>
      </c>
      <c r="V847" s="5" t="str">
        <f aca="false">IF(B847="","",TRIM(LEFT(B847,IFERROR(FIND(" ",B847)-1,LEN(B847)))))</f>
        <v/>
      </c>
      <c r="W847" s="22"/>
      <c r="X847" s="5" t="str">
        <f aca="false">IF(A847="","",IF(W847&lt;&gt;"",W847,V847))</f>
        <v/>
      </c>
      <c r="Y847" s="5" t="str">
        <f aca="false">IF(A847="","",IF(COUNTIFS($X$2:$X$2001,X847,$D$2:$D$2001,"&lt;&gt;"&amp;D847,$C$2:$C$2001,C847)&gt;0,"SIM","NAO"))</f>
        <v/>
      </c>
      <c r="Z847" s="5" t="str">
        <f aca="false">IF(A847="","",IF(J847="","",IFERROR(360/J847,"")))</f>
        <v/>
      </c>
      <c r="AA847" s="5" t="str">
        <f aca="false">IF(A847="","",IF(H847=0,"Parado (sem venda 90d)",IF(Z847&gt;12,"Alto (&gt;12x/ano)",IF(Z847&gt;=4,"Medio (4-12x/ano)","Baixo (&lt;4x/ano)"))))</f>
        <v/>
      </c>
    </row>
    <row r="848" customFormat="false" ht="15" hidden="false" customHeight="true" outlineLevel="0" collapsed="false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18"/>
      <c r="L848" s="19" t="str">
        <f aca="false">IF(A848="","",G848*K848)</f>
        <v/>
      </c>
      <c r="M848" s="20"/>
      <c r="N848" s="6"/>
      <c r="O848" s="6"/>
      <c r="P848" s="5" t="str">
        <f aca="false">IF(A848="","",H848/90)</f>
        <v/>
      </c>
      <c r="Q848" s="5" t="str">
        <f aca="false">IF(A848="","",IFERROR(INDEX(Parâmetros!$C$6:$C$10,MATCH(F848,Parâmetros!$B$6:$B$10,0)),""))</f>
        <v/>
      </c>
      <c r="R848" s="5" t="str">
        <f aca="false">IF(OR(A848="",P848="",Q848=""),"",P848*Q848)</f>
        <v/>
      </c>
      <c r="S848" s="5" t="str">
        <f aca="false">IF(R848="","",MAX(0,R848-G848))</f>
        <v/>
      </c>
      <c r="T848" s="21" t="str">
        <f aca="false">IF(S848="","",S848*K848)</f>
        <v/>
      </c>
      <c r="U848" s="5" t="str">
        <f aca="false">IF(A848="","",IF(J848&gt;Parâmetros!$C$14,"SIM","NAO"))</f>
        <v/>
      </c>
      <c r="V848" s="5" t="str">
        <f aca="false">IF(B848="","",TRIM(LEFT(B848,IFERROR(FIND(" ",B848)-1,LEN(B848)))))</f>
        <v/>
      </c>
      <c r="W848" s="22"/>
      <c r="X848" s="5" t="str">
        <f aca="false">IF(A848="","",IF(W848&lt;&gt;"",W848,V848))</f>
        <v/>
      </c>
      <c r="Y848" s="5" t="str">
        <f aca="false">IF(A848="","",IF(COUNTIFS($X$2:$X$2001,X848,$D$2:$D$2001,"&lt;&gt;"&amp;D848,$C$2:$C$2001,C848)&gt;0,"SIM","NAO"))</f>
        <v/>
      </c>
      <c r="Z848" s="5" t="str">
        <f aca="false">IF(A848="","",IF(J848="","",IFERROR(360/J848,"")))</f>
        <v/>
      </c>
      <c r="AA848" s="5" t="str">
        <f aca="false">IF(A848="","",IF(H848=0,"Parado (sem venda 90d)",IF(Z848&gt;12,"Alto (&gt;12x/ano)",IF(Z848&gt;=4,"Medio (4-12x/ano)","Baixo (&lt;4x/ano)"))))</f>
        <v/>
      </c>
    </row>
    <row r="849" customFormat="false" ht="15" hidden="false" customHeight="true" outlineLevel="0" collapsed="false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18"/>
      <c r="L849" s="19" t="str">
        <f aca="false">IF(A849="","",G849*K849)</f>
        <v/>
      </c>
      <c r="M849" s="20"/>
      <c r="N849" s="6"/>
      <c r="O849" s="6"/>
      <c r="P849" s="5" t="str">
        <f aca="false">IF(A849="","",H849/90)</f>
        <v/>
      </c>
      <c r="Q849" s="5" t="str">
        <f aca="false">IF(A849="","",IFERROR(INDEX(Parâmetros!$C$6:$C$10,MATCH(F849,Parâmetros!$B$6:$B$10,0)),""))</f>
        <v/>
      </c>
      <c r="R849" s="5" t="str">
        <f aca="false">IF(OR(A849="",P849="",Q849=""),"",P849*Q849)</f>
        <v/>
      </c>
      <c r="S849" s="5" t="str">
        <f aca="false">IF(R849="","",MAX(0,R849-G849))</f>
        <v/>
      </c>
      <c r="T849" s="21" t="str">
        <f aca="false">IF(S849="","",S849*K849)</f>
        <v/>
      </c>
      <c r="U849" s="5" t="str">
        <f aca="false">IF(A849="","",IF(J849&gt;Parâmetros!$C$14,"SIM","NAO"))</f>
        <v/>
      </c>
      <c r="V849" s="5" t="str">
        <f aca="false">IF(B849="","",TRIM(LEFT(B849,IFERROR(FIND(" ",B849)-1,LEN(B849)))))</f>
        <v/>
      </c>
      <c r="W849" s="22"/>
      <c r="X849" s="5" t="str">
        <f aca="false">IF(A849="","",IF(W849&lt;&gt;"",W849,V849))</f>
        <v/>
      </c>
      <c r="Y849" s="5" t="str">
        <f aca="false">IF(A849="","",IF(COUNTIFS($X$2:$X$2001,X849,$D$2:$D$2001,"&lt;&gt;"&amp;D849,$C$2:$C$2001,C849)&gt;0,"SIM","NAO"))</f>
        <v/>
      </c>
      <c r="Z849" s="5" t="str">
        <f aca="false">IF(A849="","",IF(J849="","",IFERROR(360/J849,"")))</f>
        <v/>
      </c>
      <c r="AA849" s="5" t="str">
        <f aca="false">IF(A849="","",IF(H849=0,"Parado (sem venda 90d)",IF(Z849&gt;12,"Alto (&gt;12x/ano)",IF(Z849&gt;=4,"Medio (4-12x/ano)","Baixo (&lt;4x/ano)"))))</f>
        <v/>
      </c>
    </row>
    <row r="850" customFormat="false" ht="15" hidden="false" customHeight="true" outlineLevel="0" collapsed="false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18"/>
      <c r="L850" s="19" t="str">
        <f aca="false">IF(A850="","",G850*K850)</f>
        <v/>
      </c>
      <c r="M850" s="20"/>
      <c r="N850" s="6"/>
      <c r="O850" s="6"/>
      <c r="P850" s="5" t="str">
        <f aca="false">IF(A850="","",H850/90)</f>
        <v/>
      </c>
      <c r="Q850" s="5" t="str">
        <f aca="false">IF(A850="","",IFERROR(INDEX(Parâmetros!$C$6:$C$10,MATCH(F850,Parâmetros!$B$6:$B$10,0)),""))</f>
        <v/>
      </c>
      <c r="R850" s="5" t="str">
        <f aca="false">IF(OR(A850="",P850="",Q850=""),"",P850*Q850)</f>
        <v/>
      </c>
      <c r="S850" s="5" t="str">
        <f aca="false">IF(R850="","",MAX(0,R850-G850))</f>
        <v/>
      </c>
      <c r="T850" s="21" t="str">
        <f aca="false">IF(S850="","",S850*K850)</f>
        <v/>
      </c>
      <c r="U850" s="5" t="str">
        <f aca="false">IF(A850="","",IF(J850&gt;Parâmetros!$C$14,"SIM","NAO"))</f>
        <v/>
      </c>
      <c r="V850" s="5" t="str">
        <f aca="false">IF(B850="","",TRIM(LEFT(B850,IFERROR(FIND(" ",B850)-1,LEN(B850)))))</f>
        <v/>
      </c>
      <c r="W850" s="22"/>
      <c r="X850" s="5" t="str">
        <f aca="false">IF(A850="","",IF(W850&lt;&gt;"",W850,V850))</f>
        <v/>
      </c>
      <c r="Y850" s="5" t="str">
        <f aca="false">IF(A850="","",IF(COUNTIFS($X$2:$X$2001,X850,$D$2:$D$2001,"&lt;&gt;"&amp;D850,$C$2:$C$2001,C850)&gt;0,"SIM","NAO"))</f>
        <v/>
      </c>
      <c r="Z850" s="5" t="str">
        <f aca="false">IF(A850="","",IF(J850="","",IFERROR(360/J850,"")))</f>
        <v/>
      </c>
      <c r="AA850" s="5" t="str">
        <f aca="false">IF(A850="","",IF(H850=0,"Parado (sem venda 90d)",IF(Z850&gt;12,"Alto (&gt;12x/ano)",IF(Z850&gt;=4,"Medio (4-12x/ano)","Baixo (&lt;4x/ano)"))))</f>
        <v/>
      </c>
    </row>
    <row r="851" customFormat="false" ht="15" hidden="false" customHeight="true" outlineLevel="0" collapsed="false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18"/>
      <c r="L851" s="19" t="str">
        <f aca="false">IF(A851="","",G851*K851)</f>
        <v/>
      </c>
      <c r="M851" s="20"/>
      <c r="N851" s="6"/>
      <c r="O851" s="6"/>
      <c r="P851" s="5" t="str">
        <f aca="false">IF(A851="","",H851/90)</f>
        <v/>
      </c>
      <c r="Q851" s="5" t="str">
        <f aca="false">IF(A851="","",IFERROR(INDEX(Parâmetros!$C$6:$C$10,MATCH(F851,Parâmetros!$B$6:$B$10,0)),""))</f>
        <v/>
      </c>
      <c r="R851" s="5" t="str">
        <f aca="false">IF(OR(A851="",P851="",Q851=""),"",P851*Q851)</f>
        <v/>
      </c>
      <c r="S851" s="5" t="str">
        <f aca="false">IF(R851="","",MAX(0,R851-G851))</f>
        <v/>
      </c>
      <c r="T851" s="21" t="str">
        <f aca="false">IF(S851="","",S851*K851)</f>
        <v/>
      </c>
      <c r="U851" s="5" t="str">
        <f aca="false">IF(A851="","",IF(J851&gt;Parâmetros!$C$14,"SIM","NAO"))</f>
        <v/>
      </c>
      <c r="V851" s="5" t="str">
        <f aca="false">IF(B851="","",TRIM(LEFT(B851,IFERROR(FIND(" ",B851)-1,LEN(B851)))))</f>
        <v/>
      </c>
      <c r="W851" s="22"/>
      <c r="X851" s="5" t="str">
        <f aca="false">IF(A851="","",IF(W851&lt;&gt;"",W851,V851))</f>
        <v/>
      </c>
      <c r="Y851" s="5" t="str">
        <f aca="false">IF(A851="","",IF(COUNTIFS($X$2:$X$2001,X851,$D$2:$D$2001,"&lt;&gt;"&amp;D851,$C$2:$C$2001,C851)&gt;0,"SIM","NAO"))</f>
        <v/>
      </c>
      <c r="Z851" s="5" t="str">
        <f aca="false">IF(A851="","",IF(J851="","",IFERROR(360/J851,"")))</f>
        <v/>
      </c>
      <c r="AA851" s="5" t="str">
        <f aca="false">IF(A851="","",IF(H851=0,"Parado (sem venda 90d)",IF(Z851&gt;12,"Alto (&gt;12x/ano)",IF(Z851&gt;=4,"Medio (4-12x/ano)","Baixo (&lt;4x/ano)"))))</f>
        <v/>
      </c>
    </row>
    <row r="852" customFormat="false" ht="15" hidden="false" customHeight="true" outlineLevel="0" collapsed="false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18"/>
      <c r="L852" s="19" t="str">
        <f aca="false">IF(A852="","",G852*K852)</f>
        <v/>
      </c>
      <c r="M852" s="20"/>
      <c r="N852" s="6"/>
      <c r="O852" s="6"/>
      <c r="P852" s="5" t="str">
        <f aca="false">IF(A852="","",H852/90)</f>
        <v/>
      </c>
      <c r="Q852" s="5" t="str">
        <f aca="false">IF(A852="","",IFERROR(INDEX(Parâmetros!$C$6:$C$10,MATCH(F852,Parâmetros!$B$6:$B$10,0)),""))</f>
        <v/>
      </c>
      <c r="R852" s="5" t="str">
        <f aca="false">IF(OR(A852="",P852="",Q852=""),"",P852*Q852)</f>
        <v/>
      </c>
      <c r="S852" s="5" t="str">
        <f aca="false">IF(R852="","",MAX(0,R852-G852))</f>
        <v/>
      </c>
      <c r="T852" s="21" t="str">
        <f aca="false">IF(S852="","",S852*K852)</f>
        <v/>
      </c>
      <c r="U852" s="5" t="str">
        <f aca="false">IF(A852="","",IF(J852&gt;Parâmetros!$C$14,"SIM","NAO"))</f>
        <v/>
      </c>
      <c r="V852" s="5" t="str">
        <f aca="false">IF(B852="","",TRIM(LEFT(B852,IFERROR(FIND(" ",B852)-1,LEN(B852)))))</f>
        <v/>
      </c>
      <c r="W852" s="22"/>
      <c r="X852" s="5" t="str">
        <f aca="false">IF(A852="","",IF(W852&lt;&gt;"",W852,V852))</f>
        <v/>
      </c>
      <c r="Y852" s="5" t="str">
        <f aca="false">IF(A852="","",IF(COUNTIFS($X$2:$X$2001,X852,$D$2:$D$2001,"&lt;&gt;"&amp;D852,$C$2:$C$2001,C852)&gt;0,"SIM","NAO"))</f>
        <v/>
      </c>
      <c r="Z852" s="5" t="str">
        <f aca="false">IF(A852="","",IF(J852="","",IFERROR(360/J852,"")))</f>
        <v/>
      </c>
      <c r="AA852" s="5" t="str">
        <f aca="false">IF(A852="","",IF(H852=0,"Parado (sem venda 90d)",IF(Z852&gt;12,"Alto (&gt;12x/ano)",IF(Z852&gt;=4,"Medio (4-12x/ano)","Baixo (&lt;4x/ano)"))))</f>
        <v/>
      </c>
    </row>
    <row r="853" customFormat="false" ht="15" hidden="false" customHeight="true" outlineLevel="0" collapsed="false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18"/>
      <c r="L853" s="19" t="str">
        <f aca="false">IF(A853="","",G853*K853)</f>
        <v/>
      </c>
      <c r="M853" s="20"/>
      <c r="N853" s="6"/>
      <c r="O853" s="6"/>
      <c r="P853" s="5" t="str">
        <f aca="false">IF(A853="","",H853/90)</f>
        <v/>
      </c>
      <c r="Q853" s="5" t="str">
        <f aca="false">IF(A853="","",IFERROR(INDEX(Parâmetros!$C$6:$C$10,MATCH(F853,Parâmetros!$B$6:$B$10,0)),""))</f>
        <v/>
      </c>
      <c r="R853" s="5" t="str">
        <f aca="false">IF(OR(A853="",P853="",Q853=""),"",P853*Q853)</f>
        <v/>
      </c>
      <c r="S853" s="5" t="str">
        <f aca="false">IF(R853="","",MAX(0,R853-G853))</f>
        <v/>
      </c>
      <c r="T853" s="21" t="str">
        <f aca="false">IF(S853="","",S853*K853)</f>
        <v/>
      </c>
      <c r="U853" s="5" t="str">
        <f aca="false">IF(A853="","",IF(J853&gt;Parâmetros!$C$14,"SIM","NAO"))</f>
        <v/>
      </c>
      <c r="V853" s="5" t="str">
        <f aca="false">IF(B853="","",TRIM(LEFT(B853,IFERROR(FIND(" ",B853)-1,LEN(B853)))))</f>
        <v/>
      </c>
      <c r="W853" s="22"/>
      <c r="X853" s="5" t="str">
        <f aca="false">IF(A853="","",IF(W853&lt;&gt;"",W853,V853))</f>
        <v/>
      </c>
      <c r="Y853" s="5" t="str">
        <f aca="false">IF(A853="","",IF(COUNTIFS($X$2:$X$2001,X853,$D$2:$D$2001,"&lt;&gt;"&amp;D853,$C$2:$C$2001,C853)&gt;0,"SIM","NAO"))</f>
        <v/>
      </c>
      <c r="Z853" s="5" t="str">
        <f aca="false">IF(A853="","",IF(J853="","",IFERROR(360/J853,"")))</f>
        <v/>
      </c>
      <c r="AA853" s="5" t="str">
        <f aca="false">IF(A853="","",IF(H853=0,"Parado (sem venda 90d)",IF(Z853&gt;12,"Alto (&gt;12x/ano)",IF(Z853&gt;=4,"Medio (4-12x/ano)","Baixo (&lt;4x/ano)"))))</f>
        <v/>
      </c>
    </row>
    <row r="854" customFormat="false" ht="15" hidden="false" customHeight="true" outlineLevel="0" collapsed="false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18"/>
      <c r="L854" s="19" t="str">
        <f aca="false">IF(A854="","",G854*K854)</f>
        <v/>
      </c>
      <c r="M854" s="20"/>
      <c r="N854" s="6"/>
      <c r="O854" s="6"/>
      <c r="P854" s="5" t="str">
        <f aca="false">IF(A854="","",H854/90)</f>
        <v/>
      </c>
      <c r="Q854" s="5" t="str">
        <f aca="false">IF(A854="","",IFERROR(INDEX(Parâmetros!$C$6:$C$10,MATCH(F854,Parâmetros!$B$6:$B$10,0)),""))</f>
        <v/>
      </c>
      <c r="R854" s="5" t="str">
        <f aca="false">IF(OR(A854="",P854="",Q854=""),"",P854*Q854)</f>
        <v/>
      </c>
      <c r="S854" s="5" t="str">
        <f aca="false">IF(R854="","",MAX(0,R854-G854))</f>
        <v/>
      </c>
      <c r="T854" s="21" t="str">
        <f aca="false">IF(S854="","",S854*K854)</f>
        <v/>
      </c>
      <c r="U854" s="5" t="str">
        <f aca="false">IF(A854="","",IF(J854&gt;Parâmetros!$C$14,"SIM","NAO"))</f>
        <v/>
      </c>
      <c r="V854" s="5" t="str">
        <f aca="false">IF(B854="","",TRIM(LEFT(B854,IFERROR(FIND(" ",B854)-1,LEN(B854)))))</f>
        <v/>
      </c>
      <c r="W854" s="22"/>
      <c r="X854" s="5" t="str">
        <f aca="false">IF(A854="","",IF(W854&lt;&gt;"",W854,V854))</f>
        <v/>
      </c>
      <c r="Y854" s="5" t="str">
        <f aca="false">IF(A854="","",IF(COUNTIFS($X$2:$X$2001,X854,$D$2:$D$2001,"&lt;&gt;"&amp;D854,$C$2:$C$2001,C854)&gt;0,"SIM","NAO"))</f>
        <v/>
      </c>
      <c r="Z854" s="5" t="str">
        <f aca="false">IF(A854="","",IF(J854="","",IFERROR(360/J854,"")))</f>
        <v/>
      </c>
      <c r="AA854" s="5" t="str">
        <f aca="false">IF(A854="","",IF(H854=0,"Parado (sem venda 90d)",IF(Z854&gt;12,"Alto (&gt;12x/ano)",IF(Z854&gt;=4,"Medio (4-12x/ano)","Baixo (&lt;4x/ano)"))))</f>
        <v/>
      </c>
    </row>
    <row r="855" customFormat="false" ht="15" hidden="false" customHeight="true" outlineLevel="0" collapsed="false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18"/>
      <c r="L855" s="19" t="str">
        <f aca="false">IF(A855="","",G855*K855)</f>
        <v/>
      </c>
      <c r="M855" s="20"/>
      <c r="N855" s="6"/>
      <c r="O855" s="6"/>
      <c r="P855" s="5" t="str">
        <f aca="false">IF(A855="","",H855/90)</f>
        <v/>
      </c>
      <c r="Q855" s="5" t="str">
        <f aca="false">IF(A855="","",IFERROR(INDEX(Parâmetros!$C$6:$C$10,MATCH(F855,Parâmetros!$B$6:$B$10,0)),""))</f>
        <v/>
      </c>
      <c r="R855" s="5" t="str">
        <f aca="false">IF(OR(A855="",P855="",Q855=""),"",P855*Q855)</f>
        <v/>
      </c>
      <c r="S855" s="5" t="str">
        <f aca="false">IF(R855="","",MAX(0,R855-G855))</f>
        <v/>
      </c>
      <c r="T855" s="21" t="str">
        <f aca="false">IF(S855="","",S855*K855)</f>
        <v/>
      </c>
      <c r="U855" s="5" t="str">
        <f aca="false">IF(A855="","",IF(J855&gt;Parâmetros!$C$14,"SIM","NAO"))</f>
        <v/>
      </c>
      <c r="V855" s="5" t="str">
        <f aca="false">IF(B855="","",TRIM(LEFT(B855,IFERROR(FIND(" ",B855)-1,LEN(B855)))))</f>
        <v/>
      </c>
      <c r="W855" s="22"/>
      <c r="X855" s="5" t="str">
        <f aca="false">IF(A855="","",IF(W855&lt;&gt;"",W855,V855))</f>
        <v/>
      </c>
      <c r="Y855" s="5" t="str">
        <f aca="false">IF(A855="","",IF(COUNTIFS($X$2:$X$2001,X855,$D$2:$D$2001,"&lt;&gt;"&amp;D855,$C$2:$C$2001,C855)&gt;0,"SIM","NAO"))</f>
        <v/>
      </c>
      <c r="Z855" s="5" t="str">
        <f aca="false">IF(A855="","",IF(J855="","",IFERROR(360/J855,"")))</f>
        <v/>
      </c>
      <c r="AA855" s="5" t="str">
        <f aca="false">IF(A855="","",IF(H855=0,"Parado (sem venda 90d)",IF(Z855&gt;12,"Alto (&gt;12x/ano)",IF(Z855&gt;=4,"Medio (4-12x/ano)","Baixo (&lt;4x/ano)"))))</f>
        <v/>
      </c>
    </row>
    <row r="856" customFormat="false" ht="15" hidden="false" customHeight="true" outlineLevel="0" collapsed="false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18"/>
      <c r="L856" s="19" t="str">
        <f aca="false">IF(A856="","",G856*K856)</f>
        <v/>
      </c>
      <c r="M856" s="20"/>
      <c r="N856" s="6"/>
      <c r="O856" s="6"/>
      <c r="P856" s="5" t="str">
        <f aca="false">IF(A856="","",H856/90)</f>
        <v/>
      </c>
      <c r="Q856" s="5" t="str">
        <f aca="false">IF(A856="","",IFERROR(INDEX(Parâmetros!$C$6:$C$10,MATCH(F856,Parâmetros!$B$6:$B$10,0)),""))</f>
        <v/>
      </c>
      <c r="R856" s="5" t="str">
        <f aca="false">IF(OR(A856="",P856="",Q856=""),"",P856*Q856)</f>
        <v/>
      </c>
      <c r="S856" s="5" t="str">
        <f aca="false">IF(R856="","",MAX(0,R856-G856))</f>
        <v/>
      </c>
      <c r="T856" s="21" t="str">
        <f aca="false">IF(S856="","",S856*K856)</f>
        <v/>
      </c>
      <c r="U856" s="5" t="str">
        <f aca="false">IF(A856="","",IF(J856&gt;Parâmetros!$C$14,"SIM","NAO"))</f>
        <v/>
      </c>
      <c r="V856" s="5" t="str">
        <f aca="false">IF(B856="","",TRIM(LEFT(B856,IFERROR(FIND(" ",B856)-1,LEN(B856)))))</f>
        <v/>
      </c>
      <c r="W856" s="22"/>
      <c r="X856" s="5" t="str">
        <f aca="false">IF(A856="","",IF(W856&lt;&gt;"",W856,V856))</f>
        <v/>
      </c>
      <c r="Y856" s="5" t="str">
        <f aca="false">IF(A856="","",IF(COUNTIFS($X$2:$X$2001,X856,$D$2:$D$2001,"&lt;&gt;"&amp;D856,$C$2:$C$2001,C856)&gt;0,"SIM","NAO"))</f>
        <v/>
      </c>
      <c r="Z856" s="5" t="str">
        <f aca="false">IF(A856="","",IF(J856="","",IFERROR(360/J856,"")))</f>
        <v/>
      </c>
      <c r="AA856" s="5" t="str">
        <f aca="false">IF(A856="","",IF(H856=0,"Parado (sem venda 90d)",IF(Z856&gt;12,"Alto (&gt;12x/ano)",IF(Z856&gt;=4,"Medio (4-12x/ano)","Baixo (&lt;4x/ano)"))))</f>
        <v/>
      </c>
    </row>
    <row r="857" customFormat="false" ht="15" hidden="false" customHeight="true" outlineLevel="0" collapsed="false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18"/>
      <c r="L857" s="19" t="str">
        <f aca="false">IF(A857="","",G857*K857)</f>
        <v/>
      </c>
      <c r="M857" s="20"/>
      <c r="N857" s="6"/>
      <c r="O857" s="6"/>
      <c r="P857" s="5" t="str">
        <f aca="false">IF(A857="","",H857/90)</f>
        <v/>
      </c>
      <c r="Q857" s="5" t="str">
        <f aca="false">IF(A857="","",IFERROR(INDEX(Parâmetros!$C$6:$C$10,MATCH(F857,Parâmetros!$B$6:$B$10,0)),""))</f>
        <v/>
      </c>
      <c r="R857" s="5" t="str">
        <f aca="false">IF(OR(A857="",P857="",Q857=""),"",P857*Q857)</f>
        <v/>
      </c>
      <c r="S857" s="5" t="str">
        <f aca="false">IF(R857="","",MAX(0,R857-G857))</f>
        <v/>
      </c>
      <c r="T857" s="21" t="str">
        <f aca="false">IF(S857="","",S857*K857)</f>
        <v/>
      </c>
      <c r="U857" s="5" t="str">
        <f aca="false">IF(A857="","",IF(J857&gt;Parâmetros!$C$14,"SIM","NAO"))</f>
        <v/>
      </c>
      <c r="V857" s="5" t="str">
        <f aca="false">IF(B857="","",TRIM(LEFT(B857,IFERROR(FIND(" ",B857)-1,LEN(B857)))))</f>
        <v/>
      </c>
      <c r="W857" s="22"/>
      <c r="X857" s="5" t="str">
        <f aca="false">IF(A857="","",IF(W857&lt;&gt;"",W857,V857))</f>
        <v/>
      </c>
      <c r="Y857" s="5" t="str">
        <f aca="false">IF(A857="","",IF(COUNTIFS($X$2:$X$2001,X857,$D$2:$D$2001,"&lt;&gt;"&amp;D857,$C$2:$C$2001,C857)&gt;0,"SIM","NAO"))</f>
        <v/>
      </c>
      <c r="Z857" s="5" t="str">
        <f aca="false">IF(A857="","",IF(J857="","",IFERROR(360/J857,"")))</f>
        <v/>
      </c>
      <c r="AA857" s="5" t="str">
        <f aca="false">IF(A857="","",IF(H857=0,"Parado (sem venda 90d)",IF(Z857&gt;12,"Alto (&gt;12x/ano)",IF(Z857&gt;=4,"Medio (4-12x/ano)","Baixo (&lt;4x/ano)"))))</f>
        <v/>
      </c>
    </row>
    <row r="858" customFormat="false" ht="15" hidden="false" customHeight="true" outlineLevel="0" collapsed="false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18"/>
      <c r="L858" s="19" t="str">
        <f aca="false">IF(A858="","",G858*K858)</f>
        <v/>
      </c>
      <c r="M858" s="20"/>
      <c r="N858" s="6"/>
      <c r="O858" s="6"/>
      <c r="P858" s="5" t="str">
        <f aca="false">IF(A858="","",H858/90)</f>
        <v/>
      </c>
      <c r="Q858" s="5" t="str">
        <f aca="false">IF(A858="","",IFERROR(INDEX(Parâmetros!$C$6:$C$10,MATCH(F858,Parâmetros!$B$6:$B$10,0)),""))</f>
        <v/>
      </c>
      <c r="R858" s="5" t="str">
        <f aca="false">IF(OR(A858="",P858="",Q858=""),"",P858*Q858)</f>
        <v/>
      </c>
      <c r="S858" s="5" t="str">
        <f aca="false">IF(R858="","",MAX(0,R858-G858))</f>
        <v/>
      </c>
      <c r="T858" s="21" t="str">
        <f aca="false">IF(S858="","",S858*K858)</f>
        <v/>
      </c>
      <c r="U858" s="5" t="str">
        <f aca="false">IF(A858="","",IF(J858&gt;Parâmetros!$C$14,"SIM","NAO"))</f>
        <v/>
      </c>
      <c r="V858" s="5" t="str">
        <f aca="false">IF(B858="","",TRIM(LEFT(B858,IFERROR(FIND(" ",B858)-1,LEN(B858)))))</f>
        <v/>
      </c>
      <c r="W858" s="22"/>
      <c r="X858" s="5" t="str">
        <f aca="false">IF(A858="","",IF(W858&lt;&gt;"",W858,V858))</f>
        <v/>
      </c>
      <c r="Y858" s="5" t="str">
        <f aca="false">IF(A858="","",IF(COUNTIFS($X$2:$X$2001,X858,$D$2:$D$2001,"&lt;&gt;"&amp;D858,$C$2:$C$2001,C858)&gt;0,"SIM","NAO"))</f>
        <v/>
      </c>
      <c r="Z858" s="5" t="str">
        <f aca="false">IF(A858="","",IF(J858="","",IFERROR(360/J858,"")))</f>
        <v/>
      </c>
      <c r="AA858" s="5" t="str">
        <f aca="false">IF(A858="","",IF(H858=0,"Parado (sem venda 90d)",IF(Z858&gt;12,"Alto (&gt;12x/ano)",IF(Z858&gt;=4,"Medio (4-12x/ano)","Baixo (&lt;4x/ano)"))))</f>
        <v/>
      </c>
    </row>
    <row r="859" customFormat="false" ht="15" hidden="false" customHeight="true" outlineLevel="0" collapsed="false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18"/>
      <c r="L859" s="19" t="str">
        <f aca="false">IF(A859="","",G859*K859)</f>
        <v/>
      </c>
      <c r="M859" s="20"/>
      <c r="N859" s="6"/>
      <c r="O859" s="6"/>
      <c r="P859" s="5" t="str">
        <f aca="false">IF(A859="","",H859/90)</f>
        <v/>
      </c>
      <c r="Q859" s="5" t="str">
        <f aca="false">IF(A859="","",IFERROR(INDEX(Parâmetros!$C$6:$C$10,MATCH(F859,Parâmetros!$B$6:$B$10,0)),""))</f>
        <v/>
      </c>
      <c r="R859" s="5" t="str">
        <f aca="false">IF(OR(A859="",P859="",Q859=""),"",P859*Q859)</f>
        <v/>
      </c>
      <c r="S859" s="5" t="str">
        <f aca="false">IF(R859="","",MAX(0,R859-G859))</f>
        <v/>
      </c>
      <c r="T859" s="21" t="str">
        <f aca="false">IF(S859="","",S859*K859)</f>
        <v/>
      </c>
      <c r="U859" s="5" t="str">
        <f aca="false">IF(A859="","",IF(J859&gt;Parâmetros!$C$14,"SIM","NAO"))</f>
        <v/>
      </c>
      <c r="V859" s="5" t="str">
        <f aca="false">IF(B859="","",TRIM(LEFT(B859,IFERROR(FIND(" ",B859)-1,LEN(B859)))))</f>
        <v/>
      </c>
      <c r="W859" s="22"/>
      <c r="X859" s="5" t="str">
        <f aca="false">IF(A859="","",IF(W859&lt;&gt;"",W859,V859))</f>
        <v/>
      </c>
      <c r="Y859" s="5" t="str">
        <f aca="false">IF(A859="","",IF(COUNTIFS($X$2:$X$2001,X859,$D$2:$D$2001,"&lt;&gt;"&amp;D859,$C$2:$C$2001,C859)&gt;0,"SIM","NAO"))</f>
        <v/>
      </c>
      <c r="Z859" s="5" t="str">
        <f aca="false">IF(A859="","",IF(J859="","",IFERROR(360/J859,"")))</f>
        <v/>
      </c>
      <c r="AA859" s="5" t="str">
        <f aca="false">IF(A859="","",IF(H859=0,"Parado (sem venda 90d)",IF(Z859&gt;12,"Alto (&gt;12x/ano)",IF(Z859&gt;=4,"Medio (4-12x/ano)","Baixo (&lt;4x/ano)"))))</f>
        <v/>
      </c>
    </row>
    <row r="860" customFormat="false" ht="15" hidden="false" customHeight="true" outlineLevel="0" collapsed="false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18"/>
      <c r="L860" s="19" t="str">
        <f aca="false">IF(A860="","",G860*K860)</f>
        <v/>
      </c>
      <c r="M860" s="20"/>
      <c r="N860" s="6"/>
      <c r="O860" s="6"/>
      <c r="P860" s="5" t="str">
        <f aca="false">IF(A860="","",H860/90)</f>
        <v/>
      </c>
      <c r="Q860" s="5" t="str">
        <f aca="false">IF(A860="","",IFERROR(INDEX(Parâmetros!$C$6:$C$10,MATCH(F860,Parâmetros!$B$6:$B$10,0)),""))</f>
        <v/>
      </c>
      <c r="R860" s="5" t="str">
        <f aca="false">IF(OR(A860="",P860="",Q860=""),"",P860*Q860)</f>
        <v/>
      </c>
      <c r="S860" s="5" t="str">
        <f aca="false">IF(R860="","",MAX(0,R860-G860))</f>
        <v/>
      </c>
      <c r="T860" s="21" t="str">
        <f aca="false">IF(S860="","",S860*K860)</f>
        <v/>
      </c>
      <c r="U860" s="5" t="str">
        <f aca="false">IF(A860="","",IF(J860&gt;Parâmetros!$C$14,"SIM","NAO"))</f>
        <v/>
      </c>
      <c r="V860" s="5" t="str">
        <f aca="false">IF(B860="","",TRIM(LEFT(B860,IFERROR(FIND(" ",B860)-1,LEN(B860)))))</f>
        <v/>
      </c>
      <c r="W860" s="22"/>
      <c r="X860" s="5" t="str">
        <f aca="false">IF(A860="","",IF(W860&lt;&gt;"",W860,V860))</f>
        <v/>
      </c>
      <c r="Y860" s="5" t="str">
        <f aca="false">IF(A860="","",IF(COUNTIFS($X$2:$X$2001,X860,$D$2:$D$2001,"&lt;&gt;"&amp;D860,$C$2:$C$2001,C860)&gt;0,"SIM","NAO"))</f>
        <v/>
      </c>
      <c r="Z860" s="5" t="str">
        <f aca="false">IF(A860="","",IF(J860="","",IFERROR(360/J860,"")))</f>
        <v/>
      </c>
      <c r="AA860" s="5" t="str">
        <f aca="false">IF(A860="","",IF(H860=0,"Parado (sem venda 90d)",IF(Z860&gt;12,"Alto (&gt;12x/ano)",IF(Z860&gt;=4,"Medio (4-12x/ano)","Baixo (&lt;4x/ano)"))))</f>
        <v/>
      </c>
    </row>
    <row r="861" customFormat="false" ht="15" hidden="false" customHeight="true" outlineLevel="0" collapsed="false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18"/>
      <c r="L861" s="19" t="str">
        <f aca="false">IF(A861="","",G861*K861)</f>
        <v/>
      </c>
      <c r="M861" s="20"/>
      <c r="N861" s="6"/>
      <c r="O861" s="6"/>
      <c r="P861" s="5" t="str">
        <f aca="false">IF(A861="","",H861/90)</f>
        <v/>
      </c>
      <c r="Q861" s="5" t="str">
        <f aca="false">IF(A861="","",IFERROR(INDEX(Parâmetros!$C$6:$C$10,MATCH(F861,Parâmetros!$B$6:$B$10,0)),""))</f>
        <v/>
      </c>
      <c r="R861" s="5" t="str">
        <f aca="false">IF(OR(A861="",P861="",Q861=""),"",P861*Q861)</f>
        <v/>
      </c>
      <c r="S861" s="5" t="str">
        <f aca="false">IF(R861="","",MAX(0,R861-G861))</f>
        <v/>
      </c>
      <c r="T861" s="21" t="str">
        <f aca="false">IF(S861="","",S861*K861)</f>
        <v/>
      </c>
      <c r="U861" s="5" t="str">
        <f aca="false">IF(A861="","",IF(J861&gt;Parâmetros!$C$14,"SIM","NAO"))</f>
        <v/>
      </c>
      <c r="V861" s="5" t="str">
        <f aca="false">IF(B861="","",TRIM(LEFT(B861,IFERROR(FIND(" ",B861)-1,LEN(B861)))))</f>
        <v/>
      </c>
      <c r="W861" s="22"/>
      <c r="X861" s="5" t="str">
        <f aca="false">IF(A861="","",IF(W861&lt;&gt;"",W861,V861))</f>
        <v/>
      </c>
      <c r="Y861" s="5" t="str">
        <f aca="false">IF(A861="","",IF(COUNTIFS($X$2:$X$2001,X861,$D$2:$D$2001,"&lt;&gt;"&amp;D861,$C$2:$C$2001,C861)&gt;0,"SIM","NAO"))</f>
        <v/>
      </c>
      <c r="Z861" s="5" t="str">
        <f aca="false">IF(A861="","",IF(J861="","",IFERROR(360/J861,"")))</f>
        <v/>
      </c>
      <c r="AA861" s="5" t="str">
        <f aca="false">IF(A861="","",IF(H861=0,"Parado (sem venda 90d)",IF(Z861&gt;12,"Alto (&gt;12x/ano)",IF(Z861&gt;=4,"Medio (4-12x/ano)","Baixo (&lt;4x/ano)"))))</f>
        <v/>
      </c>
    </row>
    <row r="862" customFormat="false" ht="15" hidden="false" customHeight="true" outlineLevel="0" collapsed="false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18"/>
      <c r="L862" s="19" t="str">
        <f aca="false">IF(A862="","",G862*K862)</f>
        <v/>
      </c>
      <c r="M862" s="20"/>
      <c r="N862" s="6"/>
      <c r="O862" s="6"/>
      <c r="P862" s="5" t="str">
        <f aca="false">IF(A862="","",H862/90)</f>
        <v/>
      </c>
      <c r="Q862" s="5" t="str">
        <f aca="false">IF(A862="","",IFERROR(INDEX(Parâmetros!$C$6:$C$10,MATCH(F862,Parâmetros!$B$6:$B$10,0)),""))</f>
        <v/>
      </c>
      <c r="R862" s="5" t="str">
        <f aca="false">IF(OR(A862="",P862="",Q862=""),"",P862*Q862)</f>
        <v/>
      </c>
      <c r="S862" s="5" t="str">
        <f aca="false">IF(R862="","",MAX(0,R862-G862))</f>
        <v/>
      </c>
      <c r="T862" s="21" t="str">
        <f aca="false">IF(S862="","",S862*K862)</f>
        <v/>
      </c>
      <c r="U862" s="5" t="str">
        <f aca="false">IF(A862="","",IF(J862&gt;Parâmetros!$C$14,"SIM","NAO"))</f>
        <v/>
      </c>
      <c r="V862" s="5" t="str">
        <f aca="false">IF(B862="","",TRIM(LEFT(B862,IFERROR(FIND(" ",B862)-1,LEN(B862)))))</f>
        <v/>
      </c>
      <c r="W862" s="22"/>
      <c r="X862" s="5" t="str">
        <f aca="false">IF(A862="","",IF(W862&lt;&gt;"",W862,V862))</f>
        <v/>
      </c>
      <c r="Y862" s="5" t="str">
        <f aca="false">IF(A862="","",IF(COUNTIFS($X$2:$X$2001,X862,$D$2:$D$2001,"&lt;&gt;"&amp;D862,$C$2:$C$2001,C862)&gt;0,"SIM","NAO"))</f>
        <v/>
      </c>
      <c r="Z862" s="5" t="str">
        <f aca="false">IF(A862="","",IF(J862="","",IFERROR(360/J862,"")))</f>
        <v/>
      </c>
      <c r="AA862" s="5" t="str">
        <f aca="false">IF(A862="","",IF(H862=0,"Parado (sem venda 90d)",IF(Z862&gt;12,"Alto (&gt;12x/ano)",IF(Z862&gt;=4,"Medio (4-12x/ano)","Baixo (&lt;4x/ano)"))))</f>
        <v/>
      </c>
    </row>
    <row r="863" customFormat="false" ht="15" hidden="false" customHeight="true" outlineLevel="0" collapsed="false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18"/>
      <c r="L863" s="19" t="str">
        <f aca="false">IF(A863="","",G863*K863)</f>
        <v/>
      </c>
      <c r="M863" s="20"/>
      <c r="N863" s="6"/>
      <c r="O863" s="6"/>
      <c r="P863" s="5" t="str">
        <f aca="false">IF(A863="","",H863/90)</f>
        <v/>
      </c>
      <c r="Q863" s="5" t="str">
        <f aca="false">IF(A863="","",IFERROR(INDEX(Parâmetros!$C$6:$C$10,MATCH(F863,Parâmetros!$B$6:$B$10,0)),""))</f>
        <v/>
      </c>
      <c r="R863" s="5" t="str">
        <f aca="false">IF(OR(A863="",P863="",Q863=""),"",P863*Q863)</f>
        <v/>
      </c>
      <c r="S863" s="5" t="str">
        <f aca="false">IF(R863="","",MAX(0,R863-G863))</f>
        <v/>
      </c>
      <c r="T863" s="21" t="str">
        <f aca="false">IF(S863="","",S863*K863)</f>
        <v/>
      </c>
      <c r="U863" s="5" t="str">
        <f aca="false">IF(A863="","",IF(J863&gt;Parâmetros!$C$14,"SIM","NAO"))</f>
        <v/>
      </c>
      <c r="V863" s="5" t="str">
        <f aca="false">IF(B863="","",TRIM(LEFT(B863,IFERROR(FIND(" ",B863)-1,LEN(B863)))))</f>
        <v/>
      </c>
      <c r="W863" s="22"/>
      <c r="X863" s="5" t="str">
        <f aca="false">IF(A863="","",IF(W863&lt;&gt;"",W863,V863))</f>
        <v/>
      </c>
      <c r="Y863" s="5" t="str">
        <f aca="false">IF(A863="","",IF(COUNTIFS($X$2:$X$2001,X863,$D$2:$D$2001,"&lt;&gt;"&amp;D863,$C$2:$C$2001,C863)&gt;0,"SIM","NAO"))</f>
        <v/>
      </c>
      <c r="Z863" s="5" t="str">
        <f aca="false">IF(A863="","",IF(J863="","",IFERROR(360/J863,"")))</f>
        <v/>
      </c>
      <c r="AA863" s="5" t="str">
        <f aca="false">IF(A863="","",IF(H863=0,"Parado (sem venda 90d)",IF(Z863&gt;12,"Alto (&gt;12x/ano)",IF(Z863&gt;=4,"Medio (4-12x/ano)","Baixo (&lt;4x/ano)"))))</f>
        <v/>
      </c>
    </row>
    <row r="864" customFormat="false" ht="15" hidden="false" customHeight="true" outlineLevel="0" collapsed="false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18"/>
      <c r="L864" s="19" t="str">
        <f aca="false">IF(A864="","",G864*K864)</f>
        <v/>
      </c>
      <c r="M864" s="20"/>
      <c r="N864" s="6"/>
      <c r="O864" s="6"/>
      <c r="P864" s="5" t="str">
        <f aca="false">IF(A864="","",H864/90)</f>
        <v/>
      </c>
      <c r="Q864" s="5" t="str">
        <f aca="false">IF(A864="","",IFERROR(INDEX(Parâmetros!$C$6:$C$10,MATCH(F864,Parâmetros!$B$6:$B$10,0)),""))</f>
        <v/>
      </c>
      <c r="R864" s="5" t="str">
        <f aca="false">IF(OR(A864="",P864="",Q864=""),"",P864*Q864)</f>
        <v/>
      </c>
      <c r="S864" s="5" t="str">
        <f aca="false">IF(R864="","",MAX(0,R864-G864))</f>
        <v/>
      </c>
      <c r="T864" s="21" t="str">
        <f aca="false">IF(S864="","",S864*K864)</f>
        <v/>
      </c>
      <c r="U864" s="5" t="str">
        <f aca="false">IF(A864="","",IF(J864&gt;Parâmetros!$C$14,"SIM","NAO"))</f>
        <v/>
      </c>
      <c r="V864" s="5" t="str">
        <f aca="false">IF(B864="","",TRIM(LEFT(B864,IFERROR(FIND(" ",B864)-1,LEN(B864)))))</f>
        <v/>
      </c>
      <c r="W864" s="22"/>
      <c r="X864" s="5" t="str">
        <f aca="false">IF(A864="","",IF(W864&lt;&gt;"",W864,V864))</f>
        <v/>
      </c>
      <c r="Y864" s="5" t="str">
        <f aca="false">IF(A864="","",IF(COUNTIFS($X$2:$X$2001,X864,$D$2:$D$2001,"&lt;&gt;"&amp;D864,$C$2:$C$2001,C864)&gt;0,"SIM","NAO"))</f>
        <v/>
      </c>
      <c r="Z864" s="5" t="str">
        <f aca="false">IF(A864="","",IF(J864="","",IFERROR(360/J864,"")))</f>
        <v/>
      </c>
      <c r="AA864" s="5" t="str">
        <f aca="false">IF(A864="","",IF(H864=0,"Parado (sem venda 90d)",IF(Z864&gt;12,"Alto (&gt;12x/ano)",IF(Z864&gt;=4,"Medio (4-12x/ano)","Baixo (&lt;4x/ano)"))))</f>
        <v/>
      </c>
    </row>
    <row r="865" customFormat="false" ht="15" hidden="false" customHeight="true" outlineLevel="0" collapsed="false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18"/>
      <c r="L865" s="19" t="str">
        <f aca="false">IF(A865="","",G865*K865)</f>
        <v/>
      </c>
      <c r="M865" s="20"/>
      <c r="N865" s="6"/>
      <c r="O865" s="6"/>
      <c r="P865" s="5" t="str">
        <f aca="false">IF(A865="","",H865/90)</f>
        <v/>
      </c>
      <c r="Q865" s="5" t="str">
        <f aca="false">IF(A865="","",IFERROR(INDEX(Parâmetros!$C$6:$C$10,MATCH(F865,Parâmetros!$B$6:$B$10,0)),""))</f>
        <v/>
      </c>
      <c r="R865" s="5" t="str">
        <f aca="false">IF(OR(A865="",P865="",Q865=""),"",P865*Q865)</f>
        <v/>
      </c>
      <c r="S865" s="5" t="str">
        <f aca="false">IF(R865="","",MAX(0,R865-G865))</f>
        <v/>
      </c>
      <c r="T865" s="21" t="str">
        <f aca="false">IF(S865="","",S865*K865)</f>
        <v/>
      </c>
      <c r="U865" s="5" t="str">
        <f aca="false">IF(A865="","",IF(J865&gt;Parâmetros!$C$14,"SIM","NAO"))</f>
        <v/>
      </c>
      <c r="V865" s="5" t="str">
        <f aca="false">IF(B865="","",TRIM(LEFT(B865,IFERROR(FIND(" ",B865)-1,LEN(B865)))))</f>
        <v/>
      </c>
      <c r="W865" s="22"/>
      <c r="X865" s="5" t="str">
        <f aca="false">IF(A865="","",IF(W865&lt;&gt;"",W865,V865))</f>
        <v/>
      </c>
      <c r="Y865" s="5" t="str">
        <f aca="false">IF(A865="","",IF(COUNTIFS($X$2:$X$2001,X865,$D$2:$D$2001,"&lt;&gt;"&amp;D865,$C$2:$C$2001,C865)&gt;0,"SIM","NAO"))</f>
        <v/>
      </c>
      <c r="Z865" s="5" t="str">
        <f aca="false">IF(A865="","",IF(J865="","",IFERROR(360/J865,"")))</f>
        <v/>
      </c>
      <c r="AA865" s="5" t="str">
        <f aca="false">IF(A865="","",IF(H865=0,"Parado (sem venda 90d)",IF(Z865&gt;12,"Alto (&gt;12x/ano)",IF(Z865&gt;=4,"Medio (4-12x/ano)","Baixo (&lt;4x/ano)"))))</f>
        <v/>
      </c>
    </row>
    <row r="866" customFormat="false" ht="15" hidden="false" customHeight="true" outlineLevel="0" collapsed="false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18"/>
      <c r="L866" s="19" t="str">
        <f aca="false">IF(A866="","",G866*K866)</f>
        <v/>
      </c>
      <c r="M866" s="20"/>
      <c r="N866" s="6"/>
      <c r="O866" s="6"/>
      <c r="P866" s="5" t="str">
        <f aca="false">IF(A866="","",H866/90)</f>
        <v/>
      </c>
      <c r="Q866" s="5" t="str">
        <f aca="false">IF(A866="","",IFERROR(INDEX(Parâmetros!$C$6:$C$10,MATCH(F866,Parâmetros!$B$6:$B$10,0)),""))</f>
        <v/>
      </c>
      <c r="R866" s="5" t="str">
        <f aca="false">IF(OR(A866="",P866="",Q866=""),"",P866*Q866)</f>
        <v/>
      </c>
      <c r="S866" s="5" t="str">
        <f aca="false">IF(R866="","",MAX(0,R866-G866))</f>
        <v/>
      </c>
      <c r="T866" s="21" t="str">
        <f aca="false">IF(S866="","",S866*K866)</f>
        <v/>
      </c>
      <c r="U866" s="5" t="str">
        <f aca="false">IF(A866="","",IF(J866&gt;Parâmetros!$C$14,"SIM","NAO"))</f>
        <v/>
      </c>
      <c r="V866" s="5" t="str">
        <f aca="false">IF(B866="","",TRIM(LEFT(B866,IFERROR(FIND(" ",B866)-1,LEN(B866)))))</f>
        <v/>
      </c>
      <c r="W866" s="22"/>
      <c r="X866" s="5" t="str">
        <f aca="false">IF(A866="","",IF(W866&lt;&gt;"",W866,V866))</f>
        <v/>
      </c>
      <c r="Y866" s="5" t="str">
        <f aca="false">IF(A866="","",IF(COUNTIFS($X$2:$X$2001,X866,$D$2:$D$2001,"&lt;&gt;"&amp;D866,$C$2:$C$2001,C866)&gt;0,"SIM","NAO"))</f>
        <v/>
      </c>
      <c r="Z866" s="5" t="str">
        <f aca="false">IF(A866="","",IF(J866="","",IFERROR(360/J866,"")))</f>
        <v/>
      </c>
      <c r="AA866" s="5" t="str">
        <f aca="false">IF(A866="","",IF(H866=0,"Parado (sem venda 90d)",IF(Z866&gt;12,"Alto (&gt;12x/ano)",IF(Z866&gt;=4,"Medio (4-12x/ano)","Baixo (&lt;4x/ano)"))))</f>
        <v/>
      </c>
    </row>
    <row r="867" customFormat="false" ht="15" hidden="false" customHeight="true" outlineLevel="0" collapsed="false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18"/>
      <c r="L867" s="19" t="str">
        <f aca="false">IF(A867="","",G867*K867)</f>
        <v/>
      </c>
      <c r="M867" s="20"/>
      <c r="N867" s="6"/>
      <c r="O867" s="6"/>
      <c r="P867" s="5" t="str">
        <f aca="false">IF(A867="","",H867/90)</f>
        <v/>
      </c>
      <c r="Q867" s="5" t="str">
        <f aca="false">IF(A867="","",IFERROR(INDEX(Parâmetros!$C$6:$C$10,MATCH(F867,Parâmetros!$B$6:$B$10,0)),""))</f>
        <v/>
      </c>
      <c r="R867" s="5" t="str">
        <f aca="false">IF(OR(A867="",P867="",Q867=""),"",P867*Q867)</f>
        <v/>
      </c>
      <c r="S867" s="5" t="str">
        <f aca="false">IF(R867="","",MAX(0,R867-G867))</f>
        <v/>
      </c>
      <c r="T867" s="21" t="str">
        <f aca="false">IF(S867="","",S867*K867)</f>
        <v/>
      </c>
      <c r="U867" s="5" t="str">
        <f aca="false">IF(A867="","",IF(J867&gt;Parâmetros!$C$14,"SIM","NAO"))</f>
        <v/>
      </c>
      <c r="V867" s="5" t="str">
        <f aca="false">IF(B867="","",TRIM(LEFT(B867,IFERROR(FIND(" ",B867)-1,LEN(B867)))))</f>
        <v/>
      </c>
      <c r="W867" s="22"/>
      <c r="X867" s="5" t="str">
        <f aca="false">IF(A867="","",IF(W867&lt;&gt;"",W867,V867))</f>
        <v/>
      </c>
      <c r="Y867" s="5" t="str">
        <f aca="false">IF(A867="","",IF(COUNTIFS($X$2:$X$2001,X867,$D$2:$D$2001,"&lt;&gt;"&amp;D867,$C$2:$C$2001,C867)&gt;0,"SIM","NAO"))</f>
        <v/>
      </c>
      <c r="Z867" s="5" t="str">
        <f aca="false">IF(A867="","",IF(J867="","",IFERROR(360/J867,"")))</f>
        <v/>
      </c>
      <c r="AA867" s="5" t="str">
        <f aca="false">IF(A867="","",IF(H867=0,"Parado (sem venda 90d)",IF(Z867&gt;12,"Alto (&gt;12x/ano)",IF(Z867&gt;=4,"Medio (4-12x/ano)","Baixo (&lt;4x/ano)"))))</f>
        <v/>
      </c>
    </row>
    <row r="868" customFormat="false" ht="15" hidden="false" customHeight="true" outlineLevel="0" collapsed="false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18"/>
      <c r="L868" s="19" t="str">
        <f aca="false">IF(A868="","",G868*K868)</f>
        <v/>
      </c>
      <c r="M868" s="20"/>
      <c r="N868" s="6"/>
      <c r="O868" s="6"/>
      <c r="P868" s="5" t="str">
        <f aca="false">IF(A868="","",H868/90)</f>
        <v/>
      </c>
      <c r="Q868" s="5" t="str">
        <f aca="false">IF(A868="","",IFERROR(INDEX(Parâmetros!$C$6:$C$10,MATCH(F868,Parâmetros!$B$6:$B$10,0)),""))</f>
        <v/>
      </c>
      <c r="R868" s="5" t="str">
        <f aca="false">IF(OR(A868="",P868="",Q868=""),"",P868*Q868)</f>
        <v/>
      </c>
      <c r="S868" s="5" t="str">
        <f aca="false">IF(R868="","",MAX(0,R868-G868))</f>
        <v/>
      </c>
      <c r="T868" s="21" t="str">
        <f aca="false">IF(S868="","",S868*K868)</f>
        <v/>
      </c>
      <c r="U868" s="5" t="str">
        <f aca="false">IF(A868="","",IF(J868&gt;Parâmetros!$C$14,"SIM","NAO"))</f>
        <v/>
      </c>
      <c r="V868" s="5" t="str">
        <f aca="false">IF(B868="","",TRIM(LEFT(B868,IFERROR(FIND(" ",B868)-1,LEN(B868)))))</f>
        <v/>
      </c>
      <c r="W868" s="22"/>
      <c r="X868" s="5" t="str">
        <f aca="false">IF(A868="","",IF(W868&lt;&gt;"",W868,V868))</f>
        <v/>
      </c>
      <c r="Y868" s="5" t="str">
        <f aca="false">IF(A868="","",IF(COUNTIFS($X$2:$X$2001,X868,$D$2:$D$2001,"&lt;&gt;"&amp;D868,$C$2:$C$2001,C868)&gt;0,"SIM","NAO"))</f>
        <v/>
      </c>
      <c r="Z868" s="5" t="str">
        <f aca="false">IF(A868="","",IF(J868="","",IFERROR(360/J868,"")))</f>
        <v/>
      </c>
      <c r="AA868" s="5" t="str">
        <f aca="false">IF(A868="","",IF(H868=0,"Parado (sem venda 90d)",IF(Z868&gt;12,"Alto (&gt;12x/ano)",IF(Z868&gt;=4,"Medio (4-12x/ano)","Baixo (&lt;4x/ano)"))))</f>
        <v/>
      </c>
    </row>
    <row r="869" customFormat="false" ht="15" hidden="false" customHeight="true" outlineLevel="0" collapsed="false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18"/>
      <c r="L869" s="19" t="str">
        <f aca="false">IF(A869="","",G869*K869)</f>
        <v/>
      </c>
      <c r="M869" s="20"/>
      <c r="N869" s="6"/>
      <c r="O869" s="6"/>
      <c r="P869" s="5" t="str">
        <f aca="false">IF(A869="","",H869/90)</f>
        <v/>
      </c>
      <c r="Q869" s="5" t="str">
        <f aca="false">IF(A869="","",IFERROR(INDEX(Parâmetros!$C$6:$C$10,MATCH(F869,Parâmetros!$B$6:$B$10,0)),""))</f>
        <v/>
      </c>
      <c r="R869" s="5" t="str">
        <f aca="false">IF(OR(A869="",P869="",Q869=""),"",P869*Q869)</f>
        <v/>
      </c>
      <c r="S869" s="5" t="str">
        <f aca="false">IF(R869="","",MAX(0,R869-G869))</f>
        <v/>
      </c>
      <c r="T869" s="21" t="str">
        <f aca="false">IF(S869="","",S869*K869)</f>
        <v/>
      </c>
      <c r="U869" s="5" t="str">
        <f aca="false">IF(A869="","",IF(J869&gt;Parâmetros!$C$14,"SIM","NAO"))</f>
        <v/>
      </c>
      <c r="V869" s="5" t="str">
        <f aca="false">IF(B869="","",TRIM(LEFT(B869,IFERROR(FIND(" ",B869)-1,LEN(B869)))))</f>
        <v/>
      </c>
      <c r="W869" s="22"/>
      <c r="X869" s="5" t="str">
        <f aca="false">IF(A869="","",IF(W869&lt;&gt;"",W869,V869))</f>
        <v/>
      </c>
      <c r="Y869" s="5" t="str">
        <f aca="false">IF(A869="","",IF(COUNTIFS($X$2:$X$2001,X869,$D$2:$D$2001,"&lt;&gt;"&amp;D869,$C$2:$C$2001,C869)&gt;0,"SIM","NAO"))</f>
        <v/>
      </c>
      <c r="Z869" s="5" t="str">
        <f aca="false">IF(A869="","",IF(J869="","",IFERROR(360/J869,"")))</f>
        <v/>
      </c>
      <c r="AA869" s="5" t="str">
        <f aca="false">IF(A869="","",IF(H869=0,"Parado (sem venda 90d)",IF(Z869&gt;12,"Alto (&gt;12x/ano)",IF(Z869&gt;=4,"Medio (4-12x/ano)","Baixo (&lt;4x/ano)"))))</f>
        <v/>
      </c>
    </row>
    <row r="870" customFormat="false" ht="15" hidden="false" customHeight="true" outlineLevel="0" collapsed="false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18"/>
      <c r="L870" s="19" t="str">
        <f aca="false">IF(A870="","",G870*K870)</f>
        <v/>
      </c>
      <c r="M870" s="20"/>
      <c r="N870" s="6"/>
      <c r="O870" s="6"/>
      <c r="P870" s="5" t="str">
        <f aca="false">IF(A870="","",H870/90)</f>
        <v/>
      </c>
      <c r="Q870" s="5" t="str">
        <f aca="false">IF(A870="","",IFERROR(INDEX(Parâmetros!$C$6:$C$10,MATCH(F870,Parâmetros!$B$6:$B$10,0)),""))</f>
        <v/>
      </c>
      <c r="R870" s="5" t="str">
        <f aca="false">IF(OR(A870="",P870="",Q870=""),"",P870*Q870)</f>
        <v/>
      </c>
      <c r="S870" s="5" t="str">
        <f aca="false">IF(R870="","",MAX(0,R870-G870))</f>
        <v/>
      </c>
      <c r="T870" s="21" t="str">
        <f aca="false">IF(S870="","",S870*K870)</f>
        <v/>
      </c>
      <c r="U870" s="5" t="str">
        <f aca="false">IF(A870="","",IF(J870&gt;Parâmetros!$C$14,"SIM","NAO"))</f>
        <v/>
      </c>
      <c r="V870" s="5" t="str">
        <f aca="false">IF(B870="","",TRIM(LEFT(B870,IFERROR(FIND(" ",B870)-1,LEN(B870)))))</f>
        <v/>
      </c>
      <c r="W870" s="22"/>
      <c r="X870" s="5" t="str">
        <f aca="false">IF(A870="","",IF(W870&lt;&gt;"",W870,V870))</f>
        <v/>
      </c>
      <c r="Y870" s="5" t="str">
        <f aca="false">IF(A870="","",IF(COUNTIFS($X$2:$X$2001,X870,$D$2:$D$2001,"&lt;&gt;"&amp;D870,$C$2:$C$2001,C870)&gt;0,"SIM","NAO"))</f>
        <v/>
      </c>
      <c r="Z870" s="5" t="str">
        <f aca="false">IF(A870="","",IF(J870="","",IFERROR(360/J870,"")))</f>
        <v/>
      </c>
      <c r="AA870" s="5" t="str">
        <f aca="false">IF(A870="","",IF(H870=0,"Parado (sem venda 90d)",IF(Z870&gt;12,"Alto (&gt;12x/ano)",IF(Z870&gt;=4,"Medio (4-12x/ano)","Baixo (&lt;4x/ano)"))))</f>
        <v/>
      </c>
    </row>
    <row r="871" customFormat="false" ht="15" hidden="false" customHeight="true" outlineLevel="0" collapsed="false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18"/>
      <c r="L871" s="19" t="str">
        <f aca="false">IF(A871="","",G871*K871)</f>
        <v/>
      </c>
      <c r="M871" s="20"/>
      <c r="N871" s="6"/>
      <c r="O871" s="6"/>
      <c r="P871" s="5" t="str">
        <f aca="false">IF(A871="","",H871/90)</f>
        <v/>
      </c>
      <c r="Q871" s="5" t="str">
        <f aca="false">IF(A871="","",IFERROR(INDEX(Parâmetros!$C$6:$C$10,MATCH(F871,Parâmetros!$B$6:$B$10,0)),""))</f>
        <v/>
      </c>
      <c r="R871" s="5" t="str">
        <f aca="false">IF(OR(A871="",P871="",Q871=""),"",P871*Q871)</f>
        <v/>
      </c>
      <c r="S871" s="5" t="str">
        <f aca="false">IF(R871="","",MAX(0,R871-G871))</f>
        <v/>
      </c>
      <c r="T871" s="21" t="str">
        <f aca="false">IF(S871="","",S871*K871)</f>
        <v/>
      </c>
      <c r="U871" s="5" t="str">
        <f aca="false">IF(A871="","",IF(J871&gt;Parâmetros!$C$14,"SIM","NAO"))</f>
        <v/>
      </c>
      <c r="V871" s="5" t="str">
        <f aca="false">IF(B871="","",TRIM(LEFT(B871,IFERROR(FIND(" ",B871)-1,LEN(B871)))))</f>
        <v/>
      </c>
      <c r="W871" s="22"/>
      <c r="X871" s="5" t="str">
        <f aca="false">IF(A871="","",IF(W871&lt;&gt;"",W871,V871))</f>
        <v/>
      </c>
      <c r="Y871" s="5" t="str">
        <f aca="false">IF(A871="","",IF(COUNTIFS($X$2:$X$2001,X871,$D$2:$D$2001,"&lt;&gt;"&amp;D871,$C$2:$C$2001,C871)&gt;0,"SIM","NAO"))</f>
        <v/>
      </c>
      <c r="Z871" s="5" t="str">
        <f aca="false">IF(A871="","",IF(J871="","",IFERROR(360/J871,"")))</f>
        <v/>
      </c>
      <c r="AA871" s="5" t="str">
        <f aca="false">IF(A871="","",IF(H871=0,"Parado (sem venda 90d)",IF(Z871&gt;12,"Alto (&gt;12x/ano)",IF(Z871&gt;=4,"Medio (4-12x/ano)","Baixo (&lt;4x/ano)"))))</f>
        <v/>
      </c>
    </row>
    <row r="872" customFormat="false" ht="15" hidden="false" customHeight="true" outlineLevel="0" collapsed="false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18"/>
      <c r="L872" s="19" t="str">
        <f aca="false">IF(A872="","",G872*K872)</f>
        <v/>
      </c>
      <c r="M872" s="20"/>
      <c r="N872" s="6"/>
      <c r="O872" s="6"/>
      <c r="P872" s="5" t="str">
        <f aca="false">IF(A872="","",H872/90)</f>
        <v/>
      </c>
      <c r="Q872" s="5" t="str">
        <f aca="false">IF(A872="","",IFERROR(INDEX(Parâmetros!$C$6:$C$10,MATCH(F872,Parâmetros!$B$6:$B$10,0)),""))</f>
        <v/>
      </c>
      <c r="R872" s="5" t="str">
        <f aca="false">IF(OR(A872="",P872="",Q872=""),"",P872*Q872)</f>
        <v/>
      </c>
      <c r="S872" s="5" t="str">
        <f aca="false">IF(R872="","",MAX(0,R872-G872))</f>
        <v/>
      </c>
      <c r="T872" s="21" t="str">
        <f aca="false">IF(S872="","",S872*K872)</f>
        <v/>
      </c>
      <c r="U872" s="5" t="str">
        <f aca="false">IF(A872="","",IF(J872&gt;Parâmetros!$C$14,"SIM","NAO"))</f>
        <v/>
      </c>
      <c r="V872" s="5" t="str">
        <f aca="false">IF(B872="","",TRIM(LEFT(B872,IFERROR(FIND(" ",B872)-1,LEN(B872)))))</f>
        <v/>
      </c>
      <c r="W872" s="22"/>
      <c r="X872" s="5" t="str">
        <f aca="false">IF(A872="","",IF(W872&lt;&gt;"",W872,V872))</f>
        <v/>
      </c>
      <c r="Y872" s="5" t="str">
        <f aca="false">IF(A872="","",IF(COUNTIFS($X$2:$X$2001,X872,$D$2:$D$2001,"&lt;&gt;"&amp;D872,$C$2:$C$2001,C872)&gt;0,"SIM","NAO"))</f>
        <v/>
      </c>
      <c r="Z872" s="5" t="str">
        <f aca="false">IF(A872="","",IF(J872="","",IFERROR(360/J872,"")))</f>
        <v/>
      </c>
      <c r="AA872" s="5" t="str">
        <f aca="false">IF(A872="","",IF(H872=0,"Parado (sem venda 90d)",IF(Z872&gt;12,"Alto (&gt;12x/ano)",IF(Z872&gt;=4,"Medio (4-12x/ano)","Baixo (&lt;4x/ano)"))))</f>
        <v/>
      </c>
    </row>
    <row r="873" customFormat="false" ht="15" hidden="false" customHeight="true" outlineLevel="0" collapsed="false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18"/>
      <c r="L873" s="19" t="str">
        <f aca="false">IF(A873="","",G873*K873)</f>
        <v/>
      </c>
      <c r="M873" s="20"/>
      <c r="N873" s="6"/>
      <c r="O873" s="6"/>
      <c r="P873" s="5" t="str">
        <f aca="false">IF(A873="","",H873/90)</f>
        <v/>
      </c>
      <c r="Q873" s="5" t="str">
        <f aca="false">IF(A873="","",IFERROR(INDEX(Parâmetros!$C$6:$C$10,MATCH(F873,Parâmetros!$B$6:$B$10,0)),""))</f>
        <v/>
      </c>
      <c r="R873" s="5" t="str">
        <f aca="false">IF(OR(A873="",P873="",Q873=""),"",P873*Q873)</f>
        <v/>
      </c>
      <c r="S873" s="5" t="str">
        <f aca="false">IF(R873="","",MAX(0,R873-G873))</f>
        <v/>
      </c>
      <c r="T873" s="21" t="str">
        <f aca="false">IF(S873="","",S873*K873)</f>
        <v/>
      </c>
      <c r="U873" s="5" t="str">
        <f aca="false">IF(A873="","",IF(J873&gt;Parâmetros!$C$14,"SIM","NAO"))</f>
        <v/>
      </c>
      <c r="V873" s="5" t="str">
        <f aca="false">IF(B873="","",TRIM(LEFT(B873,IFERROR(FIND(" ",B873)-1,LEN(B873)))))</f>
        <v/>
      </c>
      <c r="W873" s="22"/>
      <c r="X873" s="5" t="str">
        <f aca="false">IF(A873="","",IF(W873&lt;&gt;"",W873,V873))</f>
        <v/>
      </c>
      <c r="Y873" s="5" t="str">
        <f aca="false">IF(A873="","",IF(COUNTIFS($X$2:$X$2001,X873,$D$2:$D$2001,"&lt;&gt;"&amp;D873,$C$2:$C$2001,C873)&gt;0,"SIM","NAO"))</f>
        <v/>
      </c>
      <c r="Z873" s="5" t="str">
        <f aca="false">IF(A873="","",IF(J873="","",IFERROR(360/J873,"")))</f>
        <v/>
      </c>
      <c r="AA873" s="5" t="str">
        <f aca="false">IF(A873="","",IF(H873=0,"Parado (sem venda 90d)",IF(Z873&gt;12,"Alto (&gt;12x/ano)",IF(Z873&gt;=4,"Medio (4-12x/ano)","Baixo (&lt;4x/ano)"))))</f>
        <v/>
      </c>
    </row>
    <row r="874" customFormat="false" ht="15" hidden="false" customHeight="true" outlineLevel="0" collapsed="false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18"/>
      <c r="L874" s="19" t="str">
        <f aca="false">IF(A874="","",G874*K874)</f>
        <v/>
      </c>
      <c r="M874" s="20"/>
      <c r="N874" s="6"/>
      <c r="O874" s="6"/>
      <c r="P874" s="5" t="str">
        <f aca="false">IF(A874="","",H874/90)</f>
        <v/>
      </c>
      <c r="Q874" s="5" t="str">
        <f aca="false">IF(A874="","",IFERROR(INDEX(Parâmetros!$C$6:$C$10,MATCH(F874,Parâmetros!$B$6:$B$10,0)),""))</f>
        <v/>
      </c>
      <c r="R874" s="5" t="str">
        <f aca="false">IF(OR(A874="",P874="",Q874=""),"",P874*Q874)</f>
        <v/>
      </c>
      <c r="S874" s="5" t="str">
        <f aca="false">IF(R874="","",MAX(0,R874-G874))</f>
        <v/>
      </c>
      <c r="T874" s="21" t="str">
        <f aca="false">IF(S874="","",S874*K874)</f>
        <v/>
      </c>
      <c r="U874" s="5" t="str">
        <f aca="false">IF(A874="","",IF(J874&gt;Parâmetros!$C$14,"SIM","NAO"))</f>
        <v/>
      </c>
      <c r="V874" s="5" t="str">
        <f aca="false">IF(B874="","",TRIM(LEFT(B874,IFERROR(FIND(" ",B874)-1,LEN(B874)))))</f>
        <v/>
      </c>
      <c r="W874" s="22"/>
      <c r="X874" s="5" t="str">
        <f aca="false">IF(A874="","",IF(W874&lt;&gt;"",W874,V874))</f>
        <v/>
      </c>
      <c r="Y874" s="5" t="str">
        <f aca="false">IF(A874="","",IF(COUNTIFS($X$2:$X$2001,X874,$D$2:$D$2001,"&lt;&gt;"&amp;D874,$C$2:$C$2001,C874)&gt;0,"SIM","NAO"))</f>
        <v/>
      </c>
      <c r="Z874" s="5" t="str">
        <f aca="false">IF(A874="","",IF(J874="","",IFERROR(360/J874,"")))</f>
        <v/>
      </c>
      <c r="AA874" s="5" t="str">
        <f aca="false">IF(A874="","",IF(H874=0,"Parado (sem venda 90d)",IF(Z874&gt;12,"Alto (&gt;12x/ano)",IF(Z874&gt;=4,"Medio (4-12x/ano)","Baixo (&lt;4x/ano)"))))</f>
        <v/>
      </c>
    </row>
    <row r="875" customFormat="false" ht="15" hidden="false" customHeight="true" outlineLevel="0" collapsed="false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18"/>
      <c r="L875" s="19" t="str">
        <f aca="false">IF(A875="","",G875*K875)</f>
        <v/>
      </c>
      <c r="M875" s="20"/>
      <c r="N875" s="6"/>
      <c r="O875" s="6"/>
      <c r="P875" s="5" t="str">
        <f aca="false">IF(A875="","",H875/90)</f>
        <v/>
      </c>
      <c r="Q875" s="5" t="str">
        <f aca="false">IF(A875="","",IFERROR(INDEX(Parâmetros!$C$6:$C$10,MATCH(F875,Parâmetros!$B$6:$B$10,0)),""))</f>
        <v/>
      </c>
      <c r="R875" s="5" t="str">
        <f aca="false">IF(OR(A875="",P875="",Q875=""),"",P875*Q875)</f>
        <v/>
      </c>
      <c r="S875" s="5" t="str">
        <f aca="false">IF(R875="","",MAX(0,R875-G875))</f>
        <v/>
      </c>
      <c r="T875" s="21" t="str">
        <f aca="false">IF(S875="","",S875*K875)</f>
        <v/>
      </c>
      <c r="U875" s="5" t="str">
        <f aca="false">IF(A875="","",IF(J875&gt;Parâmetros!$C$14,"SIM","NAO"))</f>
        <v/>
      </c>
      <c r="V875" s="5" t="str">
        <f aca="false">IF(B875="","",TRIM(LEFT(B875,IFERROR(FIND(" ",B875)-1,LEN(B875)))))</f>
        <v/>
      </c>
      <c r="W875" s="22"/>
      <c r="X875" s="5" t="str">
        <f aca="false">IF(A875="","",IF(W875&lt;&gt;"",W875,V875))</f>
        <v/>
      </c>
      <c r="Y875" s="5" t="str">
        <f aca="false">IF(A875="","",IF(COUNTIFS($X$2:$X$2001,X875,$D$2:$D$2001,"&lt;&gt;"&amp;D875,$C$2:$C$2001,C875)&gt;0,"SIM","NAO"))</f>
        <v/>
      </c>
      <c r="Z875" s="5" t="str">
        <f aca="false">IF(A875="","",IF(J875="","",IFERROR(360/J875,"")))</f>
        <v/>
      </c>
      <c r="AA875" s="5" t="str">
        <f aca="false">IF(A875="","",IF(H875=0,"Parado (sem venda 90d)",IF(Z875&gt;12,"Alto (&gt;12x/ano)",IF(Z875&gt;=4,"Medio (4-12x/ano)","Baixo (&lt;4x/ano)"))))</f>
        <v/>
      </c>
    </row>
    <row r="876" customFormat="false" ht="15" hidden="false" customHeight="true" outlineLevel="0" collapsed="false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18"/>
      <c r="L876" s="19" t="str">
        <f aca="false">IF(A876="","",G876*K876)</f>
        <v/>
      </c>
      <c r="M876" s="20"/>
      <c r="N876" s="6"/>
      <c r="O876" s="6"/>
      <c r="P876" s="5" t="str">
        <f aca="false">IF(A876="","",H876/90)</f>
        <v/>
      </c>
      <c r="Q876" s="5" t="str">
        <f aca="false">IF(A876="","",IFERROR(INDEX(Parâmetros!$C$6:$C$10,MATCH(F876,Parâmetros!$B$6:$B$10,0)),""))</f>
        <v/>
      </c>
      <c r="R876" s="5" t="str">
        <f aca="false">IF(OR(A876="",P876="",Q876=""),"",P876*Q876)</f>
        <v/>
      </c>
      <c r="S876" s="5" t="str">
        <f aca="false">IF(R876="","",MAX(0,R876-G876))</f>
        <v/>
      </c>
      <c r="T876" s="21" t="str">
        <f aca="false">IF(S876="","",S876*K876)</f>
        <v/>
      </c>
      <c r="U876" s="5" t="str">
        <f aca="false">IF(A876="","",IF(J876&gt;Parâmetros!$C$14,"SIM","NAO"))</f>
        <v/>
      </c>
      <c r="V876" s="5" t="str">
        <f aca="false">IF(B876="","",TRIM(LEFT(B876,IFERROR(FIND(" ",B876)-1,LEN(B876)))))</f>
        <v/>
      </c>
      <c r="W876" s="22"/>
      <c r="X876" s="5" t="str">
        <f aca="false">IF(A876="","",IF(W876&lt;&gt;"",W876,V876))</f>
        <v/>
      </c>
      <c r="Y876" s="5" t="str">
        <f aca="false">IF(A876="","",IF(COUNTIFS($X$2:$X$2001,X876,$D$2:$D$2001,"&lt;&gt;"&amp;D876,$C$2:$C$2001,C876)&gt;0,"SIM","NAO"))</f>
        <v/>
      </c>
      <c r="Z876" s="5" t="str">
        <f aca="false">IF(A876="","",IF(J876="","",IFERROR(360/J876,"")))</f>
        <v/>
      </c>
      <c r="AA876" s="5" t="str">
        <f aca="false">IF(A876="","",IF(H876=0,"Parado (sem venda 90d)",IF(Z876&gt;12,"Alto (&gt;12x/ano)",IF(Z876&gt;=4,"Medio (4-12x/ano)","Baixo (&lt;4x/ano)"))))</f>
        <v/>
      </c>
    </row>
    <row r="877" customFormat="false" ht="15" hidden="false" customHeight="true" outlineLevel="0" collapsed="false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18"/>
      <c r="L877" s="19" t="str">
        <f aca="false">IF(A877="","",G877*K877)</f>
        <v/>
      </c>
      <c r="M877" s="20"/>
      <c r="N877" s="6"/>
      <c r="O877" s="6"/>
      <c r="P877" s="5" t="str">
        <f aca="false">IF(A877="","",H877/90)</f>
        <v/>
      </c>
      <c r="Q877" s="5" t="str">
        <f aca="false">IF(A877="","",IFERROR(INDEX(Parâmetros!$C$6:$C$10,MATCH(F877,Parâmetros!$B$6:$B$10,0)),""))</f>
        <v/>
      </c>
      <c r="R877" s="5" t="str">
        <f aca="false">IF(OR(A877="",P877="",Q877=""),"",P877*Q877)</f>
        <v/>
      </c>
      <c r="S877" s="5" t="str">
        <f aca="false">IF(R877="","",MAX(0,R877-G877))</f>
        <v/>
      </c>
      <c r="T877" s="21" t="str">
        <f aca="false">IF(S877="","",S877*K877)</f>
        <v/>
      </c>
      <c r="U877" s="5" t="str">
        <f aca="false">IF(A877="","",IF(J877&gt;Parâmetros!$C$14,"SIM","NAO"))</f>
        <v/>
      </c>
      <c r="V877" s="5" t="str">
        <f aca="false">IF(B877="","",TRIM(LEFT(B877,IFERROR(FIND(" ",B877)-1,LEN(B877)))))</f>
        <v/>
      </c>
      <c r="W877" s="22"/>
      <c r="X877" s="5" t="str">
        <f aca="false">IF(A877="","",IF(W877&lt;&gt;"",W877,V877))</f>
        <v/>
      </c>
      <c r="Y877" s="5" t="str">
        <f aca="false">IF(A877="","",IF(COUNTIFS($X$2:$X$2001,X877,$D$2:$D$2001,"&lt;&gt;"&amp;D877,$C$2:$C$2001,C877)&gt;0,"SIM","NAO"))</f>
        <v/>
      </c>
      <c r="Z877" s="5" t="str">
        <f aca="false">IF(A877="","",IF(J877="","",IFERROR(360/J877,"")))</f>
        <v/>
      </c>
      <c r="AA877" s="5" t="str">
        <f aca="false">IF(A877="","",IF(H877=0,"Parado (sem venda 90d)",IF(Z877&gt;12,"Alto (&gt;12x/ano)",IF(Z877&gt;=4,"Medio (4-12x/ano)","Baixo (&lt;4x/ano)"))))</f>
        <v/>
      </c>
    </row>
    <row r="878" customFormat="false" ht="15" hidden="false" customHeight="true" outlineLevel="0" collapsed="false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18"/>
      <c r="L878" s="19" t="str">
        <f aca="false">IF(A878="","",G878*K878)</f>
        <v/>
      </c>
      <c r="M878" s="20"/>
      <c r="N878" s="6"/>
      <c r="O878" s="6"/>
      <c r="P878" s="5" t="str">
        <f aca="false">IF(A878="","",H878/90)</f>
        <v/>
      </c>
      <c r="Q878" s="5" t="str">
        <f aca="false">IF(A878="","",IFERROR(INDEX(Parâmetros!$C$6:$C$10,MATCH(F878,Parâmetros!$B$6:$B$10,0)),""))</f>
        <v/>
      </c>
      <c r="R878" s="5" t="str">
        <f aca="false">IF(OR(A878="",P878="",Q878=""),"",P878*Q878)</f>
        <v/>
      </c>
      <c r="S878" s="5" t="str">
        <f aca="false">IF(R878="","",MAX(0,R878-G878))</f>
        <v/>
      </c>
      <c r="T878" s="21" t="str">
        <f aca="false">IF(S878="","",S878*K878)</f>
        <v/>
      </c>
      <c r="U878" s="5" t="str">
        <f aca="false">IF(A878="","",IF(J878&gt;Parâmetros!$C$14,"SIM","NAO"))</f>
        <v/>
      </c>
      <c r="V878" s="5" t="str">
        <f aca="false">IF(B878="","",TRIM(LEFT(B878,IFERROR(FIND(" ",B878)-1,LEN(B878)))))</f>
        <v/>
      </c>
      <c r="W878" s="22"/>
      <c r="X878" s="5" t="str">
        <f aca="false">IF(A878="","",IF(W878&lt;&gt;"",W878,V878))</f>
        <v/>
      </c>
      <c r="Y878" s="5" t="str">
        <f aca="false">IF(A878="","",IF(COUNTIFS($X$2:$X$2001,X878,$D$2:$D$2001,"&lt;&gt;"&amp;D878,$C$2:$C$2001,C878)&gt;0,"SIM","NAO"))</f>
        <v/>
      </c>
      <c r="Z878" s="5" t="str">
        <f aca="false">IF(A878="","",IF(J878="","",IFERROR(360/J878,"")))</f>
        <v/>
      </c>
      <c r="AA878" s="5" t="str">
        <f aca="false">IF(A878="","",IF(H878=0,"Parado (sem venda 90d)",IF(Z878&gt;12,"Alto (&gt;12x/ano)",IF(Z878&gt;=4,"Medio (4-12x/ano)","Baixo (&lt;4x/ano)"))))</f>
        <v/>
      </c>
    </row>
    <row r="879" customFormat="false" ht="15" hidden="false" customHeight="true" outlineLevel="0" collapsed="false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18"/>
      <c r="L879" s="19" t="str">
        <f aca="false">IF(A879="","",G879*K879)</f>
        <v/>
      </c>
      <c r="M879" s="20"/>
      <c r="N879" s="6"/>
      <c r="O879" s="6"/>
      <c r="P879" s="5" t="str">
        <f aca="false">IF(A879="","",H879/90)</f>
        <v/>
      </c>
      <c r="Q879" s="5" t="str">
        <f aca="false">IF(A879="","",IFERROR(INDEX(Parâmetros!$C$6:$C$10,MATCH(F879,Parâmetros!$B$6:$B$10,0)),""))</f>
        <v/>
      </c>
      <c r="R879" s="5" t="str">
        <f aca="false">IF(OR(A879="",P879="",Q879=""),"",P879*Q879)</f>
        <v/>
      </c>
      <c r="S879" s="5" t="str">
        <f aca="false">IF(R879="","",MAX(0,R879-G879))</f>
        <v/>
      </c>
      <c r="T879" s="21" t="str">
        <f aca="false">IF(S879="","",S879*K879)</f>
        <v/>
      </c>
      <c r="U879" s="5" t="str">
        <f aca="false">IF(A879="","",IF(J879&gt;Parâmetros!$C$14,"SIM","NAO"))</f>
        <v/>
      </c>
      <c r="V879" s="5" t="str">
        <f aca="false">IF(B879="","",TRIM(LEFT(B879,IFERROR(FIND(" ",B879)-1,LEN(B879)))))</f>
        <v/>
      </c>
      <c r="W879" s="22"/>
      <c r="X879" s="5" t="str">
        <f aca="false">IF(A879="","",IF(W879&lt;&gt;"",W879,V879))</f>
        <v/>
      </c>
      <c r="Y879" s="5" t="str">
        <f aca="false">IF(A879="","",IF(COUNTIFS($X$2:$X$2001,X879,$D$2:$D$2001,"&lt;&gt;"&amp;D879,$C$2:$C$2001,C879)&gt;0,"SIM","NAO"))</f>
        <v/>
      </c>
      <c r="Z879" s="5" t="str">
        <f aca="false">IF(A879="","",IF(J879="","",IFERROR(360/J879,"")))</f>
        <v/>
      </c>
      <c r="AA879" s="5" t="str">
        <f aca="false">IF(A879="","",IF(H879=0,"Parado (sem venda 90d)",IF(Z879&gt;12,"Alto (&gt;12x/ano)",IF(Z879&gt;=4,"Medio (4-12x/ano)","Baixo (&lt;4x/ano)"))))</f>
        <v/>
      </c>
    </row>
    <row r="880" customFormat="false" ht="15" hidden="false" customHeight="true" outlineLevel="0" collapsed="false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18"/>
      <c r="L880" s="19" t="str">
        <f aca="false">IF(A880="","",G880*K880)</f>
        <v/>
      </c>
      <c r="M880" s="20"/>
      <c r="N880" s="6"/>
      <c r="O880" s="6"/>
      <c r="P880" s="5" t="str">
        <f aca="false">IF(A880="","",H880/90)</f>
        <v/>
      </c>
      <c r="Q880" s="5" t="str">
        <f aca="false">IF(A880="","",IFERROR(INDEX(Parâmetros!$C$6:$C$10,MATCH(F880,Parâmetros!$B$6:$B$10,0)),""))</f>
        <v/>
      </c>
      <c r="R880" s="5" t="str">
        <f aca="false">IF(OR(A880="",P880="",Q880=""),"",P880*Q880)</f>
        <v/>
      </c>
      <c r="S880" s="5" t="str">
        <f aca="false">IF(R880="","",MAX(0,R880-G880))</f>
        <v/>
      </c>
      <c r="T880" s="21" t="str">
        <f aca="false">IF(S880="","",S880*K880)</f>
        <v/>
      </c>
      <c r="U880" s="5" t="str">
        <f aca="false">IF(A880="","",IF(J880&gt;Parâmetros!$C$14,"SIM","NAO"))</f>
        <v/>
      </c>
      <c r="V880" s="5" t="str">
        <f aca="false">IF(B880="","",TRIM(LEFT(B880,IFERROR(FIND(" ",B880)-1,LEN(B880)))))</f>
        <v/>
      </c>
      <c r="W880" s="22"/>
      <c r="X880" s="5" t="str">
        <f aca="false">IF(A880="","",IF(W880&lt;&gt;"",W880,V880))</f>
        <v/>
      </c>
      <c r="Y880" s="5" t="str">
        <f aca="false">IF(A880="","",IF(COUNTIFS($X$2:$X$2001,X880,$D$2:$D$2001,"&lt;&gt;"&amp;D880,$C$2:$C$2001,C880)&gt;0,"SIM","NAO"))</f>
        <v/>
      </c>
      <c r="Z880" s="5" t="str">
        <f aca="false">IF(A880="","",IF(J880="","",IFERROR(360/J880,"")))</f>
        <v/>
      </c>
      <c r="AA880" s="5" t="str">
        <f aca="false">IF(A880="","",IF(H880=0,"Parado (sem venda 90d)",IF(Z880&gt;12,"Alto (&gt;12x/ano)",IF(Z880&gt;=4,"Medio (4-12x/ano)","Baixo (&lt;4x/ano)"))))</f>
        <v/>
      </c>
    </row>
    <row r="881" customFormat="false" ht="15" hidden="false" customHeight="true" outlineLevel="0" collapsed="false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18"/>
      <c r="L881" s="19" t="str">
        <f aca="false">IF(A881="","",G881*K881)</f>
        <v/>
      </c>
      <c r="M881" s="20"/>
      <c r="N881" s="6"/>
      <c r="O881" s="6"/>
      <c r="P881" s="5" t="str">
        <f aca="false">IF(A881="","",H881/90)</f>
        <v/>
      </c>
      <c r="Q881" s="5" t="str">
        <f aca="false">IF(A881="","",IFERROR(INDEX(Parâmetros!$C$6:$C$10,MATCH(F881,Parâmetros!$B$6:$B$10,0)),""))</f>
        <v/>
      </c>
      <c r="R881" s="5" t="str">
        <f aca="false">IF(OR(A881="",P881="",Q881=""),"",P881*Q881)</f>
        <v/>
      </c>
      <c r="S881" s="5" t="str">
        <f aca="false">IF(R881="","",MAX(0,R881-G881))</f>
        <v/>
      </c>
      <c r="T881" s="21" t="str">
        <f aca="false">IF(S881="","",S881*K881)</f>
        <v/>
      </c>
      <c r="U881" s="5" t="str">
        <f aca="false">IF(A881="","",IF(J881&gt;Parâmetros!$C$14,"SIM","NAO"))</f>
        <v/>
      </c>
      <c r="V881" s="5" t="str">
        <f aca="false">IF(B881="","",TRIM(LEFT(B881,IFERROR(FIND(" ",B881)-1,LEN(B881)))))</f>
        <v/>
      </c>
      <c r="W881" s="22"/>
      <c r="X881" s="5" t="str">
        <f aca="false">IF(A881="","",IF(W881&lt;&gt;"",W881,V881))</f>
        <v/>
      </c>
      <c r="Y881" s="5" t="str">
        <f aca="false">IF(A881="","",IF(COUNTIFS($X$2:$X$2001,X881,$D$2:$D$2001,"&lt;&gt;"&amp;D881,$C$2:$C$2001,C881)&gt;0,"SIM","NAO"))</f>
        <v/>
      </c>
      <c r="Z881" s="5" t="str">
        <f aca="false">IF(A881="","",IF(J881="","",IFERROR(360/J881,"")))</f>
        <v/>
      </c>
      <c r="AA881" s="5" t="str">
        <f aca="false">IF(A881="","",IF(H881=0,"Parado (sem venda 90d)",IF(Z881&gt;12,"Alto (&gt;12x/ano)",IF(Z881&gt;=4,"Medio (4-12x/ano)","Baixo (&lt;4x/ano)"))))</f>
        <v/>
      </c>
    </row>
    <row r="882" customFormat="false" ht="15" hidden="false" customHeight="true" outlineLevel="0" collapsed="false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18"/>
      <c r="L882" s="19" t="str">
        <f aca="false">IF(A882="","",G882*K882)</f>
        <v/>
      </c>
      <c r="M882" s="20"/>
      <c r="N882" s="6"/>
      <c r="O882" s="6"/>
      <c r="P882" s="5" t="str">
        <f aca="false">IF(A882="","",H882/90)</f>
        <v/>
      </c>
      <c r="Q882" s="5" t="str">
        <f aca="false">IF(A882="","",IFERROR(INDEX(Parâmetros!$C$6:$C$10,MATCH(F882,Parâmetros!$B$6:$B$10,0)),""))</f>
        <v/>
      </c>
      <c r="R882" s="5" t="str">
        <f aca="false">IF(OR(A882="",P882="",Q882=""),"",P882*Q882)</f>
        <v/>
      </c>
      <c r="S882" s="5" t="str">
        <f aca="false">IF(R882="","",MAX(0,R882-G882))</f>
        <v/>
      </c>
      <c r="T882" s="21" t="str">
        <f aca="false">IF(S882="","",S882*K882)</f>
        <v/>
      </c>
      <c r="U882" s="5" t="str">
        <f aca="false">IF(A882="","",IF(J882&gt;Parâmetros!$C$14,"SIM","NAO"))</f>
        <v/>
      </c>
      <c r="V882" s="5" t="str">
        <f aca="false">IF(B882="","",TRIM(LEFT(B882,IFERROR(FIND(" ",B882)-1,LEN(B882)))))</f>
        <v/>
      </c>
      <c r="W882" s="22"/>
      <c r="X882" s="5" t="str">
        <f aca="false">IF(A882="","",IF(W882&lt;&gt;"",W882,V882))</f>
        <v/>
      </c>
      <c r="Y882" s="5" t="str">
        <f aca="false">IF(A882="","",IF(COUNTIFS($X$2:$X$2001,X882,$D$2:$D$2001,"&lt;&gt;"&amp;D882,$C$2:$C$2001,C882)&gt;0,"SIM","NAO"))</f>
        <v/>
      </c>
      <c r="Z882" s="5" t="str">
        <f aca="false">IF(A882="","",IF(J882="","",IFERROR(360/J882,"")))</f>
        <v/>
      </c>
      <c r="AA882" s="5" t="str">
        <f aca="false">IF(A882="","",IF(H882=0,"Parado (sem venda 90d)",IF(Z882&gt;12,"Alto (&gt;12x/ano)",IF(Z882&gt;=4,"Medio (4-12x/ano)","Baixo (&lt;4x/ano)"))))</f>
        <v/>
      </c>
    </row>
    <row r="883" customFormat="false" ht="15" hidden="false" customHeight="true" outlineLevel="0" collapsed="false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18"/>
      <c r="L883" s="19" t="str">
        <f aca="false">IF(A883="","",G883*K883)</f>
        <v/>
      </c>
      <c r="M883" s="20"/>
      <c r="N883" s="6"/>
      <c r="O883" s="6"/>
      <c r="P883" s="5" t="str">
        <f aca="false">IF(A883="","",H883/90)</f>
        <v/>
      </c>
      <c r="Q883" s="5" t="str">
        <f aca="false">IF(A883="","",IFERROR(INDEX(Parâmetros!$C$6:$C$10,MATCH(F883,Parâmetros!$B$6:$B$10,0)),""))</f>
        <v/>
      </c>
      <c r="R883" s="5" t="str">
        <f aca="false">IF(OR(A883="",P883="",Q883=""),"",P883*Q883)</f>
        <v/>
      </c>
      <c r="S883" s="5" t="str">
        <f aca="false">IF(R883="","",MAX(0,R883-G883))</f>
        <v/>
      </c>
      <c r="T883" s="21" t="str">
        <f aca="false">IF(S883="","",S883*K883)</f>
        <v/>
      </c>
      <c r="U883" s="5" t="str">
        <f aca="false">IF(A883="","",IF(J883&gt;Parâmetros!$C$14,"SIM","NAO"))</f>
        <v/>
      </c>
      <c r="V883" s="5" t="str">
        <f aca="false">IF(B883="","",TRIM(LEFT(B883,IFERROR(FIND(" ",B883)-1,LEN(B883)))))</f>
        <v/>
      </c>
      <c r="W883" s="22"/>
      <c r="X883" s="5" t="str">
        <f aca="false">IF(A883="","",IF(W883&lt;&gt;"",W883,V883))</f>
        <v/>
      </c>
      <c r="Y883" s="5" t="str">
        <f aca="false">IF(A883="","",IF(COUNTIFS($X$2:$X$2001,X883,$D$2:$D$2001,"&lt;&gt;"&amp;D883,$C$2:$C$2001,C883)&gt;0,"SIM","NAO"))</f>
        <v/>
      </c>
      <c r="Z883" s="5" t="str">
        <f aca="false">IF(A883="","",IF(J883="","",IFERROR(360/J883,"")))</f>
        <v/>
      </c>
      <c r="AA883" s="5" t="str">
        <f aca="false">IF(A883="","",IF(H883=0,"Parado (sem venda 90d)",IF(Z883&gt;12,"Alto (&gt;12x/ano)",IF(Z883&gt;=4,"Medio (4-12x/ano)","Baixo (&lt;4x/ano)"))))</f>
        <v/>
      </c>
    </row>
    <row r="884" customFormat="false" ht="15" hidden="false" customHeight="true" outlineLevel="0" collapsed="false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18"/>
      <c r="L884" s="19" t="str">
        <f aca="false">IF(A884="","",G884*K884)</f>
        <v/>
      </c>
      <c r="M884" s="20"/>
      <c r="N884" s="6"/>
      <c r="O884" s="6"/>
      <c r="P884" s="5" t="str">
        <f aca="false">IF(A884="","",H884/90)</f>
        <v/>
      </c>
      <c r="Q884" s="5" t="str">
        <f aca="false">IF(A884="","",IFERROR(INDEX(Parâmetros!$C$6:$C$10,MATCH(F884,Parâmetros!$B$6:$B$10,0)),""))</f>
        <v/>
      </c>
      <c r="R884" s="5" t="str">
        <f aca="false">IF(OR(A884="",P884="",Q884=""),"",P884*Q884)</f>
        <v/>
      </c>
      <c r="S884" s="5" t="str">
        <f aca="false">IF(R884="","",MAX(0,R884-G884))</f>
        <v/>
      </c>
      <c r="T884" s="21" t="str">
        <f aca="false">IF(S884="","",S884*K884)</f>
        <v/>
      </c>
      <c r="U884" s="5" t="str">
        <f aca="false">IF(A884="","",IF(J884&gt;Parâmetros!$C$14,"SIM","NAO"))</f>
        <v/>
      </c>
      <c r="V884" s="5" t="str">
        <f aca="false">IF(B884="","",TRIM(LEFT(B884,IFERROR(FIND(" ",B884)-1,LEN(B884)))))</f>
        <v/>
      </c>
      <c r="W884" s="22"/>
      <c r="X884" s="5" t="str">
        <f aca="false">IF(A884="","",IF(W884&lt;&gt;"",W884,V884))</f>
        <v/>
      </c>
      <c r="Y884" s="5" t="str">
        <f aca="false">IF(A884="","",IF(COUNTIFS($X$2:$X$2001,X884,$D$2:$D$2001,"&lt;&gt;"&amp;D884,$C$2:$C$2001,C884)&gt;0,"SIM","NAO"))</f>
        <v/>
      </c>
      <c r="Z884" s="5" t="str">
        <f aca="false">IF(A884="","",IF(J884="","",IFERROR(360/J884,"")))</f>
        <v/>
      </c>
      <c r="AA884" s="5" t="str">
        <f aca="false">IF(A884="","",IF(H884=0,"Parado (sem venda 90d)",IF(Z884&gt;12,"Alto (&gt;12x/ano)",IF(Z884&gt;=4,"Medio (4-12x/ano)","Baixo (&lt;4x/ano)"))))</f>
        <v/>
      </c>
    </row>
    <row r="885" customFormat="false" ht="15" hidden="false" customHeight="true" outlineLevel="0" collapsed="false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18"/>
      <c r="L885" s="19" t="str">
        <f aca="false">IF(A885="","",G885*K885)</f>
        <v/>
      </c>
      <c r="M885" s="20"/>
      <c r="N885" s="6"/>
      <c r="O885" s="6"/>
      <c r="P885" s="5" t="str">
        <f aca="false">IF(A885="","",H885/90)</f>
        <v/>
      </c>
      <c r="Q885" s="5" t="str">
        <f aca="false">IF(A885="","",IFERROR(INDEX(Parâmetros!$C$6:$C$10,MATCH(F885,Parâmetros!$B$6:$B$10,0)),""))</f>
        <v/>
      </c>
      <c r="R885" s="5" t="str">
        <f aca="false">IF(OR(A885="",P885="",Q885=""),"",P885*Q885)</f>
        <v/>
      </c>
      <c r="S885" s="5" t="str">
        <f aca="false">IF(R885="","",MAX(0,R885-G885))</f>
        <v/>
      </c>
      <c r="T885" s="21" t="str">
        <f aca="false">IF(S885="","",S885*K885)</f>
        <v/>
      </c>
      <c r="U885" s="5" t="str">
        <f aca="false">IF(A885="","",IF(J885&gt;Parâmetros!$C$14,"SIM","NAO"))</f>
        <v/>
      </c>
      <c r="V885" s="5" t="str">
        <f aca="false">IF(B885="","",TRIM(LEFT(B885,IFERROR(FIND(" ",B885)-1,LEN(B885)))))</f>
        <v/>
      </c>
      <c r="W885" s="22"/>
      <c r="X885" s="5" t="str">
        <f aca="false">IF(A885="","",IF(W885&lt;&gt;"",W885,V885))</f>
        <v/>
      </c>
      <c r="Y885" s="5" t="str">
        <f aca="false">IF(A885="","",IF(COUNTIFS($X$2:$X$2001,X885,$D$2:$D$2001,"&lt;&gt;"&amp;D885,$C$2:$C$2001,C885)&gt;0,"SIM","NAO"))</f>
        <v/>
      </c>
      <c r="Z885" s="5" t="str">
        <f aca="false">IF(A885="","",IF(J885="","",IFERROR(360/J885,"")))</f>
        <v/>
      </c>
      <c r="AA885" s="5" t="str">
        <f aca="false">IF(A885="","",IF(H885=0,"Parado (sem venda 90d)",IF(Z885&gt;12,"Alto (&gt;12x/ano)",IF(Z885&gt;=4,"Medio (4-12x/ano)","Baixo (&lt;4x/ano)"))))</f>
        <v/>
      </c>
    </row>
    <row r="886" customFormat="false" ht="15" hidden="false" customHeight="true" outlineLevel="0" collapsed="false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18"/>
      <c r="L886" s="19" t="str">
        <f aca="false">IF(A886="","",G886*K886)</f>
        <v/>
      </c>
      <c r="M886" s="20"/>
      <c r="N886" s="6"/>
      <c r="O886" s="6"/>
      <c r="P886" s="5" t="str">
        <f aca="false">IF(A886="","",H886/90)</f>
        <v/>
      </c>
      <c r="Q886" s="5" t="str">
        <f aca="false">IF(A886="","",IFERROR(INDEX(Parâmetros!$C$6:$C$10,MATCH(F886,Parâmetros!$B$6:$B$10,0)),""))</f>
        <v/>
      </c>
      <c r="R886" s="5" t="str">
        <f aca="false">IF(OR(A886="",P886="",Q886=""),"",P886*Q886)</f>
        <v/>
      </c>
      <c r="S886" s="5" t="str">
        <f aca="false">IF(R886="","",MAX(0,R886-G886))</f>
        <v/>
      </c>
      <c r="T886" s="21" t="str">
        <f aca="false">IF(S886="","",S886*K886)</f>
        <v/>
      </c>
      <c r="U886" s="5" t="str">
        <f aca="false">IF(A886="","",IF(J886&gt;Parâmetros!$C$14,"SIM","NAO"))</f>
        <v/>
      </c>
      <c r="V886" s="5" t="str">
        <f aca="false">IF(B886="","",TRIM(LEFT(B886,IFERROR(FIND(" ",B886)-1,LEN(B886)))))</f>
        <v/>
      </c>
      <c r="W886" s="22"/>
      <c r="X886" s="5" t="str">
        <f aca="false">IF(A886="","",IF(W886&lt;&gt;"",W886,V886))</f>
        <v/>
      </c>
      <c r="Y886" s="5" t="str">
        <f aca="false">IF(A886="","",IF(COUNTIFS($X$2:$X$2001,X886,$D$2:$D$2001,"&lt;&gt;"&amp;D886,$C$2:$C$2001,C886)&gt;0,"SIM","NAO"))</f>
        <v/>
      </c>
      <c r="Z886" s="5" t="str">
        <f aca="false">IF(A886="","",IF(J886="","",IFERROR(360/J886,"")))</f>
        <v/>
      </c>
      <c r="AA886" s="5" t="str">
        <f aca="false">IF(A886="","",IF(H886=0,"Parado (sem venda 90d)",IF(Z886&gt;12,"Alto (&gt;12x/ano)",IF(Z886&gt;=4,"Medio (4-12x/ano)","Baixo (&lt;4x/ano)"))))</f>
        <v/>
      </c>
    </row>
    <row r="887" customFormat="false" ht="15" hidden="false" customHeight="true" outlineLevel="0" collapsed="false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18"/>
      <c r="L887" s="19" t="str">
        <f aca="false">IF(A887="","",G887*K887)</f>
        <v/>
      </c>
      <c r="M887" s="20"/>
      <c r="N887" s="6"/>
      <c r="O887" s="6"/>
      <c r="P887" s="5" t="str">
        <f aca="false">IF(A887="","",H887/90)</f>
        <v/>
      </c>
      <c r="Q887" s="5" t="str">
        <f aca="false">IF(A887="","",IFERROR(INDEX(Parâmetros!$C$6:$C$10,MATCH(F887,Parâmetros!$B$6:$B$10,0)),""))</f>
        <v/>
      </c>
      <c r="R887" s="5" t="str">
        <f aca="false">IF(OR(A887="",P887="",Q887=""),"",P887*Q887)</f>
        <v/>
      </c>
      <c r="S887" s="5" t="str">
        <f aca="false">IF(R887="","",MAX(0,R887-G887))</f>
        <v/>
      </c>
      <c r="T887" s="21" t="str">
        <f aca="false">IF(S887="","",S887*K887)</f>
        <v/>
      </c>
      <c r="U887" s="5" t="str">
        <f aca="false">IF(A887="","",IF(J887&gt;Parâmetros!$C$14,"SIM","NAO"))</f>
        <v/>
      </c>
      <c r="V887" s="5" t="str">
        <f aca="false">IF(B887="","",TRIM(LEFT(B887,IFERROR(FIND(" ",B887)-1,LEN(B887)))))</f>
        <v/>
      </c>
      <c r="W887" s="22"/>
      <c r="X887" s="5" t="str">
        <f aca="false">IF(A887="","",IF(W887&lt;&gt;"",W887,V887))</f>
        <v/>
      </c>
      <c r="Y887" s="5" t="str">
        <f aca="false">IF(A887="","",IF(COUNTIFS($X$2:$X$2001,X887,$D$2:$D$2001,"&lt;&gt;"&amp;D887,$C$2:$C$2001,C887)&gt;0,"SIM","NAO"))</f>
        <v/>
      </c>
      <c r="Z887" s="5" t="str">
        <f aca="false">IF(A887="","",IF(J887="","",IFERROR(360/J887,"")))</f>
        <v/>
      </c>
      <c r="AA887" s="5" t="str">
        <f aca="false">IF(A887="","",IF(H887=0,"Parado (sem venda 90d)",IF(Z887&gt;12,"Alto (&gt;12x/ano)",IF(Z887&gt;=4,"Medio (4-12x/ano)","Baixo (&lt;4x/ano)"))))</f>
        <v/>
      </c>
    </row>
    <row r="888" customFormat="false" ht="15" hidden="false" customHeight="true" outlineLevel="0" collapsed="false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18"/>
      <c r="L888" s="19" t="str">
        <f aca="false">IF(A888="","",G888*K888)</f>
        <v/>
      </c>
      <c r="M888" s="20"/>
      <c r="N888" s="6"/>
      <c r="O888" s="6"/>
      <c r="P888" s="5" t="str">
        <f aca="false">IF(A888="","",H888/90)</f>
        <v/>
      </c>
      <c r="Q888" s="5" t="str">
        <f aca="false">IF(A888="","",IFERROR(INDEX(Parâmetros!$C$6:$C$10,MATCH(F888,Parâmetros!$B$6:$B$10,0)),""))</f>
        <v/>
      </c>
      <c r="R888" s="5" t="str">
        <f aca="false">IF(OR(A888="",P888="",Q888=""),"",P888*Q888)</f>
        <v/>
      </c>
      <c r="S888" s="5" t="str">
        <f aca="false">IF(R888="","",MAX(0,R888-G888))</f>
        <v/>
      </c>
      <c r="T888" s="21" t="str">
        <f aca="false">IF(S888="","",S888*K888)</f>
        <v/>
      </c>
      <c r="U888" s="5" t="str">
        <f aca="false">IF(A888="","",IF(J888&gt;Parâmetros!$C$14,"SIM","NAO"))</f>
        <v/>
      </c>
      <c r="V888" s="5" t="str">
        <f aca="false">IF(B888="","",TRIM(LEFT(B888,IFERROR(FIND(" ",B888)-1,LEN(B888)))))</f>
        <v/>
      </c>
      <c r="W888" s="22"/>
      <c r="X888" s="5" t="str">
        <f aca="false">IF(A888="","",IF(W888&lt;&gt;"",W888,V888))</f>
        <v/>
      </c>
      <c r="Y888" s="5" t="str">
        <f aca="false">IF(A888="","",IF(COUNTIFS($X$2:$X$2001,X888,$D$2:$D$2001,"&lt;&gt;"&amp;D888,$C$2:$C$2001,C888)&gt;0,"SIM","NAO"))</f>
        <v/>
      </c>
      <c r="Z888" s="5" t="str">
        <f aca="false">IF(A888="","",IF(J888="","",IFERROR(360/J888,"")))</f>
        <v/>
      </c>
      <c r="AA888" s="5" t="str">
        <f aca="false">IF(A888="","",IF(H888=0,"Parado (sem venda 90d)",IF(Z888&gt;12,"Alto (&gt;12x/ano)",IF(Z888&gt;=4,"Medio (4-12x/ano)","Baixo (&lt;4x/ano)"))))</f>
        <v/>
      </c>
    </row>
    <row r="889" customFormat="false" ht="15" hidden="false" customHeight="true" outlineLevel="0" collapsed="false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18"/>
      <c r="L889" s="19" t="str">
        <f aca="false">IF(A889="","",G889*K889)</f>
        <v/>
      </c>
      <c r="M889" s="20"/>
      <c r="N889" s="6"/>
      <c r="O889" s="6"/>
      <c r="P889" s="5" t="str">
        <f aca="false">IF(A889="","",H889/90)</f>
        <v/>
      </c>
      <c r="Q889" s="5" t="str">
        <f aca="false">IF(A889="","",IFERROR(INDEX(Parâmetros!$C$6:$C$10,MATCH(F889,Parâmetros!$B$6:$B$10,0)),""))</f>
        <v/>
      </c>
      <c r="R889" s="5" t="str">
        <f aca="false">IF(OR(A889="",P889="",Q889=""),"",P889*Q889)</f>
        <v/>
      </c>
      <c r="S889" s="5" t="str">
        <f aca="false">IF(R889="","",MAX(0,R889-G889))</f>
        <v/>
      </c>
      <c r="T889" s="21" t="str">
        <f aca="false">IF(S889="","",S889*K889)</f>
        <v/>
      </c>
      <c r="U889" s="5" t="str">
        <f aca="false">IF(A889="","",IF(J889&gt;Parâmetros!$C$14,"SIM","NAO"))</f>
        <v/>
      </c>
      <c r="V889" s="5" t="str">
        <f aca="false">IF(B889="","",TRIM(LEFT(B889,IFERROR(FIND(" ",B889)-1,LEN(B889)))))</f>
        <v/>
      </c>
      <c r="W889" s="22"/>
      <c r="X889" s="5" t="str">
        <f aca="false">IF(A889="","",IF(W889&lt;&gt;"",W889,V889))</f>
        <v/>
      </c>
      <c r="Y889" s="5" t="str">
        <f aca="false">IF(A889="","",IF(COUNTIFS($X$2:$X$2001,X889,$D$2:$D$2001,"&lt;&gt;"&amp;D889,$C$2:$C$2001,C889)&gt;0,"SIM","NAO"))</f>
        <v/>
      </c>
      <c r="Z889" s="5" t="str">
        <f aca="false">IF(A889="","",IF(J889="","",IFERROR(360/J889,"")))</f>
        <v/>
      </c>
      <c r="AA889" s="5" t="str">
        <f aca="false">IF(A889="","",IF(H889=0,"Parado (sem venda 90d)",IF(Z889&gt;12,"Alto (&gt;12x/ano)",IF(Z889&gt;=4,"Medio (4-12x/ano)","Baixo (&lt;4x/ano)"))))</f>
        <v/>
      </c>
    </row>
    <row r="890" customFormat="false" ht="15" hidden="false" customHeight="true" outlineLevel="0" collapsed="false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18"/>
      <c r="L890" s="19" t="str">
        <f aca="false">IF(A890="","",G890*K890)</f>
        <v/>
      </c>
      <c r="M890" s="20"/>
      <c r="N890" s="6"/>
      <c r="O890" s="6"/>
      <c r="P890" s="5" t="str">
        <f aca="false">IF(A890="","",H890/90)</f>
        <v/>
      </c>
      <c r="Q890" s="5" t="str">
        <f aca="false">IF(A890="","",IFERROR(INDEX(Parâmetros!$C$6:$C$10,MATCH(F890,Parâmetros!$B$6:$B$10,0)),""))</f>
        <v/>
      </c>
      <c r="R890" s="5" t="str">
        <f aca="false">IF(OR(A890="",P890="",Q890=""),"",P890*Q890)</f>
        <v/>
      </c>
      <c r="S890" s="5" t="str">
        <f aca="false">IF(R890="","",MAX(0,R890-G890))</f>
        <v/>
      </c>
      <c r="T890" s="21" t="str">
        <f aca="false">IF(S890="","",S890*K890)</f>
        <v/>
      </c>
      <c r="U890" s="5" t="str">
        <f aca="false">IF(A890="","",IF(J890&gt;Parâmetros!$C$14,"SIM","NAO"))</f>
        <v/>
      </c>
      <c r="V890" s="5" t="str">
        <f aca="false">IF(B890="","",TRIM(LEFT(B890,IFERROR(FIND(" ",B890)-1,LEN(B890)))))</f>
        <v/>
      </c>
      <c r="W890" s="22"/>
      <c r="X890" s="5" t="str">
        <f aca="false">IF(A890="","",IF(W890&lt;&gt;"",W890,V890))</f>
        <v/>
      </c>
      <c r="Y890" s="5" t="str">
        <f aca="false">IF(A890="","",IF(COUNTIFS($X$2:$X$2001,X890,$D$2:$D$2001,"&lt;&gt;"&amp;D890,$C$2:$C$2001,C890)&gt;0,"SIM","NAO"))</f>
        <v/>
      </c>
      <c r="Z890" s="5" t="str">
        <f aca="false">IF(A890="","",IF(J890="","",IFERROR(360/J890,"")))</f>
        <v/>
      </c>
      <c r="AA890" s="5" t="str">
        <f aca="false">IF(A890="","",IF(H890=0,"Parado (sem venda 90d)",IF(Z890&gt;12,"Alto (&gt;12x/ano)",IF(Z890&gt;=4,"Medio (4-12x/ano)","Baixo (&lt;4x/ano)"))))</f>
        <v/>
      </c>
    </row>
    <row r="891" customFormat="false" ht="15" hidden="false" customHeight="true" outlineLevel="0" collapsed="false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18"/>
      <c r="L891" s="19" t="str">
        <f aca="false">IF(A891="","",G891*K891)</f>
        <v/>
      </c>
      <c r="M891" s="20"/>
      <c r="N891" s="6"/>
      <c r="O891" s="6"/>
      <c r="P891" s="5" t="str">
        <f aca="false">IF(A891="","",H891/90)</f>
        <v/>
      </c>
      <c r="Q891" s="5" t="str">
        <f aca="false">IF(A891="","",IFERROR(INDEX(Parâmetros!$C$6:$C$10,MATCH(F891,Parâmetros!$B$6:$B$10,0)),""))</f>
        <v/>
      </c>
      <c r="R891" s="5" t="str">
        <f aca="false">IF(OR(A891="",P891="",Q891=""),"",P891*Q891)</f>
        <v/>
      </c>
      <c r="S891" s="5" t="str">
        <f aca="false">IF(R891="","",MAX(0,R891-G891))</f>
        <v/>
      </c>
      <c r="T891" s="21" t="str">
        <f aca="false">IF(S891="","",S891*K891)</f>
        <v/>
      </c>
      <c r="U891" s="5" t="str">
        <f aca="false">IF(A891="","",IF(J891&gt;Parâmetros!$C$14,"SIM","NAO"))</f>
        <v/>
      </c>
      <c r="V891" s="5" t="str">
        <f aca="false">IF(B891="","",TRIM(LEFT(B891,IFERROR(FIND(" ",B891)-1,LEN(B891)))))</f>
        <v/>
      </c>
      <c r="W891" s="22"/>
      <c r="X891" s="5" t="str">
        <f aca="false">IF(A891="","",IF(W891&lt;&gt;"",W891,V891))</f>
        <v/>
      </c>
      <c r="Y891" s="5" t="str">
        <f aca="false">IF(A891="","",IF(COUNTIFS($X$2:$X$2001,X891,$D$2:$D$2001,"&lt;&gt;"&amp;D891,$C$2:$C$2001,C891)&gt;0,"SIM","NAO"))</f>
        <v/>
      </c>
      <c r="Z891" s="5" t="str">
        <f aca="false">IF(A891="","",IF(J891="","",IFERROR(360/J891,"")))</f>
        <v/>
      </c>
      <c r="AA891" s="5" t="str">
        <f aca="false">IF(A891="","",IF(H891=0,"Parado (sem venda 90d)",IF(Z891&gt;12,"Alto (&gt;12x/ano)",IF(Z891&gt;=4,"Medio (4-12x/ano)","Baixo (&lt;4x/ano)"))))</f>
        <v/>
      </c>
    </row>
    <row r="892" customFormat="false" ht="15" hidden="false" customHeight="true" outlineLevel="0" collapsed="false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18"/>
      <c r="L892" s="19" t="str">
        <f aca="false">IF(A892="","",G892*K892)</f>
        <v/>
      </c>
      <c r="M892" s="20"/>
      <c r="N892" s="6"/>
      <c r="O892" s="6"/>
      <c r="P892" s="5" t="str">
        <f aca="false">IF(A892="","",H892/90)</f>
        <v/>
      </c>
      <c r="Q892" s="5" t="str">
        <f aca="false">IF(A892="","",IFERROR(INDEX(Parâmetros!$C$6:$C$10,MATCH(F892,Parâmetros!$B$6:$B$10,0)),""))</f>
        <v/>
      </c>
      <c r="R892" s="5" t="str">
        <f aca="false">IF(OR(A892="",P892="",Q892=""),"",P892*Q892)</f>
        <v/>
      </c>
      <c r="S892" s="5" t="str">
        <f aca="false">IF(R892="","",MAX(0,R892-G892))</f>
        <v/>
      </c>
      <c r="T892" s="21" t="str">
        <f aca="false">IF(S892="","",S892*K892)</f>
        <v/>
      </c>
      <c r="U892" s="5" t="str">
        <f aca="false">IF(A892="","",IF(J892&gt;Parâmetros!$C$14,"SIM","NAO"))</f>
        <v/>
      </c>
      <c r="V892" s="5" t="str">
        <f aca="false">IF(B892="","",TRIM(LEFT(B892,IFERROR(FIND(" ",B892)-1,LEN(B892)))))</f>
        <v/>
      </c>
      <c r="W892" s="22"/>
      <c r="X892" s="5" t="str">
        <f aca="false">IF(A892="","",IF(W892&lt;&gt;"",W892,V892))</f>
        <v/>
      </c>
      <c r="Y892" s="5" t="str">
        <f aca="false">IF(A892="","",IF(COUNTIFS($X$2:$X$2001,X892,$D$2:$D$2001,"&lt;&gt;"&amp;D892,$C$2:$C$2001,C892)&gt;0,"SIM","NAO"))</f>
        <v/>
      </c>
      <c r="Z892" s="5" t="str">
        <f aca="false">IF(A892="","",IF(J892="","",IFERROR(360/J892,"")))</f>
        <v/>
      </c>
      <c r="AA892" s="5" t="str">
        <f aca="false">IF(A892="","",IF(H892=0,"Parado (sem venda 90d)",IF(Z892&gt;12,"Alto (&gt;12x/ano)",IF(Z892&gt;=4,"Medio (4-12x/ano)","Baixo (&lt;4x/ano)"))))</f>
        <v/>
      </c>
    </row>
    <row r="893" customFormat="false" ht="15" hidden="false" customHeight="true" outlineLevel="0" collapsed="false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18"/>
      <c r="L893" s="19" t="str">
        <f aca="false">IF(A893="","",G893*K893)</f>
        <v/>
      </c>
      <c r="M893" s="20"/>
      <c r="N893" s="6"/>
      <c r="O893" s="6"/>
      <c r="P893" s="5" t="str">
        <f aca="false">IF(A893="","",H893/90)</f>
        <v/>
      </c>
      <c r="Q893" s="5" t="str">
        <f aca="false">IF(A893="","",IFERROR(INDEX(Parâmetros!$C$6:$C$10,MATCH(F893,Parâmetros!$B$6:$B$10,0)),""))</f>
        <v/>
      </c>
      <c r="R893" s="5" t="str">
        <f aca="false">IF(OR(A893="",P893="",Q893=""),"",P893*Q893)</f>
        <v/>
      </c>
      <c r="S893" s="5" t="str">
        <f aca="false">IF(R893="","",MAX(0,R893-G893))</f>
        <v/>
      </c>
      <c r="T893" s="21" t="str">
        <f aca="false">IF(S893="","",S893*K893)</f>
        <v/>
      </c>
      <c r="U893" s="5" t="str">
        <f aca="false">IF(A893="","",IF(J893&gt;Parâmetros!$C$14,"SIM","NAO"))</f>
        <v/>
      </c>
      <c r="V893" s="5" t="str">
        <f aca="false">IF(B893="","",TRIM(LEFT(B893,IFERROR(FIND(" ",B893)-1,LEN(B893)))))</f>
        <v/>
      </c>
      <c r="W893" s="22"/>
      <c r="X893" s="5" t="str">
        <f aca="false">IF(A893="","",IF(W893&lt;&gt;"",W893,V893))</f>
        <v/>
      </c>
      <c r="Y893" s="5" t="str">
        <f aca="false">IF(A893="","",IF(COUNTIFS($X$2:$X$2001,X893,$D$2:$D$2001,"&lt;&gt;"&amp;D893,$C$2:$C$2001,C893)&gt;0,"SIM","NAO"))</f>
        <v/>
      </c>
      <c r="Z893" s="5" t="str">
        <f aca="false">IF(A893="","",IF(J893="","",IFERROR(360/J893,"")))</f>
        <v/>
      </c>
      <c r="AA893" s="5" t="str">
        <f aca="false">IF(A893="","",IF(H893=0,"Parado (sem venda 90d)",IF(Z893&gt;12,"Alto (&gt;12x/ano)",IF(Z893&gt;=4,"Medio (4-12x/ano)","Baixo (&lt;4x/ano)"))))</f>
        <v/>
      </c>
    </row>
    <row r="894" customFormat="false" ht="15" hidden="false" customHeight="true" outlineLevel="0" collapsed="false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18"/>
      <c r="L894" s="19" t="str">
        <f aca="false">IF(A894="","",G894*K894)</f>
        <v/>
      </c>
      <c r="M894" s="20"/>
      <c r="N894" s="6"/>
      <c r="O894" s="6"/>
      <c r="P894" s="5" t="str">
        <f aca="false">IF(A894="","",H894/90)</f>
        <v/>
      </c>
      <c r="Q894" s="5" t="str">
        <f aca="false">IF(A894="","",IFERROR(INDEX(Parâmetros!$C$6:$C$10,MATCH(F894,Parâmetros!$B$6:$B$10,0)),""))</f>
        <v/>
      </c>
      <c r="R894" s="5" t="str">
        <f aca="false">IF(OR(A894="",P894="",Q894=""),"",P894*Q894)</f>
        <v/>
      </c>
      <c r="S894" s="5" t="str">
        <f aca="false">IF(R894="","",MAX(0,R894-G894))</f>
        <v/>
      </c>
      <c r="T894" s="21" t="str">
        <f aca="false">IF(S894="","",S894*K894)</f>
        <v/>
      </c>
      <c r="U894" s="5" t="str">
        <f aca="false">IF(A894="","",IF(J894&gt;Parâmetros!$C$14,"SIM","NAO"))</f>
        <v/>
      </c>
      <c r="V894" s="5" t="str">
        <f aca="false">IF(B894="","",TRIM(LEFT(B894,IFERROR(FIND(" ",B894)-1,LEN(B894)))))</f>
        <v/>
      </c>
      <c r="W894" s="22"/>
      <c r="X894" s="5" t="str">
        <f aca="false">IF(A894="","",IF(W894&lt;&gt;"",W894,V894))</f>
        <v/>
      </c>
      <c r="Y894" s="5" t="str">
        <f aca="false">IF(A894="","",IF(COUNTIFS($X$2:$X$2001,X894,$D$2:$D$2001,"&lt;&gt;"&amp;D894,$C$2:$C$2001,C894)&gt;0,"SIM","NAO"))</f>
        <v/>
      </c>
      <c r="Z894" s="5" t="str">
        <f aca="false">IF(A894="","",IF(J894="","",IFERROR(360/J894,"")))</f>
        <v/>
      </c>
      <c r="AA894" s="5" t="str">
        <f aca="false">IF(A894="","",IF(H894=0,"Parado (sem venda 90d)",IF(Z894&gt;12,"Alto (&gt;12x/ano)",IF(Z894&gt;=4,"Medio (4-12x/ano)","Baixo (&lt;4x/ano)"))))</f>
        <v/>
      </c>
    </row>
    <row r="895" customFormat="false" ht="15" hidden="false" customHeight="true" outlineLevel="0" collapsed="false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18"/>
      <c r="L895" s="19" t="str">
        <f aca="false">IF(A895="","",G895*K895)</f>
        <v/>
      </c>
      <c r="M895" s="20"/>
      <c r="N895" s="6"/>
      <c r="O895" s="6"/>
      <c r="P895" s="5" t="str">
        <f aca="false">IF(A895="","",H895/90)</f>
        <v/>
      </c>
      <c r="Q895" s="5" t="str">
        <f aca="false">IF(A895="","",IFERROR(INDEX(Parâmetros!$C$6:$C$10,MATCH(F895,Parâmetros!$B$6:$B$10,0)),""))</f>
        <v/>
      </c>
      <c r="R895" s="5" t="str">
        <f aca="false">IF(OR(A895="",P895="",Q895=""),"",P895*Q895)</f>
        <v/>
      </c>
      <c r="S895" s="5" t="str">
        <f aca="false">IF(R895="","",MAX(0,R895-G895))</f>
        <v/>
      </c>
      <c r="T895" s="21" t="str">
        <f aca="false">IF(S895="","",S895*K895)</f>
        <v/>
      </c>
      <c r="U895" s="5" t="str">
        <f aca="false">IF(A895="","",IF(J895&gt;Parâmetros!$C$14,"SIM","NAO"))</f>
        <v/>
      </c>
      <c r="V895" s="5" t="str">
        <f aca="false">IF(B895="","",TRIM(LEFT(B895,IFERROR(FIND(" ",B895)-1,LEN(B895)))))</f>
        <v/>
      </c>
      <c r="W895" s="22"/>
      <c r="X895" s="5" t="str">
        <f aca="false">IF(A895="","",IF(W895&lt;&gt;"",W895,V895))</f>
        <v/>
      </c>
      <c r="Y895" s="5" t="str">
        <f aca="false">IF(A895="","",IF(COUNTIFS($X$2:$X$2001,X895,$D$2:$D$2001,"&lt;&gt;"&amp;D895,$C$2:$C$2001,C895)&gt;0,"SIM","NAO"))</f>
        <v/>
      </c>
      <c r="Z895" s="5" t="str">
        <f aca="false">IF(A895="","",IF(J895="","",IFERROR(360/J895,"")))</f>
        <v/>
      </c>
      <c r="AA895" s="5" t="str">
        <f aca="false">IF(A895="","",IF(H895=0,"Parado (sem venda 90d)",IF(Z895&gt;12,"Alto (&gt;12x/ano)",IF(Z895&gt;=4,"Medio (4-12x/ano)","Baixo (&lt;4x/ano)"))))</f>
        <v/>
      </c>
    </row>
    <row r="896" customFormat="false" ht="15" hidden="false" customHeight="true" outlineLevel="0" collapsed="false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18"/>
      <c r="L896" s="19" t="str">
        <f aca="false">IF(A896="","",G896*K896)</f>
        <v/>
      </c>
      <c r="M896" s="20"/>
      <c r="N896" s="6"/>
      <c r="O896" s="6"/>
      <c r="P896" s="5" t="str">
        <f aca="false">IF(A896="","",H896/90)</f>
        <v/>
      </c>
      <c r="Q896" s="5" t="str">
        <f aca="false">IF(A896="","",IFERROR(INDEX(Parâmetros!$C$6:$C$10,MATCH(F896,Parâmetros!$B$6:$B$10,0)),""))</f>
        <v/>
      </c>
      <c r="R896" s="5" t="str">
        <f aca="false">IF(OR(A896="",P896="",Q896=""),"",P896*Q896)</f>
        <v/>
      </c>
      <c r="S896" s="5" t="str">
        <f aca="false">IF(R896="","",MAX(0,R896-G896))</f>
        <v/>
      </c>
      <c r="T896" s="21" t="str">
        <f aca="false">IF(S896="","",S896*K896)</f>
        <v/>
      </c>
      <c r="U896" s="5" t="str">
        <f aca="false">IF(A896="","",IF(J896&gt;Parâmetros!$C$14,"SIM","NAO"))</f>
        <v/>
      </c>
      <c r="V896" s="5" t="str">
        <f aca="false">IF(B896="","",TRIM(LEFT(B896,IFERROR(FIND(" ",B896)-1,LEN(B896)))))</f>
        <v/>
      </c>
      <c r="W896" s="22"/>
      <c r="X896" s="5" t="str">
        <f aca="false">IF(A896="","",IF(W896&lt;&gt;"",W896,V896))</f>
        <v/>
      </c>
      <c r="Y896" s="5" t="str">
        <f aca="false">IF(A896="","",IF(COUNTIFS($X$2:$X$2001,X896,$D$2:$D$2001,"&lt;&gt;"&amp;D896,$C$2:$C$2001,C896)&gt;0,"SIM","NAO"))</f>
        <v/>
      </c>
      <c r="Z896" s="5" t="str">
        <f aca="false">IF(A896="","",IF(J896="","",IFERROR(360/J896,"")))</f>
        <v/>
      </c>
      <c r="AA896" s="5" t="str">
        <f aca="false">IF(A896="","",IF(H896=0,"Parado (sem venda 90d)",IF(Z896&gt;12,"Alto (&gt;12x/ano)",IF(Z896&gt;=4,"Medio (4-12x/ano)","Baixo (&lt;4x/ano)"))))</f>
        <v/>
      </c>
    </row>
    <row r="897" customFormat="false" ht="15" hidden="false" customHeight="true" outlineLevel="0" collapsed="false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18"/>
      <c r="L897" s="19" t="str">
        <f aca="false">IF(A897="","",G897*K897)</f>
        <v/>
      </c>
      <c r="M897" s="20"/>
      <c r="N897" s="6"/>
      <c r="O897" s="6"/>
      <c r="P897" s="5" t="str">
        <f aca="false">IF(A897="","",H897/90)</f>
        <v/>
      </c>
      <c r="Q897" s="5" t="str">
        <f aca="false">IF(A897="","",IFERROR(INDEX(Parâmetros!$C$6:$C$10,MATCH(F897,Parâmetros!$B$6:$B$10,0)),""))</f>
        <v/>
      </c>
      <c r="R897" s="5" t="str">
        <f aca="false">IF(OR(A897="",P897="",Q897=""),"",P897*Q897)</f>
        <v/>
      </c>
      <c r="S897" s="5" t="str">
        <f aca="false">IF(R897="","",MAX(0,R897-G897))</f>
        <v/>
      </c>
      <c r="T897" s="21" t="str">
        <f aca="false">IF(S897="","",S897*K897)</f>
        <v/>
      </c>
      <c r="U897" s="5" t="str">
        <f aca="false">IF(A897="","",IF(J897&gt;Parâmetros!$C$14,"SIM","NAO"))</f>
        <v/>
      </c>
      <c r="V897" s="5" t="str">
        <f aca="false">IF(B897="","",TRIM(LEFT(B897,IFERROR(FIND(" ",B897)-1,LEN(B897)))))</f>
        <v/>
      </c>
      <c r="W897" s="22"/>
      <c r="X897" s="5" t="str">
        <f aca="false">IF(A897="","",IF(W897&lt;&gt;"",W897,V897))</f>
        <v/>
      </c>
      <c r="Y897" s="5" t="str">
        <f aca="false">IF(A897="","",IF(COUNTIFS($X$2:$X$2001,X897,$D$2:$D$2001,"&lt;&gt;"&amp;D897,$C$2:$C$2001,C897)&gt;0,"SIM","NAO"))</f>
        <v/>
      </c>
      <c r="Z897" s="5" t="str">
        <f aca="false">IF(A897="","",IF(J897="","",IFERROR(360/J897,"")))</f>
        <v/>
      </c>
      <c r="AA897" s="5" t="str">
        <f aca="false">IF(A897="","",IF(H897=0,"Parado (sem venda 90d)",IF(Z897&gt;12,"Alto (&gt;12x/ano)",IF(Z897&gt;=4,"Medio (4-12x/ano)","Baixo (&lt;4x/ano)"))))</f>
        <v/>
      </c>
    </row>
    <row r="898" customFormat="false" ht="15" hidden="false" customHeight="true" outlineLevel="0" collapsed="false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18"/>
      <c r="L898" s="19" t="str">
        <f aca="false">IF(A898="","",G898*K898)</f>
        <v/>
      </c>
      <c r="M898" s="20"/>
      <c r="N898" s="6"/>
      <c r="O898" s="6"/>
      <c r="P898" s="5" t="str">
        <f aca="false">IF(A898="","",H898/90)</f>
        <v/>
      </c>
      <c r="Q898" s="5" t="str">
        <f aca="false">IF(A898="","",IFERROR(INDEX(Parâmetros!$C$6:$C$10,MATCH(F898,Parâmetros!$B$6:$B$10,0)),""))</f>
        <v/>
      </c>
      <c r="R898" s="5" t="str">
        <f aca="false">IF(OR(A898="",P898="",Q898=""),"",P898*Q898)</f>
        <v/>
      </c>
      <c r="S898" s="5" t="str">
        <f aca="false">IF(R898="","",MAX(0,R898-G898))</f>
        <v/>
      </c>
      <c r="T898" s="21" t="str">
        <f aca="false">IF(S898="","",S898*K898)</f>
        <v/>
      </c>
      <c r="U898" s="5" t="str">
        <f aca="false">IF(A898="","",IF(J898&gt;Parâmetros!$C$14,"SIM","NAO"))</f>
        <v/>
      </c>
      <c r="V898" s="5" t="str">
        <f aca="false">IF(B898="","",TRIM(LEFT(B898,IFERROR(FIND(" ",B898)-1,LEN(B898)))))</f>
        <v/>
      </c>
      <c r="W898" s="22"/>
      <c r="X898" s="5" t="str">
        <f aca="false">IF(A898="","",IF(W898&lt;&gt;"",W898,V898))</f>
        <v/>
      </c>
      <c r="Y898" s="5" t="str">
        <f aca="false">IF(A898="","",IF(COUNTIFS($X$2:$X$2001,X898,$D$2:$D$2001,"&lt;&gt;"&amp;D898,$C$2:$C$2001,C898)&gt;0,"SIM","NAO"))</f>
        <v/>
      </c>
      <c r="Z898" s="5" t="str">
        <f aca="false">IF(A898="","",IF(J898="","",IFERROR(360/J898,"")))</f>
        <v/>
      </c>
      <c r="AA898" s="5" t="str">
        <f aca="false">IF(A898="","",IF(H898=0,"Parado (sem venda 90d)",IF(Z898&gt;12,"Alto (&gt;12x/ano)",IF(Z898&gt;=4,"Medio (4-12x/ano)","Baixo (&lt;4x/ano)"))))</f>
        <v/>
      </c>
    </row>
    <row r="899" customFormat="false" ht="15" hidden="false" customHeight="true" outlineLevel="0" collapsed="false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18"/>
      <c r="L899" s="19" t="str">
        <f aca="false">IF(A899="","",G899*K899)</f>
        <v/>
      </c>
      <c r="M899" s="20"/>
      <c r="N899" s="6"/>
      <c r="O899" s="6"/>
      <c r="P899" s="5" t="str">
        <f aca="false">IF(A899="","",H899/90)</f>
        <v/>
      </c>
      <c r="Q899" s="5" t="str">
        <f aca="false">IF(A899="","",IFERROR(INDEX(Parâmetros!$C$6:$C$10,MATCH(F899,Parâmetros!$B$6:$B$10,0)),""))</f>
        <v/>
      </c>
      <c r="R899" s="5" t="str">
        <f aca="false">IF(OR(A899="",P899="",Q899=""),"",P899*Q899)</f>
        <v/>
      </c>
      <c r="S899" s="5" t="str">
        <f aca="false">IF(R899="","",MAX(0,R899-G899))</f>
        <v/>
      </c>
      <c r="T899" s="21" t="str">
        <f aca="false">IF(S899="","",S899*K899)</f>
        <v/>
      </c>
      <c r="U899" s="5" t="str">
        <f aca="false">IF(A899="","",IF(J899&gt;Parâmetros!$C$14,"SIM","NAO"))</f>
        <v/>
      </c>
      <c r="V899" s="5" t="str">
        <f aca="false">IF(B899="","",TRIM(LEFT(B899,IFERROR(FIND(" ",B899)-1,LEN(B899)))))</f>
        <v/>
      </c>
      <c r="W899" s="22"/>
      <c r="X899" s="5" t="str">
        <f aca="false">IF(A899="","",IF(W899&lt;&gt;"",W899,V899))</f>
        <v/>
      </c>
      <c r="Y899" s="5" t="str">
        <f aca="false">IF(A899="","",IF(COUNTIFS($X$2:$X$2001,X899,$D$2:$D$2001,"&lt;&gt;"&amp;D899,$C$2:$C$2001,C899)&gt;0,"SIM","NAO"))</f>
        <v/>
      </c>
      <c r="Z899" s="5" t="str">
        <f aca="false">IF(A899="","",IF(J899="","",IFERROR(360/J899,"")))</f>
        <v/>
      </c>
      <c r="AA899" s="5" t="str">
        <f aca="false">IF(A899="","",IF(H899=0,"Parado (sem venda 90d)",IF(Z899&gt;12,"Alto (&gt;12x/ano)",IF(Z899&gt;=4,"Medio (4-12x/ano)","Baixo (&lt;4x/ano)"))))</f>
        <v/>
      </c>
    </row>
    <row r="900" customFormat="false" ht="15" hidden="false" customHeight="true" outlineLevel="0" collapsed="false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18"/>
      <c r="L900" s="19" t="str">
        <f aca="false">IF(A900="","",G900*K900)</f>
        <v/>
      </c>
      <c r="M900" s="20"/>
      <c r="N900" s="6"/>
      <c r="O900" s="6"/>
      <c r="P900" s="5" t="str">
        <f aca="false">IF(A900="","",H900/90)</f>
        <v/>
      </c>
      <c r="Q900" s="5" t="str">
        <f aca="false">IF(A900="","",IFERROR(INDEX(Parâmetros!$C$6:$C$10,MATCH(F900,Parâmetros!$B$6:$B$10,0)),""))</f>
        <v/>
      </c>
      <c r="R900" s="5" t="str">
        <f aca="false">IF(OR(A900="",P900="",Q900=""),"",P900*Q900)</f>
        <v/>
      </c>
      <c r="S900" s="5" t="str">
        <f aca="false">IF(R900="","",MAX(0,R900-G900))</f>
        <v/>
      </c>
      <c r="T900" s="21" t="str">
        <f aca="false">IF(S900="","",S900*K900)</f>
        <v/>
      </c>
      <c r="U900" s="5" t="str">
        <f aca="false">IF(A900="","",IF(J900&gt;Parâmetros!$C$14,"SIM","NAO"))</f>
        <v/>
      </c>
      <c r="V900" s="5" t="str">
        <f aca="false">IF(B900="","",TRIM(LEFT(B900,IFERROR(FIND(" ",B900)-1,LEN(B900)))))</f>
        <v/>
      </c>
      <c r="W900" s="22"/>
      <c r="X900" s="5" t="str">
        <f aca="false">IF(A900="","",IF(W900&lt;&gt;"",W900,V900))</f>
        <v/>
      </c>
      <c r="Y900" s="5" t="str">
        <f aca="false">IF(A900="","",IF(COUNTIFS($X$2:$X$2001,X900,$D$2:$D$2001,"&lt;&gt;"&amp;D900,$C$2:$C$2001,C900)&gt;0,"SIM","NAO"))</f>
        <v/>
      </c>
      <c r="Z900" s="5" t="str">
        <f aca="false">IF(A900="","",IF(J900="","",IFERROR(360/J900,"")))</f>
        <v/>
      </c>
      <c r="AA900" s="5" t="str">
        <f aca="false">IF(A900="","",IF(H900=0,"Parado (sem venda 90d)",IF(Z900&gt;12,"Alto (&gt;12x/ano)",IF(Z900&gt;=4,"Medio (4-12x/ano)","Baixo (&lt;4x/ano)"))))</f>
        <v/>
      </c>
    </row>
    <row r="901" customFormat="false" ht="15" hidden="false" customHeight="true" outlineLevel="0" collapsed="false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18"/>
      <c r="L901" s="19" t="str">
        <f aca="false">IF(A901="","",G901*K901)</f>
        <v/>
      </c>
      <c r="M901" s="20"/>
      <c r="N901" s="6"/>
      <c r="O901" s="6"/>
      <c r="P901" s="5" t="str">
        <f aca="false">IF(A901="","",H901/90)</f>
        <v/>
      </c>
      <c r="Q901" s="5" t="str">
        <f aca="false">IF(A901="","",IFERROR(INDEX(Parâmetros!$C$6:$C$10,MATCH(F901,Parâmetros!$B$6:$B$10,0)),""))</f>
        <v/>
      </c>
      <c r="R901" s="5" t="str">
        <f aca="false">IF(OR(A901="",P901="",Q901=""),"",P901*Q901)</f>
        <v/>
      </c>
      <c r="S901" s="5" t="str">
        <f aca="false">IF(R901="","",MAX(0,R901-G901))</f>
        <v/>
      </c>
      <c r="T901" s="21" t="str">
        <f aca="false">IF(S901="","",S901*K901)</f>
        <v/>
      </c>
      <c r="U901" s="5" t="str">
        <f aca="false">IF(A901="","",IF(J901&gt;Parâmetros!$C$14,"SIM","NAO"))</f>
        <v/>
      </c>
      <c r="V901" s="5" t="str">
        <f aca="false">IF(B901="","",TRIM(LEFT(B901,IFERROR(FIND(" ",B901)-1,LEN(B901)))))</f>
        <v/>
      </c>
      <c r="W901" s="22"/>
      <c r="X901" s="5" t="str">
        <f aca="false">IF(A901="","",IF(W901&lt;&gt;"",W901,V901))</f>
        <v/>
      </c>
      <c r="Y901" s="5" t="str">
        <f aca="false">IF(A901="","",IF(COUNTIFS($X$2:$X$2001,X901,$D$2:$D$2001,"&lt;&gt;"&amp;D901,$C$2:$C$2001,C901)&gt;0,"SIM","NAO"))</f>
        <v/>
      </c>
      <c r="Z901" s="5" t="str">
        <f aca="false">IF(A901="","",IF(J901="","",IFERROR(360/J901,"")))</f>
        <v/>
      </c>
      <c r="AA901" s="5" t="str">
        <f aca="false">IF(A901="","",IF(H901=0,"Parado (sem venda 90d)",IF(Z901&gt;12,"Alto (&gt;12x/ano)",IF(Z901&gt;=4,"Medio (4-12x/ano)","Baixo (&lt;4x/ano)"))))</f>
        <v/>
      </c>
    </row>
    <row r="902" customFormat="false" ht="15" hidden="false" customHeight="true" outlineLevel="0" collapsed="false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18"/>
      <c r="L902" s="19" t="str">
        <f aca="false">IF(A902="","",G902*K902)</f>
        <v/>
      </c>
      <c r="M902" s="20"/>
      <c r="N902" s="6"/>
      <c r="O902" s="6"/>
      <c r="P902" s="5" t="str">
        <f aca="false">IF(A902="","",H902/90)</f>
        <v/>
      </c>
      <c r="Q902" s="5" t="str">
        <f aca="false">IF(A902="","",IFERROR(INDEX(Parâmetros!$C$6:$C$10,MATCH(F902,Parâmetros!$B$6:$B$10,0)),""))</f>
        <v/>
      </c>
      <c r="R902" s="5" t="str">
        <f aca="false">IF(OR(A902="",P902="",Q902=""),"",P902*Q902)</f>
        <v/>
      </c>
      <c r="S902" s="5" t="str">
        <f aca="false">IF(R902="","",MAX(0,R902-G902))</f>
        <v/>
      </c>
      <c r="T902" s="21" t="str">
        <f aca="false">IF(S902="","",S902*K902)</f>
        <v/>
      </c>
      <c r="U902" s="5" t="str">
        <f aca="false">IF(A902="","",IF(J902&gt;Parâmetros!$C$14,"SIM","NAO"))</f>
        <v/>
      </c>
      <c r="V902" s="5" t="str">
        <f aca="false">IF(B902="","",TRIM(LEFT(B902,IFERROR(FIND(" ",B902)-1,LEN(B902)))))</f>
        <v/>
      </c>
      <c r="W902" s="22"/>
      <c r="X902" s="5" t="str">
        <f aca="false">IF(A902="","",IF(W902&lt;&gt;"",W902,V902))</f>
        <v/>
      </c>
      <c r="Y902" s="5" t="str">
        <f aca="false">IF(A902="","",IF(COUNTIFS($X$2:$X$2001,X902,$D$2:$D$2001,"&lt;&gt;"&amp;D902,$C$2:$C$2001,C902)&gt;0,"SIM","NAO"))</f>
        <v/>
      </c>
      <c r="Z902" s="5" t="str">
        <f aca="false">IF(A902="","",IF(J902="","",IFERROR(360/J902,"")))</f>
        <v/>
      </c>
      <c r="AA902" s="5" t="str">
        <f aca="false">IF(A902="","",IF(H902=0,"Parado (sem venda 90d)",IF(Z902&gt;12,"Alto (&gt;12x/ano)",IF(Z902&gt;=4,"Medio (4-12x/ano)","Baixo (&lt;4x/ano)"))))</f>
        <v/>
      </c>
    </row>
    <row r="903" customFormat="false" ht="15" hidden="false" customHeight="true" outlineLevel="0" collapsed="false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18"/>
      <c r="L903" s="19" t="str">
        <f aca="false">IF(A903="","",G903*K903)</f>
        <v/>
      </c>
      <c r="M903" s="20"/>
      <c r="N903" s="6"/>
      <c r="O903" s="6"/>
      <c r="P903" s="5" t="str">
        <f aca="false">IF(A903="","",H903/90)</f>
        <v/>
      </c>
      <c r="Q903" s="5" t="str">
        <f aca="false">IF(A903="","",IFERROR(INDEX(Parâmetros!$C$6:$C$10,MATCH(F903,Parâmetros!$B$6:$B$10,0)),""))</f>
        <v/>
      </c>
      <c r="R903" s="5" t="str">
        <f aca="false">IF(OR(A903="",P903="",Q903=""),"",P903*Q903)</f>
        <v/>
      </c>
      <c r="S903" s="5" t="str">
        <f aca="false">IF(R903="","",MAX(0,R903-G903))</f>
        <v/>
      </c>
      <c r="T903" s="21" t="str">
        <f aca="false">IF(S903="","",S903*K903)</f>
        <v/>
      </c>
      <c r="U903" s="5" t="str">
        <f aca="false">IF(A903="","",IF(J903&gt;Parâmetros!$C$14,"SIM","NAO"))</f>
        <v/>
      </c>
      <c r="V903" s="5" t="str">
        <f aca="false">IF(B903="","",TRIM(LEFT(B903,IFERROR(FIND(" ",B903)-1,LEN(B903)))))</f>
        <v/>
      </c>
      <c r="W903" s="22"/>
      <c r="X903" s="5" t="str">
        <f aca="false">IF(A903="","",IF(W903&lt;&gt;"",W903,V903))</f>
        <v/>
      </c>
      <c r="Y903" s="5" t="str">
        <f aca="false">IF(A903="","",IF(COUNTIFS($X$2:$X$2001,X903,$D$2:$D$2001,"&lt;&gt;"&amp;D903,$C$2:$C$2001,C903)&gt;0,"SIM","NAO"))</f>
        <v/>
      </c>
      <c r="Z903" s="5" t="str">
        <f aca="false">IF(A903="","",IF(J903="","",IFERROR(360/J903,"")))</f>
        <v/>
      </c>
      <c r="AA903" s="5" t="str">
        <f aca="false">IF(A903="","",IF(H903=0,"Parado (sem venda 90d)",IF(Z903&gt;12,"Alto (&gt;12x/ano)",IF(Z903&gt;=4,"Medio (4-12x/ano)","Baixo (&lt;4x/ano)"))))</f>
        <v/>
      </c>
    </row>
    <row r="904" customFormat="false" ht="15" hidden="false" customHeight="true" outlineLevel="0" collapsed="false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18"/>
      <c r="L904" s="19" t="str">
        <f aca="false">IF(A904="","",G904*K904)</f>
        <v/>
      </c>
      <c r="M904" s="20"/>
      <c r="N904" s="6"/>
      <c r="O904" s="6"/>
      <c r="P904" s="5" t="str">
        <f aca="false">IF(A904="","",H904/90)</f>
        <v/>
      </c>
      <c r="Q904" s="5" t="str">
        <f aca="false">IF(A904="","",IFERROR(INDEX(Parâmetros!$C$6:$C$10,MATCH(F904,Parâmetros!$B$6:$B$10,0)),""))</f>
        <v/>
      </c>
      <c r="R904" s="5" t="str">
        <f aca="false">IF(OR(A904="",P904="",Q904=""),"",P904*Q904)</f>
        <v/>
      </c>
      <c r="S904" s="5" t="str">
        <f aca="false">IF(R904="","",MAX(0,R904-G904))</f>
        <v/>
      </c>
      <c r="T904" s="21" t="str">
        <f aca="false">IF(S904="","",S904*K904)</f>
        <v/>
      </c>
      <c r="U904" s="5" t="str">
        <f aca="false">IF(A904="","",IF(J904&gt;Parâmetros!$C$14,"SIM","NAO"))</f>
        <v/>
      </c>
      <c r="V904" s="5" t="str">
        <f aca="false">IF(B904="","",TRIM(LEFT(B904,IFERROR(FIND(" ",B904)-1,LEN(B904)))))</f>
        <v/>
      </c>
      <c r="W904" s="22"/>
      <c r="X904" s="5" t="str">
        <f aca="false">IF(A904="","",IF(W904&lt;&gt;"",W904,V904))</f>
        <v/>
      </c>
      <c r="Y904" s="5" t="str">
        <f aca="false">IF(A904="","",IF(COUNTIFS($X$2:$X$2001,X904,$D$2:$D$2001,"&lt;&gt;"&amp;D904,$C$2:$C$2001,C904)&gt;0,"SIM","NAO"))</f>
        <v/>
      </c>
      <c r="Z904" s="5" t="str">
        <f aca="false">IF(A904="","",IF(J904="","",IFERROR(360/J904,"")))</f>
        <v/>
      </c>
      <c r="AA904" s="5" t="str">
        <f aca="false">IF(A904="","",IF(H904=0,"Parado (sem venda 90d)",IF(Z904&gt;12,"Alto (&gt;12x/ano)",IF(Z904&gt;=4,"Medio (4-12x/ano)","Baixo (&lt;4x/ano)"))))</f>
        <v/>
      </c>
    </row>
    <row r="905" customFormat="false" ht="15" hidden="false" customHeight="true" outlineLevel="0" collapsed="false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18"/>
      <c r="L905" s="19" t="str">
        <f aca="false">IF(A905="","",G905*K905)</f>
        <v/>
      </c>
      <c r="M905" s="20"/>
      <c r="N905" s="6"/>
      <c r="O905" s="6"/>
      <c r="P905" s="5" t="str">
        <f aca="false">IF(A905="","",H905/90)</f>
        <v/>
      </c>
      <c r="Q905" s="5" t="str">
        <f aca="false">IF(A905="","",IFERROR(INDEX(Parâmetros!$C$6:$C$10,MATCH(F905,Parâmetros!$B$6:$B$10,0)),""))</f>
        <v/>
      </c>
      <c r="R905" s="5" t="str">
        <f aca="false">IF(OR(A905="",P905="",Q905=""),"",P905*Q905)</f>
        <v/>
      </c>
      <c r="S905" s="5" t="str">
        <f aca="false">IF(R905="","",MAX(0,R905-G905))</f>
        <v/>
      </c>
      <c r="T905" s="21" t="str">
        <f aca="false">IF(S905="","",S905*K905)</f>
        <v/>
      </c>
      <c r="U905" s="5" t="str">
        <f aca="false">IF(A905="","",IF(J905&gt;Parâmetros!$C$14,"SIM","NAO"))</f>
        <v/>
      </c>
      <c r="V905" s="5" t="str">
        <f aca="false">IF(B905="","",TRIM(LEFT(B905,IFERROR(FIND(" ",B905)-1,LEN(B905)))))</f>
        <v/>
      </c>
      <c r="W905" s="22"/>
      <c r="X905" s="5" t="str">
        <f aca="false">IF(A905="","",IF(W905&lt;&gt;"",W905,V905))</f>
        <v/>
      </c>
      <c r="Y905" s="5" t="str">
        <f aca="false">IF(A905="","",IF(COUNTIFS($X$2:$X$2001,X905,$D$2:$D$2001,"&lt;&gt;"&amp;D905,$C$2:$C$2001,C905)&gt;0,"SIM","NAO"))</f>
        <v/>
      </c>
      <c r="Z905" s="5" t="str">
        <f aca="false">IF(A905="","",IF(J905="","",IFERROR(360/J905,"")))</f>
        <v/>
      </c>
      <c r="AA905" s="5" t="str">
        <f aca="false">IF(A905="","",IF(H905=0,"Parado (sem venda 90d)",IF(Z905&gt;12,"Alto (&gt;12x/ano)",IF(Z905&gt;=4,"Medio (4-12x/ano)","Baixo (&lt;4x/ano)"))))</f>
        <v/>
      </c>
    </row>
    <row r="906" customFormat="false" ht="15" hidden="false" customHeight="true" outlineLevel="0" collapsed="false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18"/>
      <c r="L906" s="19" t="str">
        <f aca="false">IF(A906="","",G906*K906)</f>
        <v/>
      </c>
      <c r="M906" s="20"/>
      <c r="N906" s="6"/>
      <c r="O906" s="6"/>
      <c r="P906" s="5" t="str">
        <f aca="false">IF(A906="","",H906/90)</f>
        <v/>
      </c>
      <c r="Q906" s="5" t="str">
        <f aca="false">IF(A906="","",IFERROR(INDEX(Parâmetros!$C$6:$C$10,MATCH(F906,Parâmetros!$B$6:$B$10,0)),""))</f>
        <v/>
      </c>
      <c r="R906" s="5" t="str">
        <f aca="false">IF(OR(A906="",P906="",Q906=""),"",P906*Q906)</f>
        <v/>
      </c>
      <c r="S906" s="5" t="str">
        <f aca="false">IF(R906="","",MAX(0,R906-G906))</f>
        <v/>
      </c>
      <c r="T906" s="21" t="str">
        <f aca="false">IF(S906="","",S906*K906)</f>
        <v/>
      </c>
      <c r="U906" s="5" t="str">
        <f aca="false">IF(A906="","",IF(J906&gt;Parâmetros!$C$14,"SIM","NAO"))</f>
        <v/>
      </c>
      <c r="V906" s="5" t="str">
        <f aca="false">IF(B906="","",TRIM(LEFT(B906,IFERROR(FIND(" ",B906)-1,LEN(B906)))))</f>
        <v/>
      </c>
      <c r="W906" s="22"/>
      <c r="X906" s="5" t="str">
        <f aca="false">IF(A906="","",IF(W906&lt;&gt;"",W906,V906))</f>
        <v/>
      </c>
      <c r="Y906" s="5" t="str">
        <f aca="false">IF(A906="","",IF(COUNTIFS($X$2:$X$2001,X906,$D$2:$D$2001,"&lt;&gt;"&amp;D906,$C$2:$C$2001,C906)&gt;0,"SIM","NAO"))</f>
        <v/>
      </c>
      <c r="Z906" s="5" t="str">
        <f aca="false">IF(A906="","",IF(J906="","",IFERROR(360/J906,"")))</f>
        <v/>
      </c>
      <c r="AA906" s="5" t="str">
        <f aca="false">IF(A906="","",IF(H906=0,"Parado (sem venda 90d)",IF(Z906&gt;12,"Alto (&gt;12x/ano)",IF(Z906&gt;=4,"Medio (4-12x/ano)","Baixo (&lt;4x/ano)"))))</f>
        <v/>
      </c>
    </row>
    <row r="907" customFormat="false" ht="15" hidden="false" customHeight="true" outlineLevel="0" collapsed="false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18"/>
      <c r="L907" s="19" t="str">
        <f aca="false">IF(A907="","",G907*K907)</f>
        <v/>
      </c>
      <c r="M907" s="20"/>
      <c r="N907" s="6"/>
      <c r="O907" s="6"/>
      <c r="P907" s="5" t="str">
        <f aca="false">IF(A907="","",H907/90)</f>
        <v/>
      </c>
      <c r="Q907" s="5" t="str">
        <f aca="false">IF(A907="","",IFERROR(INDEX(Parâmetros!$C$6:$C$10,MATCH(F907,Parâmetros!$B$6:$B$10,0)),""))</f>
        <v/>
      </c>
      <c r="R907" s="5" t="str">
        <f aca="false">IF(OR(A907="",P907="",Q907=""),"",P907*Q907)</f>
        <v/>
      </c>
      <c r="S907" s="5" t="str">
        <f aca="false">IF(R907="","",MAX(0,R907-G907))</f>
        <v/>
      </c>
      <c r="T907" s="21" t="str">
        <f aca="false">IF(S907="","",S907*K907)</f>
        <v/>
      </c>
      <c r="U907" s="5" t="str">
        <f aca="false">IF(A907="","",IF(J907&gt;Parâmetros!$C$14,"SIM","NAO"))</f>
        <v/>
      </c>
      <c r="V907" s="5" t="str">
        <f aca="false">IF(B907="","",TRIM(LEFT(B907,IFERROR(FIND(" ",B907)-1,LEN(B907)))))</f>
        <v/>
      </c>
      <c r="W907" s="22"/>
      <c r="X907" s="5" t="str">
        <f aca="false">IF(A907="","",IF(W907&lt;&gt;"",W907,V907))</f>
        <v/>
      </c>
      <c r="Y907" s="5" t="str">
        <f aca="false">IF(A907="","",IF(COUNTIFS($X$2:$X$2001,X907,$D$2:$D$2001,"&lt;&gt;"&amp;D907,$C$2:$C$2001,C907)&gt;0,"SIM","NAO"))</f>
        <v/>
      </c>
      <c r="Z907" s="5" t="str">
        <f aca="false">IF(A907="","",IF(J907="","",IFERROR(360/J907,"")))</f>
        <v/>
      </c>
      <c r="AA907" s="5" t="str">
        <f aca="false">IF(A907="","",IF(H907=0,"Parado (sem venda 90d)",IF(Z907&gt;12,"Alto (&gt;12x/ano)",IF(Z907&gt;=4,"Medio (4-12x/ano)","Baixo (&lt;4x/ano)"))))</f>
        <v/>
      </c>
    </row>
    <row r="908" customFormat="false" ht="15" hidden="false" customHeight="true" outlineLevel="0" collapsed="false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18"/>
      <c r="L908" s="19" t="str">
        <f aca="false">IF(A908="","",G908*K908)</f>
        <v/>
      </c>
      <c r="M908" s="20"/>
      <c r="N908" s="6"/>
      <c r="O908" s="6"/>
      <c r="P908" s="5" t="str">
        <f aca="false">IF(A908="","",H908/90)</f>
        <v/>
      </c>
      <c r="Q908" s="5" t="str">
        <f aca="false">IF(A908="","",IFERROR(INDEX(Parâmetros!$C$6:$C$10,MATCH(F908,Parâmetros!$B$6:$B$10,0)),""))</f>
        <v/>
      </c>
      <c r="R908" s="5" t="str">
        <f aca="false">IF(OR(A908="",P908="",Q908=""),"",P908*Q908)</f>
        <v/>
      </c>
      <c r="S908" s="5" t="str">
        <f aca="false">IF(R908="","",MAX(0,R908-G908))</f>
        <v/>
      </c>
      <c r="T908" s="21" t="str">
        <f aca="false">IF(S908="","",S908*K908)</f>
        <v/>
      </c>
      <c r="U908" s="5" t="str">
        <f aca="false">IF(A908="","",IF(J908&gt;Parâmetros!$C$14,"SIM","NAO"))</f>
        <v/>
      </c>
      <c r="V908" s="5" t="str">
        <f aca="false">IF(B908="","",TRIM(LEFT(B908,IFERROR(FIND(" ",B908)-1,LEN(B908)))))</f>
        <v/>
      </c>
      <c r="W908" s="22"/>
      <c r="X908" s="5" t="str">
        <f aca="false">IF(A908="","",IF(W908&lt;&gt;"",W908,V908))</f>
        <v/>
      </c>
      <c r="Y908" s="5" t="str">
        <f aca="false">IF(A908="","",IF(COUNTIFS($X$2:$X$2001,X908,$D$2:$D$2001,"&lt;&gt;"&amp;D908,$C$2:$C$2001,C908)&gt;0,"SIM","NAO"))</f>
        <v/>
      </c>
      <c r="Z908" s="5" t="str">
        <f aca="false">IF(A908="","",IF(J908="","",IFERROR(360/J908,"")))</f>
        <v/>
      </c>
      <c r="AA908" s="5" t="str">
        <f aca="false">IF(A908="","",IF(H908=0,"Parado (sem venda 90d)",IF(Z908&gt;12,"Alto (&gt;12x/ano)",IF(Z908&gt;=4,"Medio (4-12x/ano)","Baixo (&lt;4x/ano)"))))</f>
        <v/>
      </c>
    </row>
    <row r="909" customFormat="false" ht="15" hidden="false" customHeight="true" outlineLevel="0" collapsed="false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18"/>
      <c r="L909" s="19" t="str">
        <f aca="false">IF(A909="","",G909*K909)</f>
        <v/>
      </c>
      <c r="M909" s="20"/>
      <c r="N909" s="6"/>
      <c r="O909" s="6"/>
      <c r="P909" s="5" t="str">
        <f aca="false">IF(A909="","",H909/90)</f>
        <v/>
      </c>
      <c r="Q909" s="5" t="str">
        <f aca="false">IF(A909="","",IFERROR(INDEX(Parâmetros!$C$6:$C$10,MATCH(F909,Parâmetros!$B$6:$B$10,0)),""))</f>
        <v/>
      </c>
      <c r="R909" s="5" t="str">
        <f aca="false">IF(OR(A909="",P909="",Q909=""),"",P909*Q909)</f>
        <v/>
      </c>
      <c r="S909" s="5" t="str">
        <f aca="false">IF(R909="","",MAX(0,R909-G909))</f>
        <v/>
      </c>
      <c r="T909" s="21" t="str">
        <f aca="false">IF(S909="","",S909*K909)</f>
        <v/>
      </c>
      <c r="U909" s="5" t="str">
        <f aca="false">IF(A909="","",IF(J909&gt;Parâmetros!$C$14,"SIM","NAO"))</f>
        <v/>
      </c>
      <c r="V909" s="5" t="str">
        <f aca="false">IF(B909="","",TRIM(LEFT(B909,IFERROR(FIND(" ",B909)-1,LEN(B909)))))</f>
        <v/>
      </c>
      <c r="W909" s="22"/>
      <c r="X909" s="5" t="str">
        <f aca="false">IF(A909="","",IF(W909&lt;&gt;"",W909,V909))</f>
        <v/>
      </c>
      <c r="Y909" s="5" t="str">
        <f aca="false">IF(A909="","",IF(COUNTIFS($X$2:$X$2001,X909,$D$2:$D$2001,"&lt;&gt;"&amp;D909,$C$2:$C$2001,C909)&gt;0,"SIM","NAO"))</f>
        <v/>
      </c>
      <c r="Z909" s="5" t="str">
        <f aca="false">IF(A909="","",IF(J909="","",IFERROR(360/J909,"")))</f>
        <v/>
      </c>
      <c r="AA909" s="5" t="str">
        <f aca="false">IF(A909="","",IF(H909=0,"Parado (sem venda 90d)",IF(Z909&gt;12,"Alto (&gt;12x/ano)",IF(Z909&gt;=4,"Medio (4-12x/ano)","Baixo (&lt;4x/ano)"))))</f>
        <v/>
      </c>
    </row>
    <row r="910" customFormat="false" ht="15" hidden="false" customHeight="true" outlineLevel="0" collapsed="false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18"/>
      <c r="L910" s="19" t="str">
        <f aca="false">IF(A910="","",G910*K910)</f>
        <v/>
      </c>
      <c r="M910" s="20"/>
      <c r="N910" s="6"/>
      <c r="O910" s="6"/>
      <c r="P910" s="5" t="str">
        <f aca="false">IF(A910="","",H910/90)</f>
        <v/>
      </c>
      <c r="Q910" s="5" t="str">
        <f aca="false">IF(A910="","",IFERROR(INDEX(Parâmetros!$C$6:$C$10,MATCH(F910,Parâmetros!$B$6:$B$10,0)),""))</f>
        <v/>
      </c>
      <c r="R910" s="5" t="str">
        <f aca="false">IF(OR(A910="",P910="",Q910=""),"",P910*Q910)</f>
        <v/>
      </c>
      <c r="S910" s="5" t="str">
        <f aca="false">IF(R910="","",MAX(0,R910-G910))</f>
        <v/>
      </c>
      <c r="T910" s="21" t="str">
        <f aca="false">IF(S910="","",S910*K910)</f>
        <v/>
      </c>
      <c r="U910" s="5" t="str">
        <f aca="false">IF(A910="","",IF(J910&gt;Parâmetros!$C$14,"SIM","NAO"))</f>
        <v/>
      </c>
      <c r="V910" s="5" t="str">
        <f aca="false">IF(B910="","",TRIM(LEFT(B910,IFERROR(FIND(" ",B910)-1,LEN(B910)))))</f>
        <v/>
      </c>
      <c r="W910" s="22"/>
      <c r="X910" s="5" t="str">
        <f aca="false">IF(A910="","",IF(W910&lt;&gt;"",W910,V910))</f>
        <v/>
      </c>
      <c r="Y910" s="5" t="str">
        <f aca="false">IF(A910="","",IF(COUNTIFS($X$2:$X$2001,X910,$D$2:$D$2001,"&lt;&gt;"&amp;D910,$C$2:$C$2001,C910)&gt;0,"SIM","NAO"))</f>
        <v/>
      </c>
      <c r="Z910" s="5" t="str">
        <f aca="false">IF(A910="","",IF(J910="","",IFERROR(360/J910,"")))</f>
        <v/>
      </c>
      <c r="AA910" s="5" t="str">
        <f aca="false">IF(A910="","",IF(H910=0,"Parado (sem venda 90d)",IF(Z910&gt;12,"Alto (&gt;12x/ano)",IF(Z910&gt;=4,"Medio (4-12x/ano)","Baixo (&lt;4x/ano)"))))</f>
        <v/>
      </c>
    </row>
    <row r="911" customFormat="false" ht="15" hidden="false" customHeight="true" outlineLevel="0" collapsed="false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18"/>
      <c r="L911" s="19" t="str">
        <f aca="false">IF(A911="","",G911*K911)</f>
        <v/>
      </c>
      <c r="M911" s="20"/>
      <c r="N911" s="6"/>
      <c r="O911" s="6"/>
      <c r="P911" s="5" t="str">
        <f aca="false">IF(A911="","",H911/90)</f>
        <v/>
      </c>
      <c r="Q911" s="5" t="str">
        <f aca="false">IF(A911="","",IFERROR(INDEX(Parâmetros!$C$6:$C$10,MATCH(F911,Parâmetros!$B$6:$B$10,0)),""))</f>
        <v/>
      </c>
      <c r="R911" s="5" t="str">
        <f aca="false">IF(OR(A911="",P911="",Q911=""),"",P911*Q911)</f>
        <v/>
      </c>
      <c r="S911" s="5" t="str">
        <f aca="false">IF(R911="","",MAX(0,R911-G911))</f>
        <v/>
      </c>
      <c r="T911" s="21" t="str">
        <f aca="false">IF(S911="","",S911*K911)</f>
        <v/>
      </c>
      <c r="U911" s="5" t="str">
        <f aca="false">IF(A911="","",IF(J911&gt;Parâmetros!$C$14,"SIM","NAO"))</f>
        <v/>
      </c>
      <c r="V911" s="5" t="str">
        <f aca="false">IF(B911="","",TRIM(LEFT(B911,IFERROR(FIND(" ",B911)-1,LEN(B911)))))</f>
        <v/>
      </c>
      <c r="W911" s="22"/>
      <c r="X911" s="5" t="str">
        <f aca="false">IF(A911="","",IF(W911&lt;&gt;"",W911,V911))</f>
        <v/>
      </c>
      <c r="Y911" s="5" t="str">
        <f aca="false">IF(A911="","",IF(COUNTIFS($X$2:$X$2001,X911,$D$2:$D$2001,"&lt;&gt;"&amp;D911,$C$2:$C$2001,C911)&gt;0,"SIM","NAO"))</f>
        <v/>
      </c>
      <c r="Z911" s="5" t="str">
        <f aca="false">IF(A911="","",IF(J911="","",IFERROR(360/J911,"")))</f>
        <v/>
      </c>
      <c r="AA911" s="5" t="str">
        <f aca="false">IF(A911="","",IF(H911=0,"Parado (sem venda 90d)",IF(Z911&gt;12,"Alto (&gt;12x/ano)",IF(Z911&gt;=4,"Medio (4-12x/ano)","Baixo (&lt;4x/ano)"))))</f>
        <v/>
      </c>
    </row>
    <row r="912" customFormat="false" ht="15" hidden="false" customHeight="true" outlineLevel="0" collapsed="false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18"/>
      <c r="L912" s="19" t="str">
        <f aca="false">IF(A912="","",G912*K912)</f>
        <v/>
      </c>
      <c r="M912" s="20"/>
      <c r="N912" s="6"/>
      <c r="O912" s="6"/>
      <c r="P912" s="5" t="str">
        <f aca="false">IF(A912="","",H912/90)</f>
        <v/>
      </c>
      <c r="Q912" s="5" t="str">
        <f aca="false">IF(A912="","",IFERROR(INDEX(Parâmetros!$C$6:$C$10,MATCH(F912,Parâmetros!$B$6:$B$10,0)),""))</f>
        <v/>
      </c>
      <c r="R912" s="5" t="str">
        <f aca="false">IF(OR(A912="",P912="",Q912=""),"",P912*Q912)</f>
        <v/>
      </c>
      <c r="S912" s="5" t="str">
        <f aca="false">IF(R912="","",MAX(0,R912-G912))</f>
        <v/>
      </c>
      <c r="T912" s="21" t="str">
        <f aca="false">IF(S912="","",S912*K912)</f>
        <v/>
      </c>
      <c r="U912" s="5" t="str">
        <f aca="false">IF(A912="","",IF(J912&gt;Parâmetros!$C$14,"SIM","NAO"))</f>
        <v/>
      </c>
      <c r="V912" s="5" t="str">
        <f aca="false">IF(B912="","",TRIM(LEFT(B912,IFERROR(FIND(" ",B912)-1,LEN(B912)))))</f>
        <v/>
      </c>
      <c r="W912" s="22"/>
      <c r="X912" s="5" t="str">
        <f aca="false">IF(A912="","",IF(W912&lt;&gt;"",W912,V912))</f>
        <v/>
      </c>
      <c r="Y912" s="5" t="str">
        <f aca="false">IF(A912="","",IF(COUNTIFS($X$2:$X$2001,X912,$D$2:$D$2001,"&lt;&gt;"&amp;D912,$C$2:$C$2001,C912)&gt;0,"SIM","NAO"))</f>
        <v/>
      </c>
      <c r="Z912" s="5" t="str">
        <f aca="false">IF(A912="","",IF(J912="","",IFERROR(360/J912,"")))</f>
        <v/>
      </c>
      <c r="AA912" s="5" t="str">
        <f aca="false">IF(A912="","",IF(H912=0,"Parado (sem venda 90d)",IF(Z912&gt;12,"Alto (&gt;12x/ano)",IF(Z912&gt;=4,"Medio (4-12x/ano)","Baixo (&lt;4x/ano)"))))</f>
        <v/>
      </c>
    </row>
    <row r="913" customFormat="false" ht="15" hidden="false" customHeight="true" outlineLevel="0" collapsed="false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18"/>
      <c r="L913" s="19" t="str">
        <f aca="false">IF(A913="","",G913*K913)</f>
        <v/>
      </c>
      <c r="M913" s="20"/>
      <c r="N913" s="6"/>
      <c r="O913" s="6"/>
      <c r="P913" s="5" t="str">
        <f aca="false">IF(A913="","",H913/90)</f>
        <v/>
      </c>
      <c r="Q913" s="5" t="str">
        <f aca="false">IF(A913="","",IFERROR(INDEX(Parâmetros!$C$6:$C$10,MATCH(F913,Parâmetros!$B$6:$B$10,0)),""))</f>
        <v/>
      </c>
      <c r="R913" s="5" t="str">
        <f aca="false">IF(OR(A913="",P913="",Q913=""),"",P913*Q913)</f>
        <v/>
      </c>
      <c r="S913" s="5" t="str">
        <f aca="false">IF(R913="","",MAX(0,R913-G913))</f>
        <v/>
      </c>
      <c r="T913" s="21" t="str">
        <f aca="false">IF(S913="","",S913*K913)</f>
        <v/>
      </c>
      <c r="U913" s="5" t="str">
        <f aca="false">IF(A913="","",IF(J913&gt;Parâmetros!$C$14,"SIM","NAO"))</f>
        <v/>
      </c>
      <c r="V913" s="5" t="str">
        <f aca="false">IF(B913="","",TRIM(LEFT(B913,IFERROR(FIND(" ",B913)-1,LEN(B913)))))</f>
        <v/>
      </c>
      <c r="W913" s="22"/>
      <c r="X913" s="5" t="str">
        <f aca="false">IF(A913="","",IF(W913&lt;&gt;"",W913,V913))</f>
        <v/>
      </c>
      <c r="Y913" s="5" t="str">
        <f aca="false">IF(A913="","",IF(COUNTIFS($X$2:$X$2001,X913,$D$2:$D$2001,"&lt;&gt;"&amp;D913,$C$2:$C$2001,C913)&gt;0,"SIM","NAO"))</f>
        <v/>
      </c>
      <c r="Z913" s="5" t="str">
        <f aca="false">IF(A913="","",IF(J913="","",IFERROR(360/J913,"")))</f>
        <v/>
      </c>
      <c r="AA913" s="5" t="str">
        <f aca="false">IF(A913="","",IF(H913=0,"Parado (sem venda 90d)",IF(Z913&gt;12,"Alto (&gt;12x/ano)",IF(Z913&gt;=4,"Medio (4-12x/ano)","Baixo (&lt;4x/ano)"))))</f>
        <v/>
      </c>
    </row>
    <row r="914" customFormat="false" ht="15" hidden="false" customHeight="true" outlineLevel="0" collapsed="false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18"/>
      <c r="L914" s="19" t="str">
        <f aca="false">IF(A914="","",G914*K914)</f>
        <v/>
      </c>
      <c r="M914" s="20"/>
      <c r="N914" s="6"/>
      <c r="O914" s="6"/>
      <c r="P914" s="5" t="str">
        <f aca="false">IF(A914="","",H914/90)</f>
        <v/>
      </c>
      <c r="Q914" s="5" t="str">
        <f aca="false">IF(A914="","",IFERROR(INDEX(Parâmetros!$C$6:$C$10,MATCH(F914,Parâmetros!$B$6:$B$10,0)),""))</f>
        <v/>
      </c>
      <c r="R914" s="5" t="str">
        <f aca="false">IF(OR(A914="",P914="",Q914=""),"",P914*Q914)</f>
        <v/>
      </c>
      <c r="S914" s="5" t="str">
        <f aca="false">IF(R914="","",MAX(0,R914-G914))</f>
        <v/>
      </c>
      <c r="T914" s="21" t="str">
        <f aca="false">IF(S914="","",S914*K914)</f>
        <v/>
      </c>
      <c r="U914" s="5" t="str">
        <f aca="false">IF(A914="","",IF(J914&gt;Parâmetros!$C$14,"SIM","NAO"))</f>
        <v/>
      </c>
      <c r="V914" s="5" t="str">
        <f aca="false">IF(B914="","",TRIM(LEFT(B914,IFERROR(FIND(" ",B914)-1,LEN(B914)))))</f>
        <v/>
      </c>
      <c r="W914" s="22"/>
      <c r="X914" s="5" t="str">
        <f aca="false">IF(A914="","",IF(W914&lt;&gt;"",W914,V914))</f>
        <v/>
      </c>
      <c r="Y914" s="5" t="str">
        <f aca="false">IF(A914="","",IF(COUNTIFS($X$2:$X$2001,X914,$D$2:$D$2001,"&lt;&gt;"&amp;D914,$C$2:$C$2001,C914)&gt;0,"SIM","NAO"))</f>
        <v/>
      </c>
      <c r="Z914" s="5" t="str">
        <f aca="false">IF(A914="","",IF(J914="","",IFERROR(360/J914,"")))</f>
        <v/>
      </c>
      <c r="AA914" s="5" t="str">
        <f aca="false">IF(A914="","",IF(H914=0,"Parado (sem venda 90d)",IF(Z914&gt;12,"Alto (&gt;12x/ano)",IF(Z914&gt;=4,"Medio (4-12x/ano)","Baixo (&lt;4x/ano)"))))</f>
        <v/>
      </c>
    </row>
    <row r="915" customFormat="false" ht="15" hidden="false" customHeight="true" outlineLevel="0" collapsed="false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18"/>
      <c r="L915" s="19" t="str">
        <f aca="false">IF(A915="","",G915*K915)</f>
        <v/>
      </c>
      <c r="M915" s="20"/>
      <c r="N915" s="6"/>
      <c r="O915" s="6"/>
      <c r="P915" s="5" t="str">
        <f aca="false">IF(A915="","",H915/90)</f>
        <v/>
      </c>
      <c r="Q915" s="5" t="str">
        <f aca="false">IF(A915="","",IFERROR(INDEX(Parâmetros!$C$6:$C$10,MATCH(F915,Parâmetros!$B$6:$B$10,0)),""))</f>
        <v/>
      </c>
      <c r="R915" s="5" t="str">
        <f aca="false">IF(OR(A915="",P915="",Q915=""),"",P915*Q915)</f>
        <v/>
      </c>
      <c r="S915" s="5" t="str">
        <f aca="false">IF(R915="","",MAX(0,R915-G915))</f>
        <v/>
      </c>
      <c r="T915" s="21" t="str">
        <f aca="false">IF(S915="","",S915*K915)</f>
        <v/>
      </c>
      <c r="U915" s="5" t="str">
        <f aca="false">IF(A915="","",IF(J915&gt;Parâmetros!$C$14,"SIM","NAO"))</f>
        <v/>
      </c>
      <c r="V915" s="5" t="str">
        <f aca="false">IF(B915="","",TRIM(LEFT(B915,IFERROR(FIND(" ",B915)-1,LEN(B915)))))</f>
        <v/>
      </c>
      <c r="W915" s="22"/>
      <c r="X915" s="5" t="str">
        <f aca="false">IF(A915="","",IF(W915&lt;&gt;"",W915,V915))</f>
        <v/>
      </c>
      <c r="Y915" s="5" t="str">
        <f aca="false">IF(A915="","",IF(COUNTIFS($X$2:$X$2001,X915,$D$2:$D$2001,"&lt;&gt;"&amp;D915,$C$2:$C$2001,C915)&gt;0,"SIM","NAO"))</f>
        <v/>
      </c>
      <c r="Z915" s="5" t="str">
        <f aca="false">IF(A915="","",IF(J915="","",IFERROR(360/J915,"")))</f>
        <v/>
      </c>
      <c r="AA915" s="5" t="str">
        <f aca="false">IF(A915="","",IF(H915=0,"Parado (sem venda 90d)",IF(Z915&gt;12,"Alto (&gt;12x/ano)",IF(Z915&gt;=4,"Medio (4-12x/ano)","Baixo (&lt;4x/ano)"))))</f>
        <v/>
      </c>
    </row>
    <row r="916" customFormat="false" ht="15" hidden="false" customHeight="true" outlineLevel="0" collapsed="false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18"/>
      <c r="L916" s="19" t="str">
        <f aca="false">IF(A916="","",G916*K916)</f>
        <v/>
      </c>
      <c r="M916" s="20"/>
      <c r="N916" s="6"/>
      <c r="O916" s="6"/>
      <c r="P916" s="5" t="str">
        <f aca="false">IF(A916="","",H916/90)</f>
        <v/>
      </c>
      <c r="Q916" s="5" t="str">
        <f aca="false">IF(A916="","",IFERROR(INDEX(Parâmetros!$C$6:$C$10,MATCH(F916,Parâmetros!$B$6:$B$10,0)),""))</f>
        <v/>
      </c>
      <c r="R916" s="5" t="str">
        <f aca="false">IF(OR(A916="",P916="",Q916=""),"",P916*Q916)</f>
        <v/>
      </c>
      <c r="S916" s="5" t="str">
        <f aca="false">IF(R916="","",MAX(0,R916-G916))</f>
        <v/>
      </c>
      <c r="T916" s="21" t="str">
        <f aca="false">IF(S916="","",S916*K916)</f>
        <v/>
      </c>
      <c r="U916" s="5" t="str">
        <f aca="false">IF(A916="","",IF(J916&gt;Parâmetros!$C$14,"SIM","NAO"))</f>
        <v/>
      </c>
      <c r="V916" s="5" t="str">
        <f aca="false">IF(B916="","",TRIM(LEFT(B916,IFERROR(FIND(" ",B916)-1,LEN(B916)))))</f>
        <v/>
      </c>
      <c r="W916" s="22"/>
      <c r="X916" s="5" t="str">
        <f aca="false">IF(A916="","",IF(W916&lt;&gt;"",W916,V916))</f>
        <v/>
      </c>
      <c r="Y916" s="5" t="str">
        <f aca="false">IF(A916="","",IF(COUNTIFS($X$2:$X$2001,X916,$D$2:$D$2001,"&lt;&gt;"&amp;D916,$C$2:$C$2001,C916)&gt;0,"SIM","NAO"))</f>
        <v/>
      </c>
      <c r="Z916" s="5" t="str">
        <f aca="false">IF(A916="","",IF(J916="","",IFERROR(360/J916,"")))</f>
        <v/>
      </c>
      <c r="AA916" s="5" t="str">
        <f aca="false">IF(A916="","",IF(H916=0,"Parado (sem venda 90d)",IF(Z916&gt;12,"Alto (&gt;12x/ano)",IF(Z916&gt;=4,"Medio (4-12x/ano)","Baixo (&lt;4x/ano)"))))</f>
        <v/>
      </c>
    </row>
    <row r="917" customFormat="false" ht="15" hidden="false" customHeight="true" outlineLevel="0" collapsed="false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18"/>
      <c r="L917" s="19" t="str">
        <f aca="false">IF(A917="","",G917*K917)</f>
        <v/>
      </c>
      <c r="M917" s="20"/>
      <c r="N917" s="6"/>
      <c r="O917" s="6"/>
      <c r="P917" s="5" t="str">
        <f aca="false">IF(A917="","",H917/90)</f>
        <v/>
      </c>
      <c r="Q917" s="5" t="str">
        <f aca="false">IF(A917="","",IFERROR(INDEX(Parâmetros!$C$6:$C$10,MATCH(F917,Parâmetros!$B$6:$B$10,0)),""))</f>
        <v/>
      </c>
      <c r="R917" s="5" t="str">
        <f aca="false">IF(OR(A917="",P917="",Q917=""),"",P917*Q917)</f>
        <v/>
      </c>
      <c r="S917" s="5" t="str">
        <f aca="false">IF(R917="","",MAX(0,R917-G917))</f>
        <v/>
      </c>
      <c r="T917" s="21" t="str">
        <f aca="false">IF(S917="","",S917*K917)</f>
        <v/>
      </c>
      <c r="U917" s="5" t="str">
        <f aca="false">IF(A917="","",IF(J917&gt;Parâmetros!$C$14,"SIM","NAO"))</f>
        <v/>
      </c>
      <c r="V917" s="5" t="str">
        <f aca="false">IF(B917="","",TRIM(LEFT(B917,IFERROR(FIND(" ",B917)-1,LEN(B917)))))</f>
        <v/>
      </c>
      <c r="W917" s="22"/>
      <c r="X917" s="5" t="str">
        <f aca="false">IF(A917="","",IF(W917&lt;&gt;"",W917,V917))</f>
        <v/>
      </c>
      <c r="Y917" s="5" t="str">
        <f aca="false">IF(A917="","",IF(COUNTIFS($X$2:$X$2001,X917,$D$2:$D$2001,"&lt;&gt;"&amp;D917,$C$2:$C$2001,C917)&gt;0,"SIM","NAO"))</f>
        <v/>
      </c>
      <c r="Z917" s="5" t="str">
        <f aca="false">IF(A917="","",IF(J917="","",IFERROR(360/J917,"")))</f>
        <v/>
      </c>
      <c r="AA917" s="5" t="str">
        <f aca="false">IF(A917="","",IF(H917=0,"Parado (sem venda 90d)",IF(Z917&gt;12,"Alto (&gt;12x/ano)",IF(Z917&gt;=4,"Medio (4-12x/ano)","Baixo (&lt;4x/ano)"))))</f>
        <v/>
      </c>
    </row>
    <row r="918" customFormat="false" ht="15" hidden="false" customHeight="true" outlineLevel="0" collapsed="false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18"/>
      <c r="L918" s="19" t="str">
        <f aca="false">IF(A918="","",G918*K918)</f>
        <v/>
      </c>
      <c r="M918" s="20"/>
      <c r="N918" s="6"/>
      <c r="O918" s="6"/>
      <c r="P918" s="5" t="str">
        <f aca="false">IF(A918="","",H918/90)</f>
        <v/>
      </c>
      <c r="Q918" s="5" t="str">
        <f aca="false">IF(A918="","",IFERROR(INDEX(Parâmetros!$C$6:$C$10,MATCH(F918,Parâmetros!$B$6:$B$10,0)),""))</f>
        <v/>
      </c>
      <c r="R918" s="5" t="str">
        <f aca="false">IF(OR(A918="",P918="",Q918=""),"",P918*Q918)</f>
        <v/>
      </c>
      <c r="S918" s="5" t="str">
        <f aca="false">IF(R918="","",MAX(0,R918-G918))</f>
        <v/>
      </c>
      <c r="T918" s="21" t="str">
        <f aca="false">IF(S918="","",S918*K918)</f>
        <v/>
      </c>
      <c r="U918" s="5" t="str">
        <f aca="false">IF(A918="","",IF(J918&gt;Parâmetros!$C$14,"SIM","NAO"))</f>
        <v/>
      </c>
      <c r="V918" s="5" t="str">
        <f aca="false">IF(B918="","",TRIM(LEFT(B918,IFERROR(FIND(" ",B918)-1,LEN(B918)))))</f>
        <v/>
      </c>
      <c r="W918" s="22"/>
      <c r="X918" s="5" t="str">
        <f aca="false">IF(A918="","",IF(W918&lt;&gt;"",W918,V918))</f>
        <v/>
      </c>
      <c r="Y918" s="5" t="str">
        <f aca="false">IF(A918="","",IF(COUNTIFS($X$2:$X$2001,X918,$D$2:$D$2001,"&lt;&gt;"&amp;D918,$C$2:$C$2001,C918)&gt;0,"SIM","NAO"))</f>
        <v/>
      </c>
      <c r="Z918" s="5" t="str">
        <f aca="false">IF(A918="","",IF(J918="","",IFERROR(360/J918,"")))</f>
        <v/>
      </c>
      <c r="AA918" s="5" t="str">
        <f aca="false">IF(A918="","",IF(H918=0,"Parado (sem venda 90d)",IF(Z918&gt;12,"Alto (&gt;12x/ano)",IF(Z918&gt;=4,"Medio (4-12x/ano)","Baixo (&lt;4x/ano)"))))</f>
        <v/>
      </c>
    </row>
    <row r="919" customFormat="false" ht="15" hidden="false" customHeight="true" outlineLevel="0" collapsed="false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18"/>
      <c r="L919" s="19" t="str">
        <f aca="false">IF(A919="","",G919*K919)</f>
        <v/>
      </c>
      <c r="M919" s="20"/>
      <c r="N919" s="6"/>
      <c r="O919" s="6"/>
      <c r="P919" s="5" t="str">
        <f aca="false">IF(A919="","",H919/90)</f>
        <v/>
      </c>
      <c r="Q919" s="5" t="str">
        <f aca="false">IF(A919="","",IFERROR(INDEX(Parâmetros!$C$6:$C$10,MATCH(F919,Parâmetros!$B$6:$B$10,0)),""))</f>
        <v/>
      </c>
      <c r="R919" s="5" t="str">
        <f aca="false">IF(OR(A919="",P919="",Q919=""),"",P919*Q919)</f>
        <v/>
      </c>
      <c r="S919" s="5" t="str">
        <f aca="false">IF(R919="","",MAX(0,R919-G919))</f>
        <v/>
      </c>
      <c r="T919" s="21" t="str">
        <f aca="false">IF(S919="","",S919*K919)</f>
        <v/>
      </c>
      <c r="U919" s="5" t="str">
        <f aca="false">IF(A919="","",IF(J919&gt;Parâmetros!$C$14,"SIM","NAO"))</f>
        <v/>
      </c>
      <c r="V919" s="5" t="str">
        <f aca="false">IF(B919="","",TRIM(LEFT(B919,IFERROR(FIND(" ",B919)-1,LEN(B919)))))</f>
        <v/>
      </c>
      <c r="W919" s="22"/>
      <c r="X919" s="5" t="str">
        <f aca="false">IF(A919="","",IF(W919&lt;&gt;"",W919,V919))</f>
        <v/>
      </c>
      <c r="Y919" s="5" t="str">
        <f aca="false">IF(A919="","",IF(COUNTIFS($X$2:$X$2001,X919,$D$2:$D$2001,"&lt;&gt;"&amp;D919,$C$2:$C$2001,C919)&gt;0,"SIM","NAO"))</f>
        <v/>
      </c>
      <c r="Z919" s="5" t="str">
        <f aca="false">IF(A919="","",IF(J919="","",IFERROR(360/J919,"")))</f>
        <v/>
      </c>
      <c r="AA919" s="5" t="str">
        <f aca="false">IF(A919="","",IF(H919=0,"Parado (sem venda 90d)",IF(Z919&gt;12,"Alto (&gt;12x/ano)",IF(Z919&gt;=4,"Medio (4-12x/ano)","Baixo (&lt;4x/ano)"))))</f>
        <v/>
      </c>
    </row>
    <row r="920" customFormat="false" ht="15" hidden="false" customHeight="true" outlineLevel="0" collapsed="false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18"/>
      <c r="L920" s="19" t="str">
        <f aca="false">IF(A920="","",G920*K920)</f>
        <v/>
      </c>
      <c r="M920" s="20"/>
      <c r="N920" s="6"/>
      <c r="O920" s="6"/>
      <c r="P920" s="5" t="str">
        <f aca="false">IF(A920="","",H920/90)</f>
        <v/>
      </c>
      <c r="Q920" s="5" t="str">
        <f aca="false">IF(A920="","",IFERROR(INDEX(Parâmetros!$C$6:$C$10,MATCH(F920,Parâmetros!$B$6:$B$10,0)),""))</f>
        <v/>
      </c>
      <c r="R920" s="5" t="str">
        <f aca="false">IF(OR(A920="",P920="",Q920=""),"",P920*Q920)</f>
        <v/>
      </c>
      <c r="S920" s="5" t="str">
        <f aca="false">IF(R920="","",MAX(0,R920-G920))</f>
        <v/>
      </c>
      <c r="T920" s="21" t="str">
        <f aca="false">IF(S920="","",S920*K920)</f>
        <v/>
      </c>
      <c r="U920" s="5" t="str">
        <f aca="false">IF(A920="","",IF(J920&gt;Parâmetros!$C$14,"SIM","NAO"))</f>
        <v/>
      </c>
      <c r="V920" s="5" t="str">
        <f aca="false">IF(B920="","",TRIM(LEFT(B920,IFERROR(FIND(" ",B920)-1,LEN(B920)))))</f>
        <v/>
      </c>
      <c r="W920" s="22"/>
      <c r="X920" s="5" t="str">
        <f aca="false">IF(A920="","",IF(W920&lt;&gt;"",W920,V920))</f>
        <v/>
      </c>
      <c r="Y920" s="5" t="str">
        <f aca="false">IF(A920="","",IF(COUNTIFS($X$2:$X$2001,X920,$D$2:$D$2001,"&lt;&gt;"&amp;D920,$C$2:$C$2001,C920)&gt;0,"SIM","NAO"))</f>
        <v/>
      </c>
      <c r="Z920" s="5" t="str">
        <f aca="false">IF(A920="","",IF(J920="","",IFERROR(360/J920,"")))</f>
        <v/>
      </c>
      <c r="AA920" s="5" t="str">
        <f aca="false">IF(A920="","",IF(H920=0,"Parado (sem venda 90d)",IF(Z920&gt;12,"Alto (&gt;12x/ano)",IF(Z920&gt;=4,"Medio (4-12x/ano)","Baixo (&lt;4x/ano)"))))</f>
        <v/>
      </c>
    </row>
    <row r="921" customFormat="false" ht="15" hidden="false" customHeight="true" outlineLevel="0" collapsed="false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18"/>
      <c r="L921" s="19" t="str">
        <f aca="false">IF(A921="","",G921*K921)</f>
        <v/>
      </c>
      <c r="M921" s="20"/>
      <c r="N921" s="6"/>
      <c r="O921" s="6"/>
      <c r="P921" s="5" t="str">
        <f aca="false">IF(A921="","",H921/90)</f>
        <v/>
      </c>
      <c r="Q921" s="5" t="str">
        <f aca="false">IF(A921="","",IFERROR(INDEX(Parâmetros!$C$6:$C$10,MATCH(F921,Parâmetros!$B$6:$B$10,0)),""))</f>
        <v/>
      </c>
      <c r="R921" s="5" t="str">
        <f aca="false">IF(OR(A921="",P921="",Q921=""),"",P921*Q921)</f>
        <v/>
      </c>
      <c r="S921" s="5" t="str">
        <f aca="false">IF(R921="","",MAX(0,R921-G921))</f>
        <v/>
      </c>
      <c r="T921" s="21" t="str">
        <f aca="false">IF(S921="","",S921*K921)</f>
        <v/>
      </c>
      <c r="U921" s="5" t="str">
        <f aca="false">IF(A921="","",IF(J921&gt;Parâmetros!$C$14,"SIM","NAO"))</f>
        <v/>
      </c>
      <c r="V921" s="5" t="str">
        <f aca="false">IF(B921="","",TRIM(LEFT(B921,IFERROR(FIND(" ",B921)-1,LEN(B921)))))</f>
        <v/>
      </c>
      <c r="W921" s="22"/>
      <c r="X921" s="5" t="str">
        <f aca="false">IF(A921="","",IF(W921&lt;&gt;"",W921,V921))</f>
        <v/>
      </c>
      <c r="Y921" s="5" t="str">
        <f aca="false">IF(A921="","",IF(COUNTIFS($X$2:$X$2001,X921,$D$2:$D$2001,"&lt;&gt;"&amp;D921,$C$2:$C$2001,C921)&gt;0,"SIM","NAO"))</f>
        <v/>
      </c>
      <c r="Z921" s="5" t="str">
        <f aca="false">IF(A921="","",IF(J921="","",IFERROR(360/J921,"")))</f>
        <v/>
      </c>
      <c r="AA921" s="5" t="str">
        <f aca="false">IF(A921="","",IF(H921=0,"Parado (sem venda 90d)",IF(Z921&gt;12,"Alto (&gt;12x/ano)",IF(Z921&gt;=4,"Medio (4-12x/ano)","Baixo (&lt;4x/ano)"))))</f>
        <v/>
      </c>
    </row>
    <row r="922" customFormat="false" ht="15" hidden="false" customHeight="true" outlineLevel="0" collapsed="false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18"/>
      <c r="L922" s="19" t="str">
        <f aca="false">IF(A922="","",G922*K922)</f>
        <v/>
      </c>
      <c r="M922" s="20"/>
      <c r="N922" s="6"/>
      <c r="O922" s="6"/>
      <c r="P922" s="5" t="str">
        <f aca="false">IF(A922="","",H922/90)</f>
        <v/>
      </c>
      <c r="Q922" s="5" t="str">
        <f aca="false">IF(A922="","",IFERROR(INDEX(Parâmetros!$C$6:$C$10,MATCH(F922,Parâmetros!$B$6:$B$10,0)),""))</f>
        <v/>
      </c>
      <c r="R922" s="5" t="str">
        <f aca="false">IF(OR(A922="",P922="",Q922=""),"",P922*Q922)</f>
        <v/>
      </c>
      <c r="S922" s="5" t="str">
        <f aca="false">IF(R922="","",MAX(0,R922-G922))</f>
        <v/>
      </c>
      <c r="T922" s="21" t="str">
        <f aca="false">IF(S922="","",S922*K922)</f>
        <v/>
      </c>
      <c r="U922" s="5" t="str">
        <f aca="false">IF(A922="","",IF(J922&gt;Parâmetros!$C$14,"SIM","NAO"))</f>
        <v/>
      </c>
      <c r="V922" s="5" t="str">
        <f aca="false">IF(B922="","",TRIM(LEFT(B922,IFERROR(FIND(" ",B922)-1,LEN(B922)))))</f>
        <v/>
      </c>
      <c r="W922" s="22"/>
      <c r="X922" s="5" t="str">
        <f aca="false">IF(A922="","",IF(W922&lt;&gt;"",W922,V922))</f>
        <v/>
      </c>
      <c r="Y922" s="5" t="str">
        <f aca="false">IF(A922="","",IF(COUNTIFS($X$2:$X$2001,X922,$D$2:$D$2001,"&lt;&gt;"&amp;D922,$C$2:$C$2001,C922)&gt;0,"SIM","NAO"))</f>
        <v/>
      </c>
      <c r="Z922" s="5" t="str">
        <f aca="false">IF(A922="","",IF(J922="","",IFERROR(360/J922,"")))</f>
        <v/>
      </c>
      <c r="AA922" s="5" t="str">
        <f aca="false">IF(A922="","",IF(H922=0,"Parado (sem venda 90d)",IF(Z922&gt;12,"Alto (&gt;12x/ano)",IF(Z922&gt;=4,"Medio (4-12x/ano)","Baixo (&lt;4x/ano)"))))</f>
        <v/>
      </c>
    </row>
    <row r="923" customFormat="false" ht="15" hidden="false" customHeight="true" outlineLevel="0" collapsed="false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18"/>
      <c r="L923" s="19" t="str">
        <f aca="false">IF(A923="","",G923*K923)</f>
        <v/>
      </c>
      <c r="M923" s="20"/>
      <c r="N923" s="6"/>
      <c r="O923" s="6"/>
      <c r="P923" s="5" t="str">
        <f aca="false">IF(A923="","",H923/90)</f>
        <v/>
      </c>
      <c r="Q923" s="5" t="str">
        <f aca="false">IF(A923="","",IFERROR(INDEX(Parâmetros!$C$6:$C$10,MATCH(F923,Parâmetros!$B$6:$B$10,0)),""))</f>
        <v/>
      </c>
      <c r="R923" s="5" t="str">
        <f aca="false">IF(OR(A923="",P923="",Q923=""),"",P923*Q923)</f>
        <v/>
      </c>
      <c r="S923" s="5" t="str">
        <f aca="false">IF(R923="","",MAX(0,R923-G923))</f>
        <v/>
      </c>
      <c r="T923" s="21" t="str">
        <f aca="false">IF(S923="","",S923*K923)</f>
        <v/>
      </c>
      <c r="U923" s="5" t="str">
        <f aca="false">IF(A923="","",IF(J923&gt;Parâmetros!$C$14,"SIM","NAO"))</f>
        <v/>
      </c>
      <c r="V923" s="5" t="str">
        <f aca="false">IF(B923="","",TRIM(LEFT(B923,IFERROR(FIND(" ",B923)-1,LEN(B923)))))</f>
        <v/>
      </c>
      <c r="W923" s="22"/>
      <c r="X923" s="5" t="str">
        <f aca="false">IF(A923="","",IF(W923&lt;&gt;"",W923,V923))</f>
        <v/>
      </c>
      <c r="Y923" s="5" t="str">
        <f aca="false">IF(A923="","",IF(COUNTIFS($X$2:$X$2001,X923,$D$2:$D$2001,"&lt;&gt;"&amp;D923,$C$2:$C$2001,C923)&gt;0,"SIM","NAO"))</f>
        <v/>
      </c>
      <c r="Z923" s="5" t="str">
        <f aca="false">IF(A923="","",IF(J923="","",IFERROR(360/J923,"")))</f>
        <v/>
      </c>
      <c r="AA923" s="5" t="str">
        <f aca="false">IF(A923="","",IF(H923=0,"Parado (sem venda 90d)",IF(Z923&gt;12,"Alto (&gt;12x/ano)",IF(Z923&gt;=4,"Medio (4-12x/ano)","Baixo (&lt;4x/ano)"))))</f>
        <v/>
      </c>
    </row>
    <row r="924" customFormat="false" ht="15" hidden="false" customHeight="true" outlineLevel="0" collapsed="false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18"/>
      <c r="L924" s="19" t="str">
        <f aca="false">IF(A924="","",G924*K924)</f>
        <v/>
      </c>
      <c r="M924" s="20"/>
      <c r="N924" s="6"/>
      <c r="O924" s="6"/>
      <c r="P924" s="5" t="str">
        <f aca="false">IF(A924="","",H924/90)</f>
        <v/>
      </c>
      <c r="Q924" s="5" t="str">
        <f aca="false">IF(A924="","",IFERROR(INDEX(Parâmetros!$C$6:$C$10,MATCH(F924,Parâmetros!$B$6:$B$10,0)),""))</f>
        <v/>
      </c>
      <c r="R924" s="5" t="str">
        <f aca="false">IF(OR(A924="",P924="",Q924=""),"",P924*Q924)</f>
        <v/>
      </c>
      <c r="S924" s="5" t="str">
        <f aca="false">IF(R924="","",MAX(0,R924-G924))</f>
        <v/>
      </c>
      <c r="T924" s="21" t="str">
        <f aca="false">IF(S924="","",S924*K924)</f>
        <v/>
      </c>
      <c r="U924" s="5" t="str">
        <f aca="false">IF(A924="","",IF(J924&gt;Parâmetros!$C$14,"SIM","NAO"))</f>
        <v/>
      </c>
      <c r="V924" s="5" t="str">
        <f aca="false">IF(B924="","",TRIM(LEFT(B924,IFERROR(FIND(" ",B924)-1,LEN(B924)))))</f>
        <v/>
      </c>
      <c r="W924" s="22"/>
      <c r="X924" s="5" t="str">
        <f aca="false">IF(A924="","",IF(W924&lt;&gt;"",W924,V924))</f>
        <v/>
      </c>
      <c r="Y924" s="5" t="str">
        <f aca="false">IF(A924="","",IF(COUNTIFS($X$2:$X$2001,X924,$D$2:$D$2001,"&lt;&gt;"&amp;D924,$C$2:$C$2001,C924)&gt;0,"SIM","NAO"))</f>
        <v/>
      </c>
      <c r="Z924" s="5" t="str">
        <f aca="false">IF(A924="","",IF(J924="","",IFERROR(360/J924,"")))</f>
        <v/>
      </c>
      <c r="AA924" s="5" t="str">
        <f aca="false">IF(A924="","",IF(H924=0,"Parado (sem venda 90d)",IF(Z924&gt;12,"Alto (&gt;12x/ano)",IF(Z924&gt;=4,"Medio (4-12x/ano)","Baixo (&lt;4x/ano)"))))</f>
        <v/>
      </c>
    </row>
    <row r="925" customFormat="false" ht="15" hidden="false" customHeight="true" outlineLevel="0" collapsed="false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18"/>
      <c r="L925" s="19" t="str">
        <f aca="false">IF(A925="","",G925*K925)</f>
        <v/>
      </c>
      <c r="M925" s="20"/>
      <c r="N925" s="6"/>
      <c r="O925" s="6"/>
      <c r="P925" s="5" t="str">
        <f aca="false">IF(A925="","",H925/90)</f>
        <v/>
      </c>
      <c r="Q925" s="5" t="str">
        <f aca="false">IF(A925="","",IFERROR(INDEX(Parâmetros!$C$6:$C$10,MATCH(F925,Parâmetros!$B$6:$B$10,0)),""))</f>
        <v/>
      </c>
      <c r="R925" s="5" t="str">
        <f aca="false">IF(OR(A925="",P925="",Q925=""),"",P925*Q925)</f>
        <v/>
      </c>
      <c r="S925" s="5" t="str">
        <f aca="false">IF(R925="","",MAX(0,R925-G925))</f>
        <v/>
      </c>
      <c r="T925" s="21" t="str">
        <f aca="false">IF(S925="","",S925*K925)</f>
        <v/>
      </c>
      <c r="U925" s="5" t="str">
        <f aca="false">IF(A925="","",IF(J925&gt;Parâmetros!$C$14,"SIM","NAO"))</f>
        <v/>
      </c>
      <c r="V925" s="5" t="str">
        <f aca="false">IF(B925="","",TRIM(LEFT(B925,IFERROR(FIND(" ",B925)-1,LEN(B925)))))</f>
        <v/>
      </c>
      <c r="W925" s="22"/>
      <c r="X925" s="5" t="str">
        <f aca="false">IF(A925="","",IF(W925&lt;&gt;"",W925,V925))</f>
        <v/>
      </c>
      <c r="Y925" s="5" t="str">
        <f aca="false">IF(A925="","",IF(COUNTIFS($X$2:$X$2001,X925,$D$2:$D$2001,"&lt;&gt;"&amp;D925,$C$2:$C$2001,C925)&gt;0,"SIM","NAO"))</f>
        <v/>
      </c>
      <c r="Z925" s="5" t="str">
        <f aca="false">IF(A925="","",IF(J925="","",IFERROR(360/J925,"")))</f>
        <v/>
      </c>
      <c r="AA925" s="5" t="str">
        <f aca="false">IF(A925="","",IF(H925=0,"Parado (sem venda 90d)",IF(Z925&gt;12,"Alto (&gt;12x/ano)",IF(Z925&gt;=4,"Medio (4-12x/ano)","Baixo (&lt;4x/ano)"))))</f>
        <v/>
      </c>
    </row>
    <row r="926" customFormat="false" ht="15" hidden="false" customHeight="true" outlineLevel="0" collapsed="false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18"/>
      <c r="L926" s="19" t="str">
        <f aca="false">IF(A926="","",G926*K926)</f>
        <v/>
      </c>
      <c r="M926" s="20"/>
      <c r="N926" s="6"/>
      <c r="O926" s="6"/>
      <c r="P926" s="5" t="str">
        <f aca="false">IF(A926="","",H926/90)</f>
        <v/>
      </c>
      <c r="Q926" s="5" t="str">
        <f aca="false">IF(A926="","",IFERROR(INDEX(Parâmetros!$C$6:$C$10,MATCH(F926,Parâmetros!$B$6:$B$10,0)),""))</f>
        <v/>
      </c>
      <c r="R926" s="5" t="str">
        <f aca="false">IF(OR(A926="",P926="",Q926=""),"",P926*Q926)</f>
        <v/>
      </c>
      <c r="S926" s="5" t="str">
        <f aca="false">IF(R926="","",MAX(0,R926-G926))</f>
        <v/>
      </c>
      <c r="T926" s="21" t="str">
        <f aca="false">IF(S926="","",S926*K926)</f>
        <v/>
      </c>
      <c r="U926" s="5" t="str">
        <f aca="false">IF(A926="","",IF(J926&gt;Parâmetros!$C$14,"SIM","NAO"))</f>
        <v/>
      </c>
      <c r="V926" s="5" t="str">
        <f aca="false">IF(B926="","",TRIM(LEFT(B926,IFERROR(FIND(" ",B926)-1,LEN(B926)))))</f>
        <v/>
      </c>
      <c r="W926" s="22"/>
      <c r="X926" s="5" t="str">
        <f aca="false">IF(A926="","",IF(W926&lt;&gt;"",W926,V926))</f>
        <v/>
      </c>
      <c r="Y926" s="5" t="str">
        <f aca="false">IF(A926="","",IF(COUNTIFS($X$2:$X$2001,X926,$D$2:$D$2001,"&lt;&gt;"&amp;D926,$C$2:$C$2001,C926)&gt;0,"SIM","NAO"))</f>
        <v/>
      </c>
      <c r="Z926" s="5" t="str">
        <f aca="false">IF(A926="","",IF(J926="","",IFERROR(360/J926,"")))</f>
        <v/>
      </c>
      <c r="AA926" s="5" t="str">
        <f aca="false">IF(A926="","",IF(H926=0,"Parado (sem venda 90d)",IF(Z926&gt;12,"Alto (&gt;12x/ano)",IF(Z926&gt;=4,"Medio (4-12x/ano)","Baixo (&lt;4x/ano)"))))</f>
        <v/>
      </c>
    </row>
    <row r="927" customFormat="false" ht="15" hidden="false" customHeight="true" outlineLevel="0" collapsed="false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18"/>
      <c r="L927" s="19" t="str">
        <f aca="false">IF(A927="","",G927*K927)</f>
        <v/>
      </c>
      <c r="M927" s="20"/>
      <c r="N927" s="6"/>
      <c r="O927" s="6"/>
      <c r="P927" s="5" t="str">
        <f aca="false">IF(A927="","",H927/90)</f>
        <v/>
      </c>
      <c r="Q927" s="5" t="str">
        <f aca="false">IF(A927="","",IFERROR(INDEX(Parâmetros!$C$6:$C$10,MATCH(F927,Parâmetros!$B$6:$B$10,0)),""))</f>
        <v/>
      </c>
      <c r="R927" s="5" t="str">
        <f aca="false">IF(OR(A927="",P927="",Q927=""),"",P927*Q927)</f>
        <v/>
      </c>
      <c r="S927" s="5" t="str">
        <f aca="false">IF(R927="","",MAX(0,R927-G927))</f>
        <v/>
      </c>
      <c r="T927" s="21" t="str">
        <f aca="false">IF(S927="","",S927*K927)</f>
        <v/>
      </c>
      <c r="U927" s="5" t="str">
        <f aca="false">IF(A927="","",IF(J927&gt;Parâmetros!$C$14,"SIM","NAO"))</f>
        <v/>
      </c>
      <c r="V927" s="5" t="str">
        <f aca="false">IF(B927="","",TRIM(LEFT(B927,IFERROR(FIND(" ",B927)-1,LEN(B927)))))</f>
        <v/>
      </c>
      <c r="W927" s="22"/>
      <c r="X927" s="5" t="str">
        <f aca="false">IF(A927="","",IF(W927&lt;&gt;"",W927,V927))</f>
        <v/>
      </c>
      <c r="Y927" s="5" t="str">
        <f aca="false">IF(A927="","",IF(COUNTIFS($X$2:$X$2001,X927,$D$2:$D$2001,"&lt;&gt;"&amp;D927,$C$2:$C$2001,C927)&gt;0,"SIM","NAO"))</f>
        <v/>
      </c>
      <c r="Z927" s="5" t="str">
        <f aca="false">IF(A927="","",IF(J927="","",IFERROR(360/J927,"")))</f>
        <v/>
      </c>
      <c r="AA927" s="5" t="str">
        <f aca="false">IF(A927="","",IF(H927=0,"Parado (sem venda 90d)",IF(Z927&gt;12,"Alto (&gt;12x/ano)",IF(Z927&gt;=4,"Medio (4-12x/ano)","Baixo (&lt;4x/ano)"))))</f>
        <v/>
      </c>
    </row>
    <row r="928" customFormat="false" ht="15" hidden="false" customHeight="true" outlineLevel="0" collapsed="false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18"/>
      <c r="L928" s="19" t="str">
        <f aca="false">IF(A928="","",G928*K928)</f>
        <v/>
      </c>
      <c r="M928" s="20"/>
      <c r="N928" s="6"/>
      <c r="O928" s="6"/>
      <c r="P928" s="5" t="str">
        <f aca="false">IF(A928="","",H928/90)</f>
        <v/>
      </c>
      <c r="Q928" s="5" t="str">
        <f aca="false">IF(A928="","",IFERROR(INDEX(Parâmetros!$C$6:$C$10,MATCH(F928,Parâmetros!$B$6:$B$10,0)),""))</f>
        <v/>
      </c>
      <c r="R928" s="5" t="str">
        <f aca="false">IF(OR(A928="",P928="",Q928=""),"",P928*Q928)</f>
        <v/>
      </c>
      <c r="S928" s="5" t="str">
        <f aca="false">IF(R928="","",MAX(0,R928-G928))</f>
        <v/>
      </c>
      <c r="T928" s="21" t="str">
        <f aca="false">IF(S928="","",S928*K928)</f>
        <v/>
      </c>
      <c r="U928" s="5" t="str">
        <f aca="false">IF(A928="","",IF(J928&gt;Parâmetros!$C$14,"SIM","NAO"))</f>
        <v/>
      </c>
      <c r="V928" s="5" t="str">
        <f aca="false">IF(B928="","",TRIM(LEFT(B928,IFERROR(FIND(" ",B928)-1,LEN(B928)))))</f>
        <v/>
      </c>
      <c r="W928" s="22"/>
      <c r="X928" s="5" t="str">
        <f aca="false">IF(A928="","",IF(W928&lt;&gt;"",W928,V928))</f>
        <v/>
      </c>
      <c r="Y928" s="5" t="str">
        <f aca="false">IF(A928="","",IF(COUNTIFS($X$2:$X$2001,X928,$D$2:$D$2001,"&lt;&gt;"&amp;D928,$C$2:$C$2001,C928)&gt;0,"SIM","NAO"))</f>
        <v/>
      </c>
      <c r="Z928" s="5" t="str">
        <f aca="false">IF(A928="","",IF(J928="","",IFERROR(360/J928,"")))</f>
        <v/>
      </c>
      <c r="AA928" s="5" t="str">
        <f aca="false">IF(A928="","",IF(H928=0,"Parado (sem venda 90d)",IF(Z928&gt;12,"Alto (&gt;12x/ano)",IF(Z928&gt;=4,"Medio (4-12x/ano)","Baixo (&lt;4x/ano)"))))</f>
        <v/>
      </c>
    </row>
    <row r="929" customFormat="false" ht="15" hidden="false" customHeight="true" outlineLevel="0" collapsed="false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18"/>
      <c r="L929" s="19" t="str">
        <f aca="false">IF(A929="","",G929*K929)</f>
        <v/>
      </c>
      <c r="M929" s="20"/>
      <c r="N929" s="6"/>
      <c r="O929" s="6"/>
      <c r="P929" s="5" t="str">
        <f aca="false">IF(A929="","",H929/90)</f>
        <v/>
      </c>
      <c r="Q929" s="5" t="str">
        <f aca="false">IF(A929="","",IFERROR(INDEX(Parâmetros!$C$6:$C$10,MATCH(F929,Parâmetros!$B$6:$B$10,0)),""))</f>
        <v/>
      </c>
      <c r="R929" s="5" t="str">
        <f aca="false">IF(OR(A929="",P929="",Q929=""),"",P929*Q929)</f>
        <v/>
      </c>
      <c r="S929" s="5" t="str">
        <f aca="false">IF(R929="","",MAX(0,R929-G929))</f>
        <v/>
      </c>
      <c r="T929" s="21" t="str">
        <f aca="false">IF(S929="","",S929*K929)</f>
        <v/>
      </c>
      <c r="U929" s="5" t="str">
        <f aca="false">IF(A929="","",IF(J929&gt;Parâmetros!$C$14,"SIM","NAO"))</f>
        <v/>
      </c>
      <c r="V929" s="5" t="str">
        <f aca="false">IF(B929="","",TRIM(LEFT(B929,IFERROR(FIND(" ",B929)-1,LEN(B929)))))</f>
        <v/>
      </c>
      <c r="W929" s="22"/>
      <c r="X929" s="5" t="str">
        <f aca="false">IF(A929="","",IF(W929&lt;&gt;"",W929,V929))</f>
        <v/>
      </c>
      <c r="Y929" s="5" t="str">
        <f aca="false">IF(A929="","",IF(COUNTIFS($X$2:$X$2001,X929,$D$2:$D$2001,"&lt;&gt;"&amp;D929,$C$2:$C$2001,C929)&gt;0,"SIM","NAO"))</f>
        <v/>
      </c>
      <c r="Z929" s="5" t="str">
        <f aca="false">IF(A929="","",IF(J929="","",IFERROR(360/J929,"")))</f>
        <v/>
      </c>
      <c r="AA929" s="5" t="str">
        <f aca="false">IF(A929="","",IF(H929=0,"Parado (sem venda 90d)",IF(Z929&gt;12,"Alto (&gt;12x/ano)",IF(Z929&gt;=4,"Medio (4-12x/ano)","Baixo (&lt;4x/ano)"))))</f>
        <v/>
      </c>
    </row>
    <row r="930" customFormat="false" ht="15" hidden="false" customHeight="true" outlineLevel="0" collapsed="false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18"/>
      <c r="L930" s="19" t="str">
        <f aca="false">IF(A930="","",G930*K930)</f>
        <v/>
      </c>
      <c r="M930" s="20"/>
      <c r="N930" s="6"/>
      <c r="O930" s="6"/>
      <c r="P930" s="5" t="str">
        <f aca="false">IF(A930="","",H930/90)</f>
        <v/>
      </c>
      <c r="Q930" s="5" t="str">
        <f aca="false">IF(A930="","",IFERROR(INDEX(Parâmetros!$C$6:$C$10,MATCH(F930,Parâmetros!$B$6:$B$10,0)),""))</f>
        <v/>
      </c>
      <c r="R930" s="5" t="str">
        <f aca="false">IF(OR(A930="",P930="",Q930=""),"",P930*Q930)</f>
        <v/>
      </c>
      <c r="S930" s="5" t="str">
        <f aca="false">IF(R930="","",MAX(0,R930-G930))</f>
        <v/>
      </c>
      <c r="T930" s="21" t="str">
        <f aca="false">IF(S930="","",S930*K930)</f>
        <v/>
      </c>
      <c r="U930" s="5" t="str">
        <f aca="false">IF(A930="","",IF(J930&gt;Parâmetros!$C$14,"SIM","NAO"))</f>
        <v/>
      </c>
      <c r="V930" s="5" t="str">
        <f aca="false">IF(B930="","",TRIM(LEFT(B930,IFERROR(FIND(" ",B930)-1,LEN(B930)))))</f>
        <v/>
      </c>
      <c r="W930" s="22"/>
      <c r="X930" s="5" t="str">
        <f aca="false">IF(A930="","",IF(W930&lt;&gt;"",W930,V930))</f>
        <v/>
      </c>
      <c r="Y930" s="5" t="str">
        <f aca="false">IF(A930="","",IF(COUNTIFS($X$2:$X$2001,X930,$D$2:$D$2001,"&lt;&gt;"&amp;D930,$C$2:$C$2001,C930)&gt;0,"SIM","NAO"))</f>
        <v/>
      </c>
      <c r="Z930" s="5" t="str">
        <f aca="false">IF(A930="","",IF(J930="","",IFERROR(360/J930,"")))</f>
        <v/>
      </c>
      <c r="AA930" s="5" t="str">
        <f aca="false">IF(A930="","",IF(H930=0,"Parado (sem venda 90d)",IF(Z930&gt;12,"Alto (&gt;12x/ano)",IF(Z930&gt;=4,"Medio (4-12x/ano)","Baixo (&lt;4x/ano)"))))</f>
        <v/>
      </c>
    </row>
    <row r="931" customFormat="false" ht="15" hidden="false" customHeight="true" outlineLevel="0" collapsed="false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18"/>
      <c r="L931" s="19" t="str">
        <f aca="false">IF(A931="","",G931*K931)</f>
        <v/>
      </c>
      <c r="M931" s="20"/>
      <c r="N931" s="6"/>
      <c r="O931" s="6"/>
      <c r="P931" s="5" t="str">
        <f aca="false">IF(A931="","",H931/90)</f>
        <v/>
      </c>
      <c r="Q931" s="5" t="str">
        <f aca="false">IF(A931="","",IFERROR(INDEX(Parâmetros!$C$6:$C$10,MATCH(F931,Parâmetros!$B$6:$B$10,0)),""))</f>
        <v/>
      </c>
      <c r="R931" s="5" t="str">
        <f aca="false">IF(OR(A931="",P931="",Q931=""),"",P931*Q931)</f>
        <v/>
      </c>
      <c r="S931" s="5" t="str">
        <f aca="false">IF(R931="","",MAX(0,R931-G931))</f>
        <v/>
      </c>
      <c r="T931" s="21" t="str">
        <f aca="false">IF(S931="","",S931*K931)</f>
        <v/>
      </c>
      <c r="U931" s="5" t="str">
        <f aca="false">IF(A931="","",IF(J931&gt;Parâmetros!$C$14,"SIM","NAO"))</f>
        <v/>
      </c>
      <c r="V931" s="5" t="str">
        <f aca="false">IF(B931="","",TRIM(LEFT(B931,IFERROR(FIND(" ",B931)-1,LEN(B931)))))</f>
        <v/>
      </c>
      <c r="W931" s="22"/>
      <c r="X931" s="5" t="str">
        <f aca="false">IF(A931="","",IF(W931&lt;&gt;"",W931,V931))</f>
        <v/>
      </c>
      <c r="Y931" s="5" t="str">
        <f aca="false">IF(A931="","",IF(COUNTIFS($X$2:$X$2001,X931,$D$2:$D$2001,"&lt;&gt;"&amp;D931,$C$2:$C$2001,C931)&gt;0,"SIM","NAO"))</f>
        <v/>
      </c>
      <c r="Z931" s="5" t="str">
        <f aca="false">IF(A931="","",IF(J931="","",IFERROR(360/J931,"")))</f>
        <v/>
      </c>
      <c r="AA931" s="5" t="str">
        <f aca="false">IF(A931="","",IF(H931=0,"Parado (sem venda 90d)",IF(Z931&gt;12,"Alto (&gt;12x/ano)",IF(Z931&gt;=4,"Medio (4-12x/ano)","Baixo (&lt;4x/ano)"))))</f>
        <v/>
      </c>
    </row>
    <row r="932" customFormat="false" ht="15" hidden="false" customHeight="true" outlineLevel="0" collapsed="false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18"/>
      <c r="L932" s="19" t="str">
        <f aca="false">IF(A932="","",G932*K932)</f>
        <v/>
      </c>
      <c r="M932" s="20"/>
      <c r="N932" s="6"/>
      <c r="O932" s="6"/>
      <c r="P932" s="5" t="str">
        <f aca="false">IF(A932="","",H932/90)</f>
        <v/>
      </c>
      <c r="Q932" s="5" t="str">
        <f aca="false">IF(A932="","",IFERROR(INDEX(Parâmetros!$C$6:$C$10,MATCH(F932,Parâmetros!$B$6:$B$10,0)),""))</f>
        <v/>
      </c>
      <c r="R932" s="5" t="str">
        <f aca="false">IF(OR(A932="",P932="",Q932=""),"",P932*Q932)</f>
        <v/>
      </c>
      <c r="S932" s="5" t="str">
        <f aca="false">IF(R932="","",MAX(0,R932-G932))</f>
        <v/>
      </c>
      <c r="T932" s="21" t="str">
        <f aca="false">IF(S932="","",S932*K932)</f>
        <v/>
      </c>
      <c r="U932" s="5" t="str">
        <f aca="false">IF(A932="","",IF(J932&gt;Parâmetros!$C$14,"SIM","NAO"))</f>
        <v/>
      </c>
      <c r="V932" s="5" t="str">
        <f aca="false">IF(B932="","",TRIM(LEFT(B932,IFERROR(FIND(" ",B932)-1,LEN(B932)))))</f>
        <v/>
      </c>
      <c r="W932" s="22"/>
      <c r="X932" s="5" t="str">
        <f aca="false">IF(A932="","",IF(W932&lt;&gt;"",W932,V932))</f>
        <v/>
      </c>
      <c r="Y932" s="5" t="str">
        <f aca="false">IF(A932="","",IF(COUNTIFS($X$2:$X$2001,X932,$D$2:$D$2001,"&lt;&gt;"&amp;D932,$C$2:$C$2001,C932)&gt;0,"SIM","NAO"))</f>
        <v/>
      </c>
      <c r="Z932" s="5" t="str">
        <f aca="false">IF(A932="","",IF(J932="","",IFERROR(360/J932,"")))</f>
        <v/>
      </c>
      <c r="AA932" s="5" t="str">
        <f aca="false">IF(A932="","",IF(H932=0,"Parado (sem venda 90d)",IF(Z932&gt;12,"Alto (&gt;12x/ano)",IF(Z932&gt;=4,"Medio (4-12x/ano)","Baixo (&lt;4x/ano)"))))</f>
        <v/>
      </c>
    </row>
    <row r="933" customFormat="false" ht="15" hidden="false" customHeight="true" outlineLevel="0" collapsed="false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18"/>
      <c r="L933" s="19" t="str">
        <f aca="false">IF(A933="","",G933*K933)</f>
        <v/>
      </c>
      <c r="M933" s="20"/>
      <c r="N933" s="6"/>
      <c r="O933" s="6"/>
      <c r="P933" s="5" t="str">
        <f aca="false">IF(A933="","",H933/90)</f>
        <v/>
      </c>
      <c r="Q933" s="5" t="str">
        <f aca="false">IF(A933="","",IFERROR(INDEX(Parâmetros!$C$6:$C$10,MATCH(F933,Parâmetros!$B$6:$B$10,0)),""))</f>
        <v/>
      </c>
      <c r="R933" s="5" t="str">
        <f aca="false">IF(OR(A933="",P933="",Q933=""),"",P933*Q933)</f>
        <v/>
      </c>
      <c r="S933" s="5" t="str">
        <f aca="false">IF(R933="","",MAX(0,R933-G933))</f>
        <v/>
      </c>
      <c r="T933" s="21" t="str">
        <f aca="false">IF(S933="","",S933*K933)</f>
        <v/>
      </c>
      <c r="U933" s="5" t="str">
        <f aca="false">IF(A933="","",IF(J933&gt;Parâmetros!$C$14,"SIM","NAO"))</f>
        <v/>
      </c>
      <c r="V933" s="5" t="str">
        <f aca="false">IF(B933="","",TRIM(LEFT(B933,IFERROR(FIND(" ",B933)-1,LEN(B933)))))</f>
        <v/>
      </c>
      <c r="W933" s="22"/>
      <c r="X933" s="5" t="str">
        <f aca="false">IF(A933="","",IF(W933&lt;&gt;"",W933,V933))</f>
        <v/>
      </c>
      <c r="Y933" s="5" t="str">
        <f aca="false">IF(A933="","",IF(COUNTIFS($X$2:$X$2001,X933,$D$2:$D$2001,"&lt;&gt;"&amp;D933,$C$2:$C$2001,C933)&gt;0,"SIM","NAO"))</f>
        <v/>
      </c>
      <c r="Z933" s="5" t="str">
        <f aca="false">IF(A933="","",IF(J933="","",IFERROR(360/J933,"")))</f>
        <v/>
      </c>
      <c r="AA933" s="5" t="str">
        <f aca="false">IF(A933="","",IF(H933=0,"Parado (sem venda 90d)",IF(Z933&gt;12,"Alto (&gt;12x/ano)",IF(Z933&gt;=4,"Medio (4-12x/ano)","Baixo (&lt;4x/ano)"))))</f>
        <v/>
      </c>
    </row>
    <row r="934" customFormat="false" ht="15" hidden="false" customHeight="true" outlineLevel="0" collapsed="false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18"/>
      <c r="L934" s="19" t="str">
        <f aca="false">IF(A934="","",G934*K934)</f>
        <v/>
      </c>
      <c r="M934" s="20"/>
      <c r="N934" s="6"/>
      <c r="O934" s="6"/>
      <c r="P934" s="5" t="str">
        <f aca="false">IF(A934="","",H934/90)</f>
        <v/>
      </c>
      <c r="Q934" s="5" t="str">
        <f aca="false">IF(A934="","",IFERROR(INDEX(Parâmetros!$C$6:$C$10,MATCH(F934,Parâmetros!$B$6:$B$10,0)),""))</f>
        <v/>
      </c>
      <c r="R934" s="5" t="str">
        <f aca="false">IF(OR(A934="",P934="",Q934=""),"",P934*Q934)</f>
        <v/>
      </c>
      <c r="S934" s="5" t="str">
        <f aca="false">IF(R934="","",MAX(0,R934-G934))</f>
        <v/>
      </c>
      <c r="T934" s="21" t="str">
        <f aca="false">IF(S934="","",S934*K934)</f>
        <v/>
      </c>
      <c r="U934" s="5" t="str">
        <f aca="false">IF(A934="","",IF(J934&gt;Parâmetros!$C$14,"SIM","NAO"))</f>
        <v/>
      </c>
      <c r="V934" s="5" t="str">
        <f aca="false">IF(B934="","",TRIM(LEFT(B934,IFERROR(FIND(" ",B934)-1,LEN(B934)))))</f>
        <v/>
      </c>
      <c r="W934" s="22"/>
      <c r="X934" s="5" t="str">
        <f aca="false">IF(A934="","",IF(W934&lt;&gt;"",W934,V934))</f>
        <v/>
      </c>
      <c r="Y934" s="5" t="str">
        <f aca="false">IF(A934="","",IF(COUNTIFS($X$2:$X$2001,X934,$D$2:$D$2001,"&lt;&gt;"&amp;D934,$C$2:$C$2001,C934)&gt;0,"SIM","NAO"))</f>
        <v/>
      </c>
      <c r="Z934" s="5" t="str">
        <f aca="false">IF(A934="","",IF(J934="","",IFERROR(360/J934,"")))</f>
        <v/>
      </c>
      <c r="AA934" s="5" t="str">
        <f aca="false">IF(A934="","",IF(H934=0,"Parado (sem venda 90d)",IF(Z934&gt;12,"Alto (&gt;12x/ano)",IF(Z934&gt;=4,"Medio (4-12x/ano)","Baixo (&lt;4x/ano)"))))</f>
        <v/>
      </c>
    </row>
    <row r="935" customFormat="false" ht="15" hidden="false" customHeight="true" outlineLevel="0" collapsed="false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18"/>
      <c r="L935" s="19" t="str">
        <f aca="false">IF(A935="","",G935*K935)</f>
        <v/>
      </c>
      <c r="M935" s="20"/>
      <c r="N935" s="6"/>
      <c r="O935" s="6"/>
      <c r="P935" s="5" t="str">
        <f aca="false">IF(A935="","",H935/90)</f>
        <v/>
      </c>
      <c r="Q935" s="5" t="str">
        <f aca="false">IF(A935="","",IFERROR(INDEX(Parâmetros!$C$6:$C$10,MATCH(F935,Parâmetros!$B$6:$B$10,0)),""))</f>
        <v/>
      </c>
      <c r="R935" s="5" t="str">
        <f aca="false">IF(OR(A935="",P935="",Q935=""),"",P935*Q935)</f>
        <v/>
      </c>
      <c r="S935" s="5" t="str">
        <f aca="false">IF(R935="","",MAX(0,R935-G935))</f>
        <v/>
      </c>
      <c r="T935" s="21" t="str">
        <f aca="false">IF(S935="","",S935*K935)</f>
        <v/>
      </c>
      <c r="U935" s="5" t="str">
        <f aca="false">IF(A935="","",IF(J935&gt;Parâmetros!$C$14,"SIM","NAO"))</f>
        <v/>
      </c>
      <c r="V935" s="5" t="str">
        <f aca="false">IF(B935="","",TRIM(LEFT(B935,IFERROR(FIND(" ",B935)-1,LEN(B935)))))</f>
        <v/>
      </c>
      <c r="W935" s="22"/>
      <c r="X935" s="5" t="str">
        <f aca="false">IF(A935="","",IF(W935&lt;&gt;"",W935,V935))</f>
        <v/>
      </c>
      <c r="Y935" s="5" t="str">
        <f aca="false">IF(A935="","",IF(COUNTIFS($X$2:$X$2001,X935,$D$2:$D$2001,"&lt;&gt;"&amp;D935,$C$2:$C$2001,C935)&gt;0,"SIM","NAO"))</f>
        <v/>
      </c>
      <c r="Z935" s="5" t="str">
        <f aca="false">IF(A935="","",IF(J935="","",IFERROR(360/J935,"")))</f>
        <v/>
      </c>
      <c r="AA935" s="5" t="str">
        <f aca="false">IF(A935="","",IF(H935=0,"Parado (sem venda 90d)",IF(Z935&gt;12,"Alto (&gt;12x/ano)",IF(Z935&gt;=4,"Medio (4-12x/ano)","Baixo (&lt;4x/ano)"))))</f>
        <v/>
      </c>
    </row>
    <row r="936" customFormat="false" ht="15" hidden="false" customHeight="true" outlineLevel="0" collapsed="false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18"/>
      <c r="L936" s="19" t="str">
        <f aca="false">IF(A936="","",G936*K936)</f>
        <v/>
      </c>
      <c r="M936" s="20"/>
      <c r="N936" s="6"/>
      <c r="O936" s="6"/>
      <c r="P936" s="5" t="str">
        <f aca="false">IF(A936="","",H936/90)</f>
        <v/>
      </c>
      <c r="Q936" s="5" t="str">
        <f aca="false">IF(A936="","",IFERROR(INDEX(Parâmetros!$C$6:$C$10,MATCH(F936,Parâmetros!$B$6:$B$10,0)),""))</f>
        <v/>
      </c>
      <c r="R936" s="5" t="str">
        <f aca="false">IF(OR(A936="",P936="",Q936=""),"",P936*Q936)</f>
        <v/>
      </c>
      <c r="S936" s="5" t="str">
        <f aca="false">IF(R936="","",MAX(0,R936-G936))</f>
        <v/>
      </c>
      <c r="T936" s="21" t="str">
        <f aca="false">IF(S936="","",S936*K936)</f>
        <v/>
      </c>
      <c r="U936" s="5" t="str">
        <f aca="false">IF(A936="","",IF(J936&gt;Parâmetros!$C$14,"SIM","NAO"))</f>
        <v/>
      </c>
      <c r="V936" s="5" t="str">
        <f aca="false">IF(B936="","",TRIM(LEFT(B936,IFERROR(FIND(" ",B936)-1,LEN(B936)))))</f>
        <v/>
      </c>
      <c r="W936" s="22"/>
      <c r="X936" s="5" t="str">
        <f aca="false">IF(A936="","",IF(W936&lt;&gt;"",W936,V936))</f>
        <v/>
      </c>
      <c r="Y936" s="5" t="str">
        <f aca="false">IF(A936="","",IF(COUNTIFS($X$2:$X$2001,X936,$D$2:$D$2001,"&lt;&gt;"&amp;D936,$C$2:$C$2001,C936)&gt;0,"SIM","NAO"))</f>
        <v/>
      </c>
      <c r="Z936" s="5" t="str">
        <f aca="false">IF(A936="","",IF(J936="","",IFERROR(360/J936,"")))</f>
        <v/>
      </c>
      <c r="AA936" s="5" t="str">
        <f aca="false">IF(A936="","",IF(H936=0,"Parado (sem venda 90d)",IF(Z936&gt;12,"Alto (&gt;12x/ano)",IF(Z936&gt;=4,"Medio (4-12x/ano)","Baixo (&lt;4x/ano)"))))</f>
        <v/>
      </c>
    </row>
    <row r="937" customFormat="false" ht="15" hidden="false" customHeight="true" outlineLevel="0" collapsed="false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18"/>
      <c r="L937" s="19" t="str">
        <f aca="false">IF(A937="","",G937*K937)</f>
        <v/>
      </c>
      <c r="M937" s="20"/>
      <c r="N937" s="6"/>
      <c r="O937" s="6"/>
      <c r="P937" s="5" t="str">
        <f aca="false">IF(A937="","",H937/90)</f>
        <v/>
      </c>
      <c r="Q937" s="5" t="str">
        <f aca="false">IF(A937="","",IFERROR(INDEX(Parâmetros!$C$6:$C$10,MATCH(F937,Parâmetros!$B$6:$B$10,0)),""))</f>
        <v/>
      </c>
      <c r="R937" s="5" t="str">
        <f aca="false">IF(OR(A937="",P937="",Q937=""),"",P937*Q937)</f>
        <v/>
      </c>
      <c r="S937" s="5" t="str">
        <f aca="false">IF(R937="","",MAX(0,R937-G937))</f>
        <v/>
      </c>
      <c r="T937" s="21" t="str">
        <f aca="false">IF(S937="","",S937*K937)</f>
        <v/>
      </c>
      <c r="U937" s="5" t="str">
        <f aca="false">IF(A937="","",IF(J937&gt;Parâmetros!$C$14,"SIM","NAO"))</f>
        <v/>
      </c>
      <c r="V937" s="5" t="str">
        <f aca="false">IF(B937="","",TRIM(LEFT(B937,IFERROR(FIND(" ",B937)-1,LEN(B937)))))</f>
        <v/>
      </c>
      <c r="W937" s="22"/>
      <c r="X937" s="5" t="str">
        <f aca="false">IF(A937="","",IF(W937&lt;&gt;"",W937,V937))</f>
        <v/>
      </c>
      <c r="Y937" s="5" t="str">
        <f aca="false">IF(A937="","",IF(COUNTIFS($X$2:$X$2001,X937,$D$2:$D$2001,"&lt;&gt;"&amp;D937,$C$2:$C$2001,C937)&gt;0,"SIM","NAO"))</f>
        <v/>
      </c>
      <c r="Z937" s="5" t="str">
        <f aca="false">IF(A937="","",IF(J937="","",IFERROR(360/J937,"")))</f>
        <v/>
      </c>
      <c r="AA937" s="5" t="str">
        <f aca="false">IF(A937="","",IF(H937=0,"Parado (sem venda 90d)",IF(Z937&gt;12,"Alto (&gt;12x/ano)",IF(Z937&gt;=4,"Medio (4-12x/ano)","Baixo (&lt;4x/ano)"))))</f>
        <v/>
      </c>
    </row>
    <row r="938" customFormat="false" ht="15" hidden="false" customHeight="true" outlineLevel="0" collapsed="false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18"/>
      <c r="L938" s="19" t="str">
        <f aca="false">IF(A938="","",G938*K938)</f>
        <v/>
      </c>
      <c r="M938" s="20"/>
      <c r="N938" s="6"/>
      <c r="O938" s="6"/>
      <c r="P938" s="5" t="str">
        <f aca="false">IF(A938="","",H938/90)</f>
        <v/>
      </c>
      <c r="Q938" s="5" t="str">
        <f aca="false">IF(A938="","",IFERROR(INDEX(Parâmetros!$C$6:$C$10,MATCH(F938,Parâmetros!$B$6:$B$10,0)),""))</f>
        <v/>
      </c>
      <c r="R938" s="5" t="str">
        <f aca="false">IF(OR(A938="",P938="",Q938=""),"",P938*Q938)</f>
        <v/>
      </c>
      <c r="S938" s="5" t="str">
        <f aca="false">IF(R938="","",MAX(0,R938-G938))</f>
        <v/>
      </c>
      <c r="T938" s="21" t="str">
        <f aca="false">IF(S938="","",S938*K938)</f>
        <v/>
      </c>
      <c r="U938" s="5" t="str">
        <f aca="false">IF(A938="","",IF(J938&gt;Parâmetros!$C$14,"SIM","NAO"))</f>
        <v/>
      </c>
      <c r="V938" s="5" t="str">
        <f aca="false">IF(B938="","",TRIM(LEFT(B938,IFERROR(FIND(" ",B938)-1,LEN(B938)))))</f>
        <v/>
      </c>
      <c r="W938" s="22"/>
      <c r="X938" s="5" t="str">
        <f aca="false">IF(A938="","",IF(W938&lt;&gt;"",W938,V938))</f>
        <v/>
      </c>
      <c r="Y938" s="5" t="str">
        <f aca="false">IF(A938="","",IF(COUNTIFS($X$2:$X$2001,X938,$D$2:$D$2001,"&lt;&gt;"&amp;D938,$C$2:$C$2001,C938)&gt;0,"SIM","NAO"))</f>
        <v/>
      </c>
      <c r="Z938" s="5" t="str">
        <f aca="false">IF(A938="","",IF(J938="","",IFERROR(360/J938,"")))</f>
        <v/>
      </c>
      <c r="AA938" s="5" t="str">
        <f aca="false">IF(A938="","",IF(H938=0,"Parado (sem venda 90d)",IF(Z938&gt;12,"Alto (&gt;12x/ano)",IF(Z938&gt;=4,"Medio (4-12x/ano)","Baixo (&lt;4x/ano)"))))</f>
        <v/>
      </c>
    </row>
    <row r="939" customFormat="false" ht="15" hidden="false" customHeight="true" outlineLevel="0" collapsed="false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18"/>
      <c r="L939" s="19" t="str">
        <f aca="false">IF(A939="","",G939*K939)</f>
        <v/>
      </c>
      <c r="M939" s="20"/>
      <c r="N939" s="6"/>
      <c r="O939" s="6"/>
      <c r="P939" s="5" t="str">
        <f aca="false">IF(A939="","",H939/90)</f>
        <v/>
      </c>
      <c r="Q939" s="5" t="str">
        <f aca="false">IF(A939="","",IFERROR(INDEX(Parâmetros!$C$6:$C$10,MATCH(F939,Parâmetros!$B$6:$B$10,0)),""))</f>
        <v/>
      </c>
      <c r="R939" s="5" t="str">
        <f aca="false">IF(OR(A939="",P939="",Q939=""),"",P939*Q939)</f>
        <v/>
      </c>
      <c r="S939" s="5" t="str">
        <f aca="false">IF(R939="","",MAX(0,R939-G939))</f>
        <v/>
      </c>
      <c r="T939" s="21" t="str">
        <f aca="false">IF(S939="","",S939*K939)</f>
        <v/>
      </c>
      <c r="U939" s="5" t="str">
        <f aca="false">IF(A939="","",IF(J939&gt;Parâmetros!$C$14,"SIM","NAO"))</f>
        <v/>
      </c>
      <c r="V939" s="5" t="str">
        <f aca="false">IF(B939="","",TRIM(LEFT(B939,IFERROR(FIND(" ",B939)-1,LEN(B939)))))</f>
        <v/>
      </c>
      <c r="W939" s="22"/>
      <c r="X939" s="5" t="str">
        <f aca="false">IF(A939="","",IF(W939&lt;&gt;"",W939,V939))</f>
        <v/>
      </c>
      <c r="Y939" s="5" t="str">
        <f aca="false">IF(A939="","",IF(COUNTIFS($X$2:$X$2001,X939,$D$2:$D$2001,"&lt;&gt;"&amp;D939,$C$2:$C$2001,C939)&gt;0,"SIM","NAO"))</f>
        <v/>
      </c>
      <c r="Z939" s="5" t="str">
        <f aca="false">IF(A939="","",IF(J939="","",IFERROR(360/J939,"")))</f>
        <v/>
      </c>
      <c r="AA939" s="5" t="str">
        <f aca="false">IF(A939="","",IF(H939=0,"Parado (sem venda 90d)",IF(Z939&gt;12,"Alto (&gt;12x/ano)",IF(Z939&gt;=4,"Medio (4-12x/ano)","Baixo (&lt;4x/ano)"))))</f>
        <v/>
      </c>
    </row>
    <row r="940" customFormat="false" ht="15" hidden="false" customHeight="true" outlineLevel="0" collapsed="false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18"/>
      <c r="L940" s="19" t="str">
        <f aca="false">IF(A940="","",G940*K940)</f>
        <v/>
      </c>
      <c r="M940" s="20"/>
      <c r="N940" s="6"/>
      <c r="O940" s="6"/>
      <c r="P940" s="5" t="str">
        <f aca="false">IF(A940="","",H940/90)</f>
        <v/>
      </c>
      <c r="Q940" s="5" t="str">
        <f aca="false">IF(A940="","",IFERROR(INDEX(Parâmetros!$C$6:$C$10,MATCH(F940,Parâmetros!$B$6:$B$10,0)),""))</f>
        <v/>
      </c>
      <c r="R940" s="5" t="str">
        <f aca="false">IF(OR(A940="",P940="",Q940=""),"",P940*Q940)</f>
        <v/>
      </c>
      <c r="S940" s="5" t="str">
        <f aca="false">IF(R940="","",MAX(0,R940-G940))</f>
        <v/>
      </c>
      <c r="T940" s="21" t="str">
        <f aca="false">IF(S940="","",S940*K940)</f>
        <v/>
      </c>
      <c r="U940" s="5" t="str">
        <f aca="false">IF(A940="","",IF(J940&gt;Parâmetros!$C$14,"SIM","NAO"))</f>
        <v/>
      </c>
      <c r="V940" s="5" t="str">
        <f aca="false">IF(B940="","",TRIM(LEFT(B940,IFERROR(FIND(" ",B940)-1,LEN(B940)))))</f>
        <v/>
      </c>
      <c r="W940" s="22"/>
      <c r="X940" s="5" t="str">
        <f aca="false">IF(A940="","",IF(W940&lt;&gt;"",W940,V940))</f>
        <v/>
      </c>
      <c r="Y940" s="5" t="str">
        <f aca="false">IF(A940="","",IF(COUNTIFS($X$2:$X$2001,X940,$D$2:$D$2001,"&lt;&gt;"&amp;D940,$C$2:$C$2001,C940)&gt;0,"SIM","NAO"))</f>
        <v/>
      </c>
      <c r="Z940" s="5" t="str">
        <f aca="false">IF(A940="","",IF(J940="","",IFERROR(360/J940,"")))</f>
        <v/>
      </c>
      <c r="AA940" s="5" t="str">
        <f aca="false">IF(A940="","",IF(H940=0,"Parado (sem venda 90d)",IF(Z940&gt;12,"Alto (&gt;12x/ano)",IF(Z940&gt;=4,"Medio (4-12x/ano)","Baixo (&lt;4x/ano)"))))</f>
        <v/>
      </c>
    </row>
    <row r="941" customFormat="false" ht="15" hidden="false" customHeight="true" outlineLevel="0" collapsed="false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18"/>
      <c r="L941" s="19" t="str">
        <f aca="false">IF(A941="","",G941*K941)</f>
        <v/>
      </c>
      <c r="M941" s="20"/>
      <c r="N941" s="6"/>
      <c r="O941" s="6"/>
      <c r="P941" s="5" t="str">
        <f aca="false">IF(A941="","",H941/90)</f>
        <v/>
      </c>
      <c r="Q941" s="5" t="str">
        <f aca="false">IF(A941="","",IFERROR(INDEX(Parâmetros!$C$6:$C$10,MATCH(F941,Parâmetros!$B$6:$B$10,0)),""))</f>
        <v/>
      </c>
      <c r="R941" s="5" t="str">
        <f aca="false">IF(OR(A941="",P941="",Q941=""),"",P941*Q941)</f>
        <v/>
      </c>
      <c r="S941" s="5" t="str">
        <f aca="false">IF(R941="","",MAX(0,R941-G941))</f>
        <v/>
      </c>
      <c r="T941" s="21" t="str">
        <f aca="false">IF(S941="","",S941*K941)</f>
        <v/>
      </c>
      <c r="U941" s="5" t="str">
        <f aca="false">IF(A941="","",IF(J941&gt;Parâmetros!$C$14,"SIM","NAO"))</f>
        <v/>
      </c>
      <c r="V941" s="5" t="str">
        <f aca="false">IF(B941="","",TRIM(LEFT(B941,IFERROR(FIND(" ",B941)-1,LEN(B941)))))</f>
        <v/>
      </c>
      <c r="W941" s="22"/>
      <c r="X941" s="5" t="str">
        <f aca="false">IF(A941="","",IF(W941&lt;&gt;"",W941,V941))</f>
        <v/>
      </c>
      <c r="Y941" s="5" t="str">
        <f aca="false">IF(A941="","",IF(COUNTIFS($X$2:$X$2001,X941,$D$2:$D$2001,"&lt;&gt;"&amp;D941,$C$2:$C$2001,C941)&gt;0,"SIM","NAO"))</f>
        <v/>
      </c>
      <c r="Z941" s="5" t="str">
        <f aca="false">IF(A941="","",IF(J941="","",IFERROR(360/J941,"")))</f>
        <v/>
      </c>
      <c r="AA941" s="5" t="str">
        <f aca="false">IF(A941="","",IF(H941=0,"Parado (sem venda 90d)",IF(Z941&gt;12,"Alto (&gt;12x/ano)",IF(Z941&gt;=4,"Medio (4-12x/ano)","Baixo (&lt;4x/ano)"))))</f>
        <v/>
      </c>
    </row>
    <row r="942" customFormat="false" ht="15" hidden="false" customHeight="true" outlineLevel="0" collapsed="false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18"/>
      <c r="L942" s="19" t="str">
        <f aca="false">IF(A942="","",G942*K942)</f>
        <v/>
      </c>
      <c r="M942" s="20"/>
      <c r="N942" s="6"/>
      <c r="O942" s="6"/>
      <c r="P942" s="5" t="str">
        <f aca="false">IF(A942="","",H942/90)</f>
        <v/>
      </c>
      <c r="Q942" s="5" t="str">
        <f aca="false">IF(A942="","",IFERROR(INDEX(Parâmetros!$C$6:$C$10,MATCH(F942,Parâmetros!$B$6:$B$10,0)),""))</f>
        <v/>
      </c>
      <c r="R942" s="5" t="str">
        <f aca="false">IF(OR(A942="",P942="",Q942=""),"",P942*Q942)</f>
        <v/>
      </c>
      <c r="S942" s="5" t="str">
        <f aca="false">IF(R942="","",MAX(0,R942-G942))</f>
        <v/>
      </c>
      <c r="T942" s="21" t="str">
        <f aca="false">IF(S942="","",S942*K942)</f>
        <v/>
      </c>
      <c r="U942" s="5" t="str">
        <f aca="false">IF(A942="","",IF(J942&gt;Parâmetros!$C$14,"SIM","NAO"))</f>
        <v/>
      </c>
      <c r="V942" s="5" t="str">
        <f aca="false">IF(B942="","",TRIM(LEFT(B942,IFERROR(FIND(" ",B942)-1,LEN(B942)))))</f>
        <v/>
      </c>
      <c r="W942" s="22"/>
      <c r="X942" s="5" t="str">
        <f aca="false">IF(A942="","",IF(W942&lt;&gt;"",W942,V942))</f>
        <v/>
      </c>
      <c r="Y942" s="5" t="str">
        <f aca="false">IF(A942="","",IF(COUNTIFS($X$2:$X$2001,X942,$D$2:$D$2001,"&lt;&gt;"&amp;D942,$C$2:$C$2001,C942)&gt;0,"SIM","NAO"))</f>
        <v/>
      </c>
      <c r="Z942" s="5" t="str">
        <f aca="false">IF(A942="","",IF(J942="","",IFERROR(360/J942,"")))</f>
        <v/>
      </c>
      <c r="AA942" s="5" t="str">
        <f aca="false">IF(A942="","",IF(H942=0,"Parado (sem venda 90d)",IF(Z942&gt;12,"Alto (&gt;12x/ano)",IF(Z942&gt;=4,"Medio (4-12x/ano)","Baixo (&lt;4x/ano)"))))</f>
        <v/>
      </c>
    </row>
    <row r="943" customFormat="false" ht="15" hidden="false" customHeight="true" outlineLevel="0" collapsed="false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18"/>
      <c r="L943" s="19" t="str">
        <f aca="false">IF(A943="","",G943*K943)</f>
        <v/>
      </c>
      <c r="M943" s="20"/>
      <c r="N943" s="6"/>
      <c r="O943" s="6"/>
      <c r="P943" s="5" t="str">
        <f aca="false">IF(A943="","",H943/90)</f>
        <v/>
      </c>
      <c r="Q943" s="5" t="str">
        <f aca="false">IF(A943="","",IFERROR(INDEX(Parâmetros!$C$6:$C$10,MATCH(F943,Parâmetros!$B$6:$B$10,0)),""))</f>
        <v/>
      </c>
      <c r="R943" s="5" t="str">
        <f aca="false">IF(OR(A943="",P943="",Q943=""),"",P943*Q943)</f>
        <v/>
      </c>
      <c r="S943" s="5" t="str">
        <f aca="false">IF(R943="","",MAX(0,R943-G943))</f>
        <v/>
      </c>
      <c r="T943" s="21" t="str">
        <f aca="false">IF(S943="","",S943*K943)</f>
        <v/>
      </c>
      <c r="U943" s="5" t="str">
        <f aca="false">IF(A943="","",IF(J943&gt;Parâmetros!$C$14,"SIM","NAO"))</f>
        <v/>
      </c>
      <c r="V943" s="5" t="str">
        <f aca="false">IF(B943="","",TRIM(LEFT(B943,IFERROR(FIND(" ",B943)-1,LEN(B943)))))</f>
        <v/>
      </c>
      <c r="W943" s="22"/>
      <c r="X943" s="5" t="str">
        <f aca="false">IF(A943="","",IF(W943&lt;&gt;"",W943,V943))</f>
        <v/>
      </c>
      <c r="Y943" s="5" t="str">
        <f aca="false">IF(A943="","",IF(COUNTIFS($X$2:$X$2001,X943,$D$2:$D$2001,"&lt;&gt;"&amp;D943,$C$2:$C$2001,C943)&gt;0,"SIM","NAO"))</f>
        <v/>
      </c>
      <c r="Z943" s="5" t="str">
        <f aca="false">IF(A943="","",IF(J943="","",IFERROR(360/J943,"")))</f>
        <v/>
      </c>
      <c r="AA943" s="5" t="str">
        <f aca="false">IF(A943="","",IF(H943=0,"Parado (sem venda 90d)",IF(Z943&gt;12,"Alto (&gt;12x/ano)",IF(Z943&gt;=4,"Medio (4-12x/ano)","Baixo (&lt;4x/ano)"))))</f>
        <v/>
      </c>
    </row>
    <row r="944" customFormat="false" ht="15" hidden="false" customHeight="true" outlineLevel="0" collapsed="false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18"/>
      <c r="L944" s="19" t="str">
        <f aca="false">IF(A944="","",G944*K944)</f>
        <v/>
      </c>
      <c r="M944" s="20"/>
      <c r="N944" s="6"/>
      <c r="O944" s="6"/>
      <c r="P944" s="5" t="str">
        <f aca="false">IF(A944="","",H944/90)</f>
        <v/>
      </c>
      <c r="Q944" s="5" t="str">
        <f aca="false">IF(A944="","",IFERROR(INDEX(Parâmetros!$C$6:$C$10,MATCH(F944,Parâmetros!$B$6:$B$10,0)),""))</f>
        <v/>
      </c>
      <c r="R944" s="5" t="str">
        <f aca="false">IF(OR(A944="",P944="",Q944=""),"",P944*Q944)</f>
        <v/>
      </c>
      <c r="S944" s="5" t="str">
        <f aca="false">IF(R944="","",MAX(0,R944-G944))</f>
        <v/>
      </c>
      <c r="T944" s="21" t="str">
        <f aca="false">IF(S944="","",S944*K944)</f>
        <v/>
      </c>
      <c r="U944" s="5" t="str">
        <f aca="false">IF(A944="","",IF(J944&gt;Parâmetros!$C$14,"SIM","NAO"))</f>
        <v/>
      </c>
      <c r="V944" s="5" t="str">
        <f aca="false">IF(B944="","",TRIM(LEFT(B944,IFERROR(FIND(" ",B944)-1,LEN(B944)))))</f>
        <v/>
      </c>
      <c r="W944" s="22"/>
      <c r="X944" s="5" t="str">
        <f aca="false">IF(A944="","",IF(W944&lt;&gt;"",W944,V944))</f>
        <v/>
      </c>
      <c r="Y944" s="5" t="str">
        <f aca="false">IF(A944="","",IF(COUNTIFS($X$2:$X$2001,X944,$D$2:$D$2001,"&lt;&gt;"&amp;D944,$C$2:$C$2001,C944)&gt;0,"SIM","NAO"))</f>
        <v/>
      </c>
      <c r="Z944" s="5" t="str">
        <f aca="false">IF(A944="","",IF(J944="","",IFERROR(360/J944,"")))</f>
        <v/>
      </c>
      <c r="AA944" s="5" t="str">
        <f aca="false">IF(A944="","",IF(H944=0,"Parado (sem venda 90d)",IF(Z944&gt;12,"Alto (&gt;12x/ano)",IF(Z944&gt;=4,"Medio (4-12x/ano)","Baixo (&lt;4x/ano)"))))</f>
        <v/>
      </c>
    </row>
    <row r="945" customFormat="false" ht="15" hidden="false" customHeight="true" outlineLevel="0" collapsed="false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18"/>
      <c r="L945" s="19" t="str">
        <f aca="false">IF(A945="","",G945*K945)</f>
        <v/>
      </c>
      <c r="M945" s="20"/>
      <c r="N945" s="6"/>
      <c r="O945" s="6"/>
      <c r="P945" s="5" t="str">
        <f aca="false">IF(A945="","",H945/90)</f>
        <v/>
      </c>
      <c r="Q945" s="5" t="str">
        <f aca="false">IF(A945="","",IFERROR(INDEX(Parâmetros!$C$6:$C$10,MATCH(F945,Parâmetros!$B$6:$B$10,0)),""))</f>
        <v/>
      </c>
      <c r="R945" s="5" t="str">
        <f aca="false">IF(OR(A945="",P945="",Q945=""),"",P945*Q945)</f>
        <v/>
      </c>
      <c r="S945" s="5" t="str">
        <f aca="false">IF(R945="","",MAX(0,R945-G945))</f>
        <v/>
      </c>
      <c r="T945" s="21" t="str">
        <f aca="false">IF(S945="","",S945*K945)</f>
        <v/>
      </c>
      <c r="U945" s="5" t="str">
        <f aca="false">IF(A945="","",IF(J945&gt;Parâmetros!$C$14,"SIM","NAO"))</f>
        <v/>
      </c>
      <c r="V945" s="5" t="str">
        <f aca="false">IF(B945="","",TRIM(LEFT(B945,IFERROR(FIND(" ",B945)-1,LEN(B945)))))</f>
        <v/>
      </c>
      <c r="W945" s="22"/>
      <c r="X945" s="5" t="str">
        <f aca="false">IF(A945="","",IF(W945&lt;&gt;"",W945,V945))</f>
        <v/>
      </c>
      <c r="Y945" s="5" t="str">
        <f aca="false">IF(A945="","",IF(COUNTIFS($X$2:$X$2001,X945,$D$2:$D$2001,"&lt;&gt;"&amp;D945,$C$2:$C$2001,C945)&gt;0,"SIM","NAO"))</f>
        <v/>
      </c>
      <c r="Z945" s="5" t="str">
        <f aca="false">IF(A945="","",IF(J945="","",IFERROR(360/J945,"")))</f>
        <v/>
      </c>
      <c r="AA945" s="5" t="str">
        <f aca="false">IF(A945="","",IF(H945=0,"Parado (sem venda 90d)",IF(Z945&gt;12,"Alto (&gt;12x/ano)",IF(Z945&gt;=4,"Medio (4-12x/ano)","Baixo (&lt;4x/ano)"))))</f>
        <v/>
      </c>
    </row>
    <row r="946" customFormat="false" ht="15" hidden="false" customHeight="true" outlineLevel="0" collapsed="false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18"/>
      <c r="L946" s="19" t="str">
        <f aca="false">IF(A946="","",G946*K946)</f>
        <v/>
      </c>
      <c r="M946" s="20"/>
      <c r="N946" s="6"/>
      <c r="O946" s="6"/>
      <c r="P946" s="5" t="str">
        <f aca="false">IF(A946="","",H946/90)</f>
        <v/>
      </c>
      <c r="Q946" s="5" t="str">
        <f aca="false">IF(A946="","",IFERROR(INDEX(Parâmetros!$C$6:$C$10,MATCH(F946,Parâmetros!$B$6:$B$10,0)),""))</f>
        <v/>
      </c>
      <c r="R946" s="5" t="str">
        <f aca="false">IF(OR(A946="",P946="",Q946=""),"",P946*Q946)</f>
        <v/>
      </c>
      <c r="S946" s="5" t="str">
        <f aca="false">IF(R946="","",MAX(0,R946-G946))</f>
        <v/>
      </c>
      <c r="T946" s="21" t="str">
        <f aca="false">IF(S946="","",S946*K946)</f>
        <v/>
      </c>
      <c r="U946" s="5" t="str">
        <f aca="false">IF(A946="","",IF(J946&gt;Parâmetros!$C$14,"SIM","NAO"))</f>
        <v/>
      </c>
      <c r="V946" s="5" t="str">
        <f aca="false">IF(B946="","",TRIM(LEFT(B946,IFERROR(FIND(" ",B946)-1,LEN(B946)))))</f>
        <v/>
      </c>
      <c r="W946" s="22"/>
      <c r="X946" s="5" t="str">
        <f aca="false">IF(A946="","",IF(W946&lt;&gt;"",W946,V946))</f>
        <v/>
      </c>
      <c r="Y946" s="5" t="str">
        <f aca="false">IF(A946="","",IF(COUNTIFS($X$2:$X$2001,X946,$D$2:$D$2001,"&lt;&gt;"&amp;D946,$C$2:$C$2001,C946)&gt;0,"SIM","NAO"))</f>
        <v/>
      </c>
      <c r="Z946" s="5" t="str">
        <f aca="false">IF(A946="","",IF(J946="","",IFERROR(360/J946,"")))</f>
        <v/>
      </c>
      <c r="AA946" s="5" t="str">
        <f aca="false">IF(A946="","",IF(H946=0,"Parado (sem venda 90d)",IF(Z946&gt;12,"Alto (&gt;12x/ano)",IF(Z946&gt;=4,"Medio (4-12x/ano)","Baixo (&lt;4x/ano)"))))</f>
        <v/>
      </c>
    </row>
    <row r="947" customFormat="false" ht="15" hidden="false" customHeight="true" outlineLevel="0" collapsed="false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18"/>
      <c r="L947" s="19" t="str">
        <f aca="false">IF(A947="","",G947*K947)</f>
        <v/>
      </c>
      <c r="M947" s="20"/>
      <c r="N947" s="6"/>
      <c r="O947" s="6"/>
      <c r="P947" s="5" t="str">
        <f aca="false">IF(A947="","",H947/90)</f>
        <v/>
      </c>
      <c r="Q947" s="5" t="str">
        <f aca="false">IF(A947="","",IFERROR(INDEX(Parâmetros!$C$6:$C$10,MATCH(F947,Parâmetros!$B$6:$B$10,0)),""))</f>
        <v/>
      </c>
      <c r="R947" s="5" t="str">
        <f aca="false">IF(OR(A947="",P947="",Q947=""),"",P947*Q947)</f>
        <v/>
      </c>
      <c r="S947" s="5" t="str">
        <f aca="false">IF(R947="","",MAX(0,R947-G947))</f>
        <v/>
      </c>
      <c r="T947" s="21" t="str">
        <f aca="false">IF(S947="","",S947*K947)</f>
        <v/>
      </c>
      <c r="U947" s="5" t="str">
        <f aca="false">IF(A947="","",IF(J947&gt;Parâmetros!$C$14,"SIM","NAO"))</f>
        <v/>
      </c>
      <c r="V947" s="5" t="str">
        <f aca="false">IF(B947="","",TRIM(LEFT(B947,IFERROR(FIND(" ",B947)-1,LEN(B947)))))</f>
        <v/>
      </c>
      <c r="W947" s="22"/>
      <c r="X947" s="5" t="str">
        <f aca="false">IF(A947="","",IF(W947&lt;&gt;"",W947,V947))</f>
        <v/>
      </c>
      <c r="Y947" s="5" t="str">
        <f aca="false">IF(A947="","",IF(COUNTIFS($X$2:$X$2001,X947,$D$2:$D$2001,"&lt;&gt;"&amp;D947,$C$2:$C$2001,C947)&gt;0,"SIM","NAO"))</f>
        <v/>
      </c>
      <c r="Z947" s="5" t="str">
        <f aca="false">IF(A947="","",IF(J947="","",IFERROR(360/J947,"")))</f>
        <v/>
      </c>
      <c r="AA947" s="5" t="str">
        <f aca="false">IF(A947="","",IF(H947=0,"Parado (sem venda 90d)",IF(Z947&gt;12,"Alto (&gt;12x/ano)",IF(Z947&gt;=4,"Medio (4-12x/ano)","Baixo (&lt;4x/ano)"))))</f>
        <v/>
      </c>
    </row>
    <row r="948" customFormat="false" ht="15" hidden="false" customHeight="true" outlineLevel="0" collapsed="false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18"/>
      <c r="L948" s="19" t="str">
        <f aca="false">IF(A948="","",G948*K948)</f>
        <v/>
      </c>
      <c r="M948" s="20"/>
      <c r="N948" s="6"/>
      <c r="O948" s="6"/>
      <c r="P948" s="5" t="str">
        <f aca="false">IF(A948="","",H948/90)</f>
        <v/>
      </c>
      <c r="Q948" s="5" t="str">
        <f aca="false">IF(A948="","",IFERROR(INDEX(Parâmetros!$C$6:$C$10,MATCH(F948,Parâmetros!$B$6:$B$10,0)),""))</f>
        <v/>
      </c>
      <c r="R948" s="5" t="str">
        <f aca="false">IF(OR(A948="",P948="",Q948=""),"",P948*Q948)</f>
        <v/>
      </c>
      <c r="S948" s="5" t="str">
        <f aca="false">IF(R948="","",MAX(0,R948-G948))</f>
        <v/>
      </c>
      <c r="T948" s="21" t="str">
        <f aca="false">IF(S948="","",S948*K948)</f>
        <v/>
      </c>
      <c r="U948" s="5" t="str">
        <f aca="false">IF(A948="","",IF(J948&gt;Parâmetros!$C$14,"SIM","NAO"))</f>
        <v/>
      </c>
      <c r="V948" s="5" t="str">
        <f aca="false">IF(B948="","",TRIM(LEFT(B948,IFERROR(FIND(" ",B948)-1,LEN(B948)))))</f>
        <v/>
      </c>
      <c r="W948" s="22"/>
      <c r="X948" s="5" t="str">
        <f aca="false">IF(A948="","",IF(W948&lt;&gt;"",W948,V948))</f>
        <v/>
      </c>
      <c r="Y948" s="5" t="str">
        <f aca="false">IF(A948="","",IF(COUNTIFS($X$2:$X$2001,X948,$D$2:$D$2001,"&lt;&gt;"&amp;D948,$C$2:$C$2001,C948)&gt;0,"SIM","NAO"))</f>
        <v/>
      </c>
      <c r="Z948" s="5" t="str">
        <f aca="false">IF(A948="","",IF(J948="","",IFERROR(360/J948,"")))</f>
        <v/>
      </c>
      <c r="AA948" s="5" t="str">
        <f aca="false">IF(A948="","",IF(H948=0,"Parado (sem venda 90d)",IF(Z948&gt;12,"Alto (&gt;12x/ano)",IF(Z948&gt;=4,"Medio (4-12x/ano)","Baixo (&lt;4x/ano)"))))</f>
        <v/>
      </c>
    </row>
    <row r="949" customFormat="false" ht="15" hidden="false" customHeight="true" outlineLevel="0" collapsed="false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18"/>
      <c r="L949" s="19" t="str">
        <f aca="false">IF(A949="","",G949*K949)</f>
        <v/>
      </c>
      <c r="M949" s="20"/>
      <c r="N949" s="6"/>
      <c r="O949" s="6"/>
      <c r="P949" s="5" t="str">
        <f aca="false">IF(A949="","",H949/90)</f>
        <v/>
      </c>
      <c r="Q949" s="5" t="str">
        <f aca="false">IF(A949="","",IFERROR(INDEX(Parâmetros!$C$6:$C$10,MATCH(F949,Parâmetros!$B$6:$B$10,0)),""))</f>
        <v/>
      </c>
      <c r="R949" s="5" t="str">
        <f aca="false">IF(OR(A949="",P949="",Q949=""),"",P949*Q949)</f>
        <v/>
      </c>
      <c r="S949" s="5" t="str">
        <f aca="false">IF(R949="","",MAX(0,R949-G949))</f>
        <v/>
      </c>
      <c r="T949" s="21" t="str">
        <f aca="false">IF(S949="","",S949*K949)</f>
        <v/>
      </c>
      <c r="U949" s="5" t="str">
        <f aca="false">IF(A949="","",IF(J949&gt;Parâmetros!$C$14,"SIM","NAO"))</f>
        <v/>
      </c>
      <c r="V949" s="5" t="str">
        <f aca="false">IF(B949="","",TRIM(LEFT(B949,IFERROR(FIND(" ",B949)-1,LEN(B949)))))</f>
        <v/>
      </c>
      <c r="W949" s="22"/>
      <c r="X949" s="5" t="str">
        <f aca="false">IF(A949="","",IF(W949&lt;&gt;"",W949,V949))</f>
        <v/>
      </c>
      <c r="Y949" s="5" t="str">
        <f aca="false">IF(A949="","",IF(COUNTIFS($X$2:$X$2001,X949,$D$2:$D$2001,"&lt;&gt;"&amp;D949,$C$2:$C$2001,C949)&gt;0,"SIM","NAO"))</f>
        <v/>
      </c>
      <c r="Z949" s="5" t="str">
        <f aca="false">IF(A949="","",IF(J949="","",IFERROR(360/J949,"")))</f>
        <v/>
      </c>
      <c r="AA949" s="5" t="str">
        <f aca="false">IF(A949="","",IF(H949=0,"Parado (sem venda 90d)",IF(Z949&gt;12,"Alto (&gt;12x/ano)",IF(Z949&gt;=4,"Medio (4-12x/ano)","Baixo (&lt;4x/ano)"))))</f>
        <v/>
      </c>
    </row>
    <row r="950" customFormat="false" ht="15" hidden="false" customHeight="true" outlineLevel="0" collapsed="false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18"/>
      <c r="L950" s="19" t="str">
        <f aca="false">IF(A950="","",G950*K950)</f>
        <v/>
      </c>
      <c r="M950" s="20"/>
      <c r="N950" s="6"/>
      <c r="O950" s="6"/>
      <c r="P950" s="5" t="str">
        <f aca="false">IF(A950="","",H950/90)</f>
        <v/>
      </c>
      <c r="Q950" s="5" t="str">
        <f aca="false">IF(A950="","",IFERROR(INDEX(Parâmetros!$C$6:$C$10,MATCH(F950,Parâmetros!$B$6:$B$10,0)),""))</f>
        <v/>
      </c>
      <c r="R950" s="5" t="str">
        <f aca="false">IF(OR(A950="",P950="",Q950=""),"",P950*Q950)</f>
        <v/>
      </c>
      <c r="S950" s="5" t="str">
        <f aca="false">IF(R950="","",MAX(0,R950-G950))</f>
        <v/>
      </c>
      <c r="T950" s="21" t="str">
        <f aca="false">IF(S950="","",S950*K950)</f>
        <v/>
      </c>
      <c r="U950" s="5" t="str">
        <f aca="false">IF(A950="","",IF(J950&gt;Parâmetros!$C$14,"SIM","NAO"))</f>
        <v/>
      </c>
      <c r="V950" s="5" t="str">
        <f aca="false">IF(B950="","",TRIM(LEFT(B950,IFERROR(FIND(" ",B950)-1,LEN(B950)))))</f>
        <v/>
      </c>
      <c r="W950" s="22"/>
      <c r="X950" s="5" t="str">
        <f aca="false">IF(A950="","",IF(W950&lt;&gt;"",W950,V950))</f>
        <v/>
      </c>
      <c r="Y950" s="5" t="str">
        <f aca="false">IF(A950="","",IF(COUNTIFS($X$2:$X$2001,X950,$D$2:$D$2001,"&lt;&gt;"&amp;D950,$C$2:$C$2001,C950)&gt;0,"SIM","NAO"))</f>
        <v/>
      </c>
      <c r="Z950" s="5" t="str">
        <f aca="false">IF(A950="","",IF(J950="","",IFERROR(360/J950,"")))</f>
        <v/>
      </c>
      <c r="AA950" s="5" t="str">
        <f aca="false">IF(A950="","",IF(H950=0,"Parado (sem venda 90d)",IF(Z950&gt;12,"Alto (&gt;12x/ano)",IF(Z950&gt;=4,"Medio (4-12x/ano)","Baixo (&lt;4x/ano)"))))</f>
        <v/>
      </c>
    </row>
    <row r="951" customFormat="false" ht="15" hidden="false" customHeight="true" outlineLevel="0" collapsed="false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18"/>
      <c r="L951" s="19" t="str">
        <f aca="false">IF(A951="","",G951*K951)</f>
        <v/>
      </c>
      <c r="M951" s="20"/>
      <c r="N951" s="6"/>
      <c r="O951" s="6"/>
      <c r="P951" s="5" t="str">
        <f aca="false">IF(A951="","",H951/90)</f>
        <v/>
      </c>
      <c r="Q951" s="5" t="str">
        <f aca="false">IF(A951="","",IFERROR(INDEX(Parâmetros!$C$6:$C$10,MATCH(F951,Parâmetros!$B$6:$B$10,0)),""))</f>
        <v/>
      </c>
      <c r="R951" s="5" t="str">
        <f aca="false">IF(OR(A951="",P951="",Q951=""),"",P951*Q951)</f>
        <v/>
      </c>
      <c r="S951" s="5" t="str">
        <f aca="false">IF(R951="","",MAX(0,R951-G951))</f>
        <v/>
      </c>
      <c r="T951" s="21" t="str">
        <f aca="false">IF(S951="","",S951*K951)</f>
        <v/>
      </c>
      <c r="U951" s="5" t="str">
        <f aca="false">IF(A951="","",IF(J951&gt;Parâmetros!$C$14,"SIM","NAO"))</f>
        <v/>
      </c>
      <c r="V951" s="5" t="str">
        <f aca="false">IF(B951="","",TRIM(LEFT(B951,IFERROR(FIND(" ",B951)-1,LEN(B951)))))</f>
        <v/>
      </c>
      <c r="W951" s="22"/>
      <c r="X951" s="5" t="str">
        <f aca="false">IF(A951="","",IF(W951&lt;&gt;"",W951,V951))</f>
        <v/>
      </c>
      <c r="Y951" s="5" t="str">
        <f aca="false">IF(A951="","",IF(COUNTIFS($X$2:$X$2001,X951,$D$2:$D$2001,"&lt;&gt;"&amp;D951,$C$2:$C$2001,C951)&gt;0,"SIM","NAO"))</f>
        <v/>
      </c>
      <c r="Z951" s="5" t="str">
        <f aca="false">IF(A951="","",IF(J951="","",IFERROR(360/J951,"")))</f>
        <v/>
      </c>
      <c r="AA951" s="5" t="str">
        <f aca="false">IF(A951="","",IF(H951=0,"Parado (sem venda 90d)",IF(Z951&gt;12,"Alto (&gt;12x/ano)",IF(Z951&gt;=4,"Medio (4-12x/ano)","Baixo (&lt;4x/ano)"))))</f>
        <v/>
      </c>
    </row>
    <row r="952" customFormat="false" ht="15" hidden="false" customHeight="true" outlineLevel="0" collapsed="false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18"/>
      <c r="L952" s="19" t="str">
        <f aca="false">IF(A952="","",G952*K952)</f>
        <v/>
      </c>
      <c r="M952" s="20"/>
      <c r="N952" s="6"/>
      <c r="O952" s="6"/>
      <c r="P952" s="5" t="str">
        <f aca="false">IF(A952="","",H952/90)</f>
        <v/>
      </c>
      <c r="Q952" s="5" t="str">
        <f aca="false">IF(A952="","",IFERROR(INDEX(Parâmetros!$C$6:$C$10,MATCH(F952,Parâmetros!$B$6:$B$10,0)),""))</f>
        <v/>
      </c>
      <c r="R952" s="5" t="str">
        <f aca="false">IF(OR(A952="",P952="",Q952=""),"",P952*Q952)</f>
        <v/>
      </c>
      <c r="S952" s="5" t="str">
        <f aca="false">IF(R952="","",MAX(0,R952-G952))</f>
        <v/>
      </c>
      <c r="T952" s="21" t="str">
        <f aca="false">IF(S952="","",S952*K952)</f>
        <v/>
      </c>
      <c r="U952" s="5" t="str">
        <f aca="false">IF(A952="","",IF(J952&gt;Parâmetros!$C$14,"SIM","NAO"))</f>
        <v/>
      </c>
      <c r="V952" s="5" t="str">
        <f aca="false">IF(B952="","",TRIM(LEFT(B952,IFERROR(FIND(" ",B952)-1,LEN(B952)))))</f>
        <v/>
      </c>
      <c r="W952" s="22"/>
      <c r="X952" s="5" t="str">
        <f aca="false">IF(A952="","",IF(W952&lt;&gt;"",W952,V952))</f>
        <v/>
      </c>
      <c r="Y952" s="5" t="str">
        <f aca="false">IF(A952="","",IF(COUNTIFS($X$2:$X$2001,X952,$D$2:$D$2001,"&lt;&gt;"&amp;D952,$C$2:$C$2001,C952)&gt;0,"SIM","NAO"))</f>
        <v/>
      </c>
      <c r="Z952" s="5" t="str">
        <f aca="false">IF(A952="","",IF(J952="","",IFERROR(360/J952,"")))</f>
        <v/>
      </c>
      <c r="AA952" s="5" t="str">
        <f aca="false">IF(A952="","",IF(H952=0,"Parado (sem venda 90d)",IF(Z952&gt;12,"Alto (&gt;12x/ano)",IF(Z952&gt;=4,"Medio (4-12x/ano)","Baixo (&lt;4x/ano)"))))</f>
        <v/>
      </c>
    </row>
    <row r="953" customFormat="false" ht="15" hidden="false" customHeight="true" outlineLevel="0" collapsed="false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18"/>
      <c r="L953" s="19" t="str">
        <f aca="false">IF(A953="","",G953*K953)</f>
        <v/>
      </c>
      <c r="M953" s="20"/>
      <c r="N953" s="6"/>
      <c r="O953" s="6"/>
      <c r="P953" s="5" t="str">
        <f aca="false">IF(A953="","",H953/90)</f>
        <v/>
      </c>
      <c r="Q953" s="5" t="str">
        <f aca="false">IF(A953="","",IFERROR(INDEX(Parâmetros!$C$6:$C$10,MATCH(F953,Parâmetros!$B$6:$B$10,0)),""))</f>
        <v/>
      </c>
      <c r="R953" s="5" t="str">
        <f aca="false">IF(OR(A953="",P953="",Q953=""),"",P953*Q953)</f>
        <v/>
      </c>
      <c r="S953" s="5" t="str">
        <f aca="false">IF(R953="","",MAX(0,R953-G953))</f>
        <v/>
      </c>
      <c r="T953" s="21" t="str">
        <f aca="false">IF(S953="","",S953*K953)</f>
        <v/>
      </c>
      <c r="U953" s="5" t="str">
        <f aca="false">IF(A953="","",IF(J953&gt;Parâmetros!$C$14,"SIM","NAO"))</f>
        <v/>
      </c>
      <c r="V953" s="5" t="str">
        <f aca="false">IF(B953="","",TRIM(LEFT(B953,IFERROR(FIND(" ",B953)-1,LEN(B953)))))</f>
        <v/>
      </c>
      <c r="W953" s="22"/>
      <c r="X953" s="5" t="str">
        <f aca="false">IF(A953="","",IF(W953&lt;&gt;"",W953,V953))</f>
        <v/>
      </c>
      <c r="Y953" s="5" t="str">
        <f aca="false">IF(A953="","",IF(COUNTIFS($X$2:$X$2001,X953,$D$2:$D$2001,"&lt;&gt;"&amp;D953,$C$2:$C$2001,C953)&gt;0,"SIM","NAO"))</f>
        <v/>
      </c>
      <c r="Z953" s="5" t="str">
        <f aca="false">IF(A953="","",IF(J953="","",IFERROR(360/J953,"")))</f>
        <v/>
      </c>
      <c r="AA953" s="5" t="str">
        <f aca="false">IF(A953="","",IF(H953=0,"Parado (sem venda 90d)",IF(Z953&gt;12,"Alto (&gt;12x/ano)",IF(Z953&gt;=4,"Medio (4-12x/ano)","Baixo (&lt;4x/ano)"))))</f>
        <v/>
      </c>
    </row>
    <row r="954" customFormat="false" ht="15" hidden="false" customHeight="true" outlineLevel="0" collapsed="false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18"/>
      <c r="L954" s="19" t="str">
        <f aca="false">IF(A954="","",G954*K954)</f>
        <v/>
      </c>
      <c r="M954" s="20"/>
      <c r="N954" s="6"/>
      <c r="O954" s="6"/>
      <c r="P954" s="5" t="str">
        <f aca="false">IF(A954="","",H954/90)</f>
        <v/>
      </c>
      <c r="Q954" s="5" t="str">
        <f aca="false">IF(A954="","",IFERROR(INDEX(Parâmetros!$C$6:$C$10,MATCH(F954,Parâmetros!$B$6:$B$10,0)),""))</f>
        <v/>
      </c>
      <c r="R954" s="5" t="str">
        <f aca="false">IF(OR(A954="",P954="",Q954=""),"",P954*Q954)</f>
        <v/>
      </c>
      <c r="S954" s="5" t="str">
        <f aca="false">IF(R954="","",MAX(0,R954-G954))</f>
        <v/>
      </c>
      <c r="T954" s="21" t="str">
        <f aca="false">IF(S954="","",S954*K954)</f>
        <v/>
      </c>
      <c r="U954" s="5" t="str">
        <f aca="false">IF(A954="","",IF(J954&gt;Parâmetros!$C$14,"SIM","NAO"))</f>
        <v/>
      </c>
      <c r="V954" s="5" t="str">
        <f aca="false">IF(B954="","",TRIM(LEFT(B954,IFERROR(FIND(" ",B954)-1,LEN(B954)))))</f>
        <v/>
      </c>
      <c r="W954" s="22"/>
      <c r="X954" s="5" t="str">
        <f aca="false">IF(A954="","",IF(W954&lt;&gt;"",W954,V954))</f>
        <v/>
      </c>
      <c r="Y954" s="5" t="str">
        <f aca="false">IF(A954="","",IF(COUNTIFS($X$2:$X$2001,X954,$D$2:$D$2001,"&lt;&gt;"&amp;D954,$C$2:$C$2001,C954)&gt;0,"SIM","NAO"))</f>
        <v/>
      </c>
      <c r="Z954" s="5" t="str">
        <f aca="false">IF(A954="","",IF(J954="","",IFERROR(360/J954,"")))</f>
        <v/>
      </c>
      <c r="AA954" s="5" t="str">
        <f aca="false">IF(A954="","",IF(H954=0,"Parado (sem venda 90d)",IF(Z954&gt;12,"Alto (&gt;12x/ano)",IF(Z954&gt;=4,"Medio (4-12x/ano)","Baixo (&lt;4x/ano)"))))</f>
        <v/>
      </c>
    </row>
    <row r="955" customFormat="false" ht="15" hidden="false" customHeight="true" outlineLevel="0" collapsed="false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18"/>
      <c r="L955" s="19" t="str">
        <f aca="false">IF(A955="","",G955*K955)</f>
        <v/>
      </c>
      <c r="M955" s="20"/>
      <c r="N955" s="6"/>
      <c r="O955" s="6"/>
      <c r="P955" s="5" t="str">
        <f aca="false">IF(A955="","",H955/90)</f>
        <v/>
      </c>
      <c r="Q955" s="5" t="str">
        <f aca="false">IF(A955="","",IFERROR(INDEX(Parâmetros!$C$6:$C$10,MATCH(F955,Parâmetros!$B$6:$B$10,0)),""))</f>
        <v/>
      </c>
      <c r="R955" s="5" t="str">
        <f aca="false">IF(OR(A955="",P955="",Q955=""),"",P955*Q955)</f>
        <v/>
      </c>
      <c r="S955" s="5" t="str">
        <f aca="false">IF(R955="","",MAX(0,R955-G955))</f>
        <v/>
      </c>
      <c r="T955" s="21" t="str">
        <f aca="false">IF(S955="","",S955*K955)</f>
        <v/>
      </c>
      <c r="U955" s="5" t="str">
        <f aca="false">IF(A955="","",IF(J955&gt;Parâmetros!$C$14,"SIM","NAO"))</f>
        <v/>
      </c>
      <c r="V955" s="5" t="str">
        <f aca="false">IF(B955="","",TRIM(LEFT(B955,IFERROR(FIND(" ",B955)-1,LEN(B955)))))</f>
        <v/>
      </c>
      <c r="W955" s="22"/>
      <c r="X955" s="5" t="str">
        <f aca="false">IF(A955="","",IF(W955&lt;&gt;"",W955,V955))</f>
        <v/>
      </c>
      <c r="Y955" s="5" t="str">
        <f aca="false">IF(A955="","",IF(COUNTIFS($X$2:$X$2001,X955,$D$2:$D$2001,"&lt;&gt;"&amp;D955,$C$2:$C$2001,C955)&gt;0,"SIM","NAO"))</f>
        <v/>
      </c>
      <c r="Z955" s="5" t="str">
        <f aca="false">IF(A955="","",IF(J955="","",IFERROR(360/J955,"")))</f>
        <v/>
      </c>
      <c r="AA955" s="5" t="str">
        <f aca="false">IF(A955="","",IF(H955=0,"Parado (sem venda 90d)",IF(Z955&gt;12,"Alto (&gt;12x/ano)",IF(Z955&gt;=4,"Medio (4-12x/ano)","Baixo (&lt;4x/ano)"))))</f>
        <v/>
      </c>
    </row>
    <row r="956" customFormat="false" ht="15" hidden="false" customHeight="true" outlineLevel="0" collapsed="false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18"/>
      <c r="L956" s="19" t="str">
        <f aca="false">IF(A956="","",G956*K956)</f>
        <v/>
      </c>
      <c r="M956" s="20"/>
      <c r="N956" s="6"/>
      <c r="O956" s="6"/>
      <c r="P956" s="5" t="str">
        <f aca="false">IF(A956="","",H956/90)</f>
        <v/>
      </c>
      <c r="Q956" s="5" t="str">
        <f aca="false">IF(A956="","",IFERROR(INDEX(Parâmetros!$C$6:$C$10,MATCH(F956,Parâmetros!$B$6:$B$10,0)),""))</f>
        <v/>
      </c>
      <c r="R956" s="5" t="str">
        <f aca="false">IF(OR(A956="",P956="",Q956=""),"",P956*Q956)</f>
        <v/>
      </c>
      <c r="S956" s="5" t="str">
        <f aca="false">IF(R956="","",MAX(0,R956-G956))</f>
        <v/>
      </c>
      <c r="T956" s="21" t="str">
        <f aca="false">IF(S956="","",S956*K956)</f>
        <v/>
      </c>
      <c r="U956" s="5" t="str">
        <f aca="false">IF(A956="","",IF(J956&gt;Parâmetros!$C$14,"SIM","NAO"))</f>
        <v/>
      </c>
      <c r="V956" s="5" t="str">
        <f aca="false">IF(B956="","",TRIM(LEFT(B956,IFERROR(FIND(" ",B956)-1,LEN(B956)))))</f>
        <v/>
      </c>
      <c r="W956" s="22"/>
      <c r="X956" s="5" t="str">
        <f aca="false">IF(A956="","",IF(W956&lt;&gt;"",W956,V956))</f>
        <v/>
      </c>
      <c r="Y956" s="5" t="str">
        <f aca="false">IF(A956="","",IF(COUNTIFS($X$2:$X$2001,X956,$D$2:$D$2001,"&lt;&gt;"&amp;D956,$C$2:$C$2001,C956)&gt;0,"SIM","NAO"))</f>
        <v/>
      </c>
      <c r="Z956" s="5" t="str">
        <f aca="false">IF(A956="","",IF(J956="","",IFERROR(360/J956,"")))</f>
        <v/>
      </c>
      <c r="AA956" s="5" t="str">
        <f aca="false">IF(A956="","",IF(H956=0,"Parado (sem venda 90d)",IF(Z956&gt;12,"Alto (&gt;12x/ano)",IF(Z956&gt;=4,"Medio (4-12x/ano)","Baixo (&lt;4x/ano)"))))</f>
        <v/>
      </c>
    </row>
    <row r="957" customFormat="false" ht="15" hidden="false" customHeight="true" outlineLevel="0" collapsed="false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18"/>
      <c r="L957" s="19" t="str">
        <f aca="false">IF(A957="","",G957*K957)</f>
        <v/>
      </c>
      <c r="M957" s="20"/>
      <c r="N957" s="6"/>
      <c r="O957" s="6"/>
      <c r="P957" s="5" t="str">
        <f aca="false">IF(A957="","",H957/90)</f>
        <v/>
      </c>
      <c r="Q957" s="5" t="str">
        <f aca="false">IF(A957="","",IFERROR(INDEX(Parâmetros!$C$6:$C$10,MATCH(F957,Parâmetros!$B$6:$B$10,0)),""))</f>
        <v/>
      </c>
      <c r="R957" s="5" t="str">
        <f aca="false">IF(OR(A957="",P957="",Q957=""),"",P957*Q957)</f>
        <v/>
      </c>
      <c r="S957" s="5" t="str">
        <f aca="false">IF(R957="","",MAX(0,R957-G957))</f>
        <v/>
      </c>
      <c r="T957" s="21" t="str">
        <f aca="false">IF(S957="","",S957*K957)</f>
        <v/>
      </c>
      <c r="U957" s="5" t="str">
        <f aca="false">IF(A957="","",IF(J957&gt;Parâmetros!$C$14,"SIM","NAO"))</f>
        <v/>
      </c>
      <c r="V957" s="5" t="str">
        <f aca="false">IF(B957="","",TRIM(LEFT(B957,IFERROR(FIND(" ",B957)-1,LEN(B957)))))</f>
        <v/>
      </c>
      <c r="W957" s="22"/>
      <c r="X957" s="5" t="str">
        <f aca="false">IF(A957="","",IF(W957&lt;&gt;"",W957,V957))</f>
        <v/>
      </c>
      <c r="Y957" s="5" t="str">
        <f aca="false">IF(A957="","",IF(COUNTIFS($X$2:$X$2001,X957,$D$2:$D$2001,"&lt;&gt;"&amp;D957,$C$2:$C$2001,C957)&gt;0,"SIM","NAO"))</f>
        <v/>
      </c>
      <c r="Z957" s="5" t="str">
        <f aca="false">IF(A957="","",IF(J957="","",IFERROR(360/J957,"")))</f>
        <v/>
      </c>
      <c r="AA957" s="5" t="str">
        <f aca="false">IF(A957="","",IF(H957=0,"Parado (sem venda 90d)",IF(Z957&gt;12,"Alto (&gt;12x/ano)",IF(Z957&gt;=4,"Medio (4-12x/ano)","Baixo (&lt;4x/ano)"))))</f>
        <v/>
      </c>
    </row>
    <row r="958" customFormat="false" ht="15" hidden="false" customHeight="true" outlineLevel="0" collapsed="false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18"/>
      <c r="L958" s="19" t="str">
        <f aca="false">IF(A958="","",G958*K958)</f>
        <v/>
      </c>
      <c r="M958" s="20"/>
      <c r="N958" s="6"/>
      <c r="O958" s="6"/>
      <c r="P958" s="5" t="str">
        <f aca="false">IF(A958="","",H958/90)</f>
        <v/>
      </c>
      <c r="Q958" s="5" t="str">
        <f aca="false">IF(A958="","",IFERROR(INDEX(Parâmetros!$C$6:$C$10,MATCH(F958,Parâmetros!$B$6:$B$10,0)),""))</f>
        <v/>
      </c>
      <c r="R958" s="5" t="str">
        <f aca="false">IF(OR(A958="",P958="",Q958=""),"",P958*Q958)</f>
        <v/>
      </c>
      <c r="S958" s="5" t="str">
        <f aca="false">IF(R958="","",MAX(0,R958-G958))</f>
        <v/>
      </c>
      <c r="T958" s="21" t="str">
        <f aca="false">IF(S958="","",S958*K958)</f>
        <v/>
      </c>
      <c r="U958" s="5" t="str">
        <f aca="false">IF(A958="","",IF(J958&gt;Parâmetros!$C$14,"SIM","NAO"))</f>
        <v/>
      </c>
      <c r="V958" s="5" t="str">
        <f aca="false">IF(B958="","",TRIM(LEFT(B958,IFERROR(FIND(" ",B958)-1,LEN(B958)))))</f>
        <v/>
      </c>
      <c r="W958" s="22"/>
      <c r="X958" s="5" t="str">
        <f aca="false">IF(A958="","",IF(W958&lt;&gt;"",W958,V958))</f>
        <v/>
      </c>
      <c r="Y958" s="5" t="str">
        <f aca="false">IF(A958="","",IF(COUNTIFS($X$2:$X$2001,X958,$D$2:$D$2001,"&lt;&gt;"&amp;D958,$C$2:$C$2001,C958)&gt;0,"SIM","NAO"))</f>
        <v/>
      </c>
      <c r="Z958" s="5" t="str">
        <f aca="false">IF(A958="","",IF(J958="","",IFERROR(360/J958,"")))</f>
        <v/>
      </c>
      <c r="AA958" s="5" t="str">
        <f aca="false">IF(A958="","",IF(H958=0,"Parado (sem venda 90d)",IF(Z958&gt;12,"Alto (&gt;12x/ano)",IF(Z958&gt;=4,"Medio (4-12x/ano)","Baixo (&lt;4x/ano)"))))</f>
        <v/>
      </c>
    </row>
    <row r="959" customFormat="false" ht="15" hidden="false" customHeight="true" outlineLevel="0" collapsed="false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18"/>
      <c r="L959" s="19" t="str">
        <f aca="false">IF(A959="","",G959*K959)</f>
        <v/>
      </c>
      <c r="M959" s="20"/>
      <c r="N959" s="6"/>
      <c r="O959" s="6"/>
      <c r="P959" s="5" t="str">
        <f aca="false">IF(A959="","",H959/90)</f>
        <v/>
      </c>
      <c r="Q959" s="5" t="str">
        <f aca="false">IF(A959="","",IFERROR(INDEX(Parâmetros!$C$6:$C$10,MATCH(F959,Parâmetros!$B$6:$B$10,0)),""))</f>
        <v/>
      </c>
      <c r="R959" s="5" t="str">
        <f aca="false">IF(OR(A959="",P959="",Q959=""),"",P959*Q959)</f>
        <v/>
      </c>
      <c r="S959" s="5" t="str">
        <f aca="false">IF(R959="","",MAX(0,R959-G959))</f>
        <v/>
      </c>
      <c r="T959" s="21" t="str">
        <f aca="false">IF(S959="","",S959*K959)</f>
        <v/>
      </c>
      <c r="U959" s="5" t="str">
        <f aca="false">IF(A959="","",IF(J959&gt;Parâmetros!$C$14,"SIM","NAO"))</f>
        <v/>
      </c>
      <c r="V959" s="5" t="str">
        <f aca="false">IF(B959="","",TRIM(LEFT(B959,IFERROR(FIND(" ",B959)-1,LEN(B959)))))</f>
        <v/>
      </c>
      <c r="W959" s="22"/>
      <c r="X959" s="5" t="str">
        <f aca="false">IF(A959="","",IF(W959&lt;&gt;"",W959,V959))</f>
        <v/>
      </c>
      <c r="Y959" s="5" t="str">
        <f aca="false">IF(A959="","",IF(COUNTIFS($X$2:$X$2001,X959,$D$2:$D$2001,"&lt;&gt;"&amp;D959,$C$2:$C$2001,C959)&gt;0,"SIM","NAO"))</f>
        <v/>
      </c>
      <c r="Z959" s="5" t="str">
        <f aca="false">IF(A959="","",IF(J959="","",IFERROR(360/J959,"")))</f>
        <v/>
      </c>
      <c r="AA959" s="5" t="str">
        <f aca="false">IF(A959="","",IF(H959=0,"Parado (sem venda 90d)",IF(Z959&gt;12,"Alto (&gt;12x/ano)",IF(Z959&gt;=4,"Medio (4-12x/ano)","Baixo (&lt;4x/ano)"))))</f>
        <v/>
      </c>
    </row>
    <row r="960" customFormat="false" ht="15" hidden="false" customHeight="true" outlineLevel="0" collapsed="false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18"/>
      <c r="L960" s="19" t="str">
        <f aca="false">IF(A960="","",G960*K960)</f>
        <v/>
      </c>
      <c r="M960" s="20"/>
      <c r="N960" s="6"/>
      <c r="O960" s="6"/>
      <c r="P960" s="5" t="str">
        <f aca="false">IF(A960="","",H960/90)</f>
        <v/>
      </c>
      <c r="Q960" s="5" t="str">
        <f aca="false">IF(A960="","",IFERROR(INDEX(Parâmetros!$C$6:$C$10,MATCH(F960,Parâmetros!$B$6:$B$10,0)),""))</f>
        <v/>
      </c>
      <c r="R960" s="5" t="str">
        <f aca="false">IF(OR(A960="",P960="",Q960=""),"",P960*Q960)</f>
        <v/>
      </c>
      <c r="S960" s="5" t="str">
        <f aca="false">IF(R960="","",MAX(0,R960-G960))</f>
        <v/>
      </c>
      <c r="T960" s="21" t="str">
        <f aca="false">IF(S960="","",S960*K960)</f>
        <v/>
      </c>
      <c r="U960" s="5" t="str">
        <f aca="false">IF(A960="","",IF(J960&gt;Parâmetros!$C$14,"SIM","NAO"))</f>
        <v/>
      </c>
      <c r="V960" s="5" t="str">
        <f aca="false">IF(B960="","",TRIM(LEFT(B960,IFERROR(FIND(" ",B960)-1,LEN(B960)))))</f>
        <v/>
      </c>
      <c r="W960" s="22"/>
      <c r="X960" s="5" t="str">
        <f aca="false">IF(A960="","",IF(W960&lt;&gt;"",W960,V960))</f>
        <v/>
      </c>
      <c r="Y960" s="5" t="str">
        <f aca="false">IF(A960="","",IF(COUNTIFS($X$2:$X$2001,X960,$D$2:$D$2001,"&lt;&gt;"&amp;D960,$C$2:$C$2001,C960)&gt;0,"SIM","NAO"))</f>
        <v/>
      </c>
      <c r="Z960" s="5" t="str">
        <f aca="false">IF(A960="","",IF(J960="","",IFERROR(360/J960,"")))</f>
        <v/>
      </c>
      <c r="AA960" s="5" t="str">
        <f aca="false">IF(A960="","",IF(H960=0,"Parado (sem venda 90d)",IF(Z960&gt;12,"Alto (&gt;12x/ano)",IF(Z960&gt;=4,"Medio (4-12x/ano)","Baixo (&lt;4x/ano)"))))</f>
        <v/>
      </c>
    </row>
    <row r="961" customFormat="false" ht="15" hidden="false" customHeight="true" outlineLevel="0" collapsed="false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18"/>
      <c r="L961" s="19" t="str">
        <f aca="false">IF(A961="","",G961*K961)</f>
        <v/>
      </c>
      <c r="M961" s="20"/>
      <c r="N961" s="6"/>
      <c r="O961" s="6"/>
      <c r="P961" s="5" t="str">
        <f aca="false">IF(A961="","",H961/90)</f>
        <v/>
      </c>
      <c r="Q961" s="5" t="str">
        <f aca="false">IF(A961="","",IFERROR(INDEX(Parâmetros!$C$6:$C$10,MATCH(F961,Parâmetros!$B$6:$B$10,0)),""))</f>
        <v/>
      </c>
      <c r="R961" s="5" t="str">
        <f aca="false">IF(OR(A961="",P961="",Q961=""),"",P961*Q961)</f>
        <v/>
      </c>
      <c r="S961" s="5" t="str">
        <f aca="false">IF(R961="","",MAX(0,R961-G961))</f>
        <v/>
      </c>
      <c r="T961" s="21" t="str">
        <f aca="false">IF(S961="","",S961*K961)</f>
        <v/>
      </c>
      <c r="U961" s="5" t="str">
        <f aca="false">IF(A961="","",IF(J961&gt;Parâmetros!$C$14,"SIM","NAO"))</f>
        <v/>
      </c>
      <c r="V961" s="5" t="str">
        <f aca="false">IF(B961="","",TRIM(LEFT(B961,IFERROR(FIND(" ",B961)-1,LEN(B961)))))</f>
        <v/>
      </c>
      <c r="W961" s="22"/>
      <c r="X961" s="5" t="str">
        <f aca="false">IF(A961="","",IF(W961&lt;&gt;"",W961,V961))</f>
        <v/>
      </c>
      <c r="Y961" s="5" t="str">
        <f aca="false">IF(A961="","",IF(COUNTIFS($X$2:$X$2001,X961,$D$2:$D$2001,"&lt;&gt;"&amp;D961,$C$2:$C$2001,C961)&gt;0,"SIM","NAO"))</f>
        <v/>
      </c>
      <c r="Z961" s="5" t="str">
        <f aca="false">IF(A961="","",IF(J961="","",IFERROR(360/J961,"")))</f>
        <v/>
      </c>
      <c r="AA961" s="5" t="str">
        <f aca="false">IF(A961="","",IF(H961=0,"Parado (sem venda 90d)",IF(Z961&gt;12,"Alto (&gt;12x/ano)",IF(Z961&gt;=4,"Medio (4-12x/ano)","Baixo (&lt;4x/ano)"))))</f>
        <v/>
      </c>
    </row>
    <row r="962" customFormat="false" ht="15" hidden="false" customHeight="true" outlineLevel="0" collapsed="false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18"/>
      <c r="L962" s="19" t="str">
        <f aca="false">IF(A962="","",G962*K962)</f>
        <v/>
      </c>
      <c r="M962" s="20"/>
      <c r="N962" s="6"/>
      <c r="O962" s="6"/>
      <c r="P962" s="5" t="str">
        <f aca="false">IF(A962="","",H962/90)</f>
        <v/>
      </c>
      <c r="Q962" s="5" t="str">
        <f aca="false">IF(A962="","",IFERROR(INDEX(Parâmetros!$C$6:$C$10,MATCH(F962,Parâmetros!$B$6:$B$10,0)),""))</f>
        <v/>
      </c>
      <c r="R962" s="5" t="str">
        <f aca="false">IF(OR(A962="",P962="",Q962=""),"",P962*Q962)</f>
        <v/>
      </c>
      <c r="S962" s="5" t="str">
        <f aca="false">IF(R962="","",MAX(0,R962-G962))</f>
        <v/>
      </c>
      <c r="T962" s="21" t="str">
        <f aca="false">IF(S962="","",S962*K962)</f>
        <v/>
      </c>
      <c r="U962" s="5" t="str">
        <f aca="false">IF(A962="","",IF(J962&gt;Parâmetros!$C$14,"SIM","NAO"))</f>
        <v/>
      </c>
      <c r="V962" s="5" t="str">
        <f aca="false">IF(B962="","",TRIM(LEFT(B962,IFERROR(FIND(" ",B962)-1,LEN(B962)))))</f>
        <v/>
      </c>
      <c r="W962" s="22"/>
      <c r="X962" s="5" t="str">
        <f aca="false">IF(A962="","",IF(W962&lt;&gt;"",W962,V962))</f>
        <v/>
      </c>
      <c r="Y962" s="5" t="str">
        <f aca="false">IF(A962="","",IF(COUNTIFS($X$2:$X$2001,X962,$D$2:$D$2001,"&lt;&gt;"&amp;D962,$C$2:$C$2001,C962)&gt;0,"SIM","NAO"))</f>
        <v/>
      </c>
      <c r="Z962" s="5" t="str">
        <f aca="false">IF(A962="","",IF(J962="","",IFERROR(360/J962,"")))</f>
        <v/>
      </c>
      <c r="AA962" s="5" t="str">
        <f aca="false">IF(A962="","",IF(H962=0,"Parado (sem venda 90d)",IF(Z962&gt;12,"Alto (&gt;12x/ano)",IF(Z962&gt;=4,"Medio (4-12x/ano)","Baixo (&lt;4x/ano)"))))</f>
        <v/>
      </c>
    </row>
    <row r="963" customFormat="false" ht="15" hidden="false" customHeight="true" outlineLevel="0" collapsed="false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18"/>
      <c r="L963" s="19" t="str">
        <f aca="false">IF(A963="","",G963*K963)</f>
        <v/>
      </c>
      <c r="M963" s="20"/>
      <c r="N963" s="6"/>
      <c r="O963" s="6"/>
      <c r="P963" s="5" t="str">
        <f aca="false">IF(A963="","",H963/90)</f>
        <v/>
      </c>
      <c r="Q963" s="5" t="str">
        <f aca="false">IF(A963="","",IFERROR(INDEX(Parâmetros!$C$6:$C$10,MATCH(F963,Parâmetros!$B$6:$B$10,0)),""))</f>
        <v/>
      </c>
      <c r="R963" s="5" t="str">
        <f aca="false">IF(OR(A963="",P963="",Q963=""),"",P963*Q963)</f>
        <v/>
      </c>
      <c r="S963" s="5" t="str">
        <f aca="false">IF(R963="","",MAX(0,R963-G963))</f>
        <v/>
      </c>
      <c r="T963" s="21" t="str">
        <f aca="false">IF(S963="","",S963*K963)</f>
        <v/>
      </c>
      <c r="U963" s="5" t="str">
        <f aca="false">IF(A963="","",IF(J963&gt;Parâmetros!$C$14,"SIM","NAO"))</f>
        <v/>
      </c>
      <c r="V963" s="5" t="str">
        <f aca="false">IF(B963="","",TRIM(LEFT(B963,IFERROR(FIND(" ",B963)-1,LEN(B963)))))</f>
        <v/>
      </c>
      <c r="W963" s="22"/>
      <c r="X963" s="5" t="str">
        <f aca="false">IF(A963="","",IF(W963&lt;&gt;"",W963,V963))</f>
        <v/>
      </c>
      <c r="Y963" s="5" t="str">
        <f aca="false">IF(A963="","",IF(COUNTIFS($X$2:$X$2001,X963,$D$2:$D$2001,"&lt;&gt;"&amp;D963,$C$2:$C$2001,C963)&gt;0,"SIM","NAO"))</f>
        <v/>
      </c>
      <c r="Z963" s="5" t="str">
        <f aca="false">IF(A963="","",IF(J963="","",IFERROR(360/J963,"")))</f>
        <v/>
      </c>
      <c r="AA963" s="5" t="str">
        <f aca="false">IF(A963="","",IF(H963=0,"Parado (sem venda 90d)",IF(Z963&gt;12,"Alto (&gt;12x/ano)",IF(Z963&gt;=4,"Medio (4-12x/ano)","Baixo (&lt;4x/ano)"))))</f>
        <v/>
      </c>
    </row>
    <row r="964" customFormat="false" ht="15" hidden="false" customHeight="true" outlineLevel="0" collapsed="false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18"/>
      <c r="L964" s="19" t="str">
        <f aca="false">IF(A964="","",G964*K964)</f>
        <v/>
      </c>
      <c r="M964" s="20"/>
      <c r="N964" s="6"/>
      <c r="O964" s="6"/>
      <c r="P964" s="5" t="str">
        <f aca="false">IF(A964="","",H964/90)</f>
        <v/>
      </c>
      <c r="Q964" s="5" t="str">
        <f aca="false">IF(A964="","",IFERROR(INDEX(Parâmetros!$C$6:$C$10,MATCH(F964,Parâmetros!$B$6:$B$10,0)),""))</f>
        <v/>
      </c>
      <c r="R964" s="5" t="str">
        <f aca="false">IF(OR(A964="",P964="",Q964=""),"",P964*Q964)</f>
        <v/>
      </c>
      <c r="S964" s="5" t="str">
        <f aca="false">IF(R964="","",MAX(0,R964-G964))</f>
        <v/>
      </c>
      <c r="T964" s="21" t="str">
        <f aca="false">IF(S964="","",S964*K964)</f>
        <v/>
      </c>
      <c r="U964" s="5" t="str">
        <f aca="false">IF(A964="","",IF(J964&gt;Parâmetros!$C$14,"SIM","NAO"))</f>
        <v/>
      </c>
      <c r="V964" s="5" t="str">
        <f aca="false">IF(B964="","",TRIM(LEFT(B964,IFERROR(FIND(" ",B964)-1,LEN(B964)))))</f>
        <v/>
      </c>
      <c r="W964" s="22"/>
      <c r="X964" s="5" t="str">
        <f aca="false">IF(A964="","",IF(W964&lt;&gt;"",W964,V964))</f>
        <v/>
      </c>
      <c r="Y964" s="5" t="str">
        <f aca="false">IF(A964="","",IF(COUNTIFS($X$2:$X$2001,X964,$D$2:$D$2001,"&lt;&gt;"&amp;D964,$C$2:$C$2001,C964)&gt;0,"SIM","NAO"))</f>
        <v/>
      </c>
      <c r="Z964" s="5" t="str">
        <f aca="false">IF(A964="","",IF(J964="","",IFERROR(360/J964,"")))</f>
        <v/>
      </c>
      <c r="AA964" s="5" t="str">
        <f aca="false">IF(A964="","",IF(H964=0,"Parado (sem venda 90d)",IF(Z964&gt;12,"Alto (&gt;12x/ano)",IF(Z964&gt;=4,"Medio (4-12x/ano)","Baixo (&lt;4x/ano)"))))</f>
        <v/>
      </c>
    </row>
    <row r="965" customFormat="false" ht="15" hidden="false" customHeight="true" outlineLevel="0" collapsed="false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18"/>
      <c r="L965" s="19" t="str">
        <f aca="false">IF(A965="","",G965*K965)</f>
        <v/>
      </c>
      <c r="M965" s="20"/>
      <c r="N965" s="6"/>
      <c r="O965" s="6"/>
      <c r="P965" s="5" t="str">
        <f aca="false">IF(A965="","",H965/90)</f>
        <v/>
      </c>
      <c r="Q965" s="5" t="str">
        <f aca="false">IF(A965="","",IFERROR(INDEX(Parâmetros!$C$6:$C$10,MATCH(F965,Parâmetros!$B$6:$B$10,0)),""))</f>
        <v/>
      </c>
      <c r="R965" s="5" t="str">
        <f aca="false">IF(OR(A965="",P965="",Q965=""),"",P965*Q965)</f>
        <v/>
      </c>
      <c r="S965" s="5" t="str">
        <f aca="false">IF(R965="","",MAX(0,R965-G965))</f>
        <v/>
      </c>
      <c r="T965" s="21" t="str">
        <f aca="false">IF(S965="","",S965*K965)</f>
        <v/>
      </c>
      <c r="U965" s="5" t="str">
        <f aca="false">IF(A965="","",IF(J965&gt;Parâmetros!$C$14,"SIM","NAO"))</f>
        <v/>
      </c>
      <c r="V965" s="5" t="str">
        <f aca="false">IF(B965="","",TRIM(LEFT(B965,IFERROR(FIND(" ",B965)-1,LEN(B965)))))</f>
        <v/>
      </c>
      <c r="W965" s="22"/>
      <c r="X965" s="5" t="str">
        <f aca="false">IF(A965="","",IF(W965&lt;&gt;"",W965,V965))</f>
        <v/>
      </c>
      <c r="Y965" s="5" t="str">
        <f aca="false">IF(A965="","",IF(COUNTIFS($X$2:$X$2001,X965,$D$2:$D$2001,"&lt;&gt;"&amp;D965,$C$2:$C$2001,C965)&gt;0,"SIM","NAO"))</f>
        <v/>
      </c>
      <c r="Z965" s="5" t="str">
        <f aca="false">IF(A965="","",IF(J965="","",IFERROR(360/J965,"")))</f>
        <v/>
      </c>
      <c r="AA965" s="5" t="str">
        <f aca="false">IF(A965="","",IF(H965=0,"Parado (sem venda 90d)",IF(Z965&gt;12,"Alto (&gt;12x/ano)",IF(Z965&gt;=4,"Medio (4-12x/ano)","Baixo (&lt;4x/ano)"))))</f>
        <v/>
      </c>
    </row>
    <row r="966" customFormat="false" ht="15" hidden="false" customHeight="true" outlineLevel="0" collapsed="false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18"/>
      <c r="L966" s="19" t="str">
        <f aca="false">IF(A966="","",G966*K966)</f>
        <v/>
      </c>
      <c r="M966" s="20"/>
      <c r="N966" s="6"/>
      <c r="O966" s="6"/>
      <c r="P966" s="5" t="str">
        <f aca="false">IF(A966="","",H966/90)</f>
        <v/>
      </c>
      <c r="Q966" s="5" t="str">
        <f aca="false">IF(A966="","",IFERROR(INDEX(Parâmetros!$C$6:$C$10,MATCH(F966,Parâmetros!$B$6:$B$10,0)),""))</f>
        <v/>
      </c>
      <c r="R966" s="5" t="str">
        <f aca="false">IF(OR(A966="",P966="",Q966=""),"",P966*Q966)</f>
        <v/>
      </c>
      <c r="S966" s="5" t="str">
        <f aca="false">IF(R966="","",MAX(0,R966-G966))</f>
        <v/>
      </c>
      <c r="T966" s="21" t="str">
        <f aca="false">IF(S966="","",S966*K966)</f>
        <v/>
      </c>
      <c r="U966" s="5" t="str">
        <f aca="false">IF(A966="","",IF(J966&gt;Parâmetros!$C$14,"SIM","NAO"))</f>
        <v/>
      </c>
      <c r="V966" s="5" t="str">
        <f aca="false">IF(B966="","",TRIM(LEFT(B966,IFERROR(FIND(" ",B966)-1,LEN(B966)))))</f>
        <v/>
      </c>
      <c r="W966" s="22"/>
      <c r="X966" s="5" t="str">
        <f aca="false">IF(A966="","",IF(W966&lt;&gt;"",W966,V966))</f>
        <v/>
      </c>
      <c r="Y966" s="5" t="str">
        <f aca="false">IF(A966="","",IF(COUNTIFS($X$2:$X$2001,X966,$D$2:$D$2001,"&lt;&gt;"&amp;D966,$C$2:$C$2001,C966)&gt;0,"SIM","NAO"))</f>
        <v/>
      </c>
      <c r="Z966" s="5" t="str">
        <f aca="false">IF(A966="","",IF(J966="","",IFERROR(360/J966,"")))</f>
        <v/>
      </c>
      <c r="AA966" s="5" t="str">
        <f aca="false">IF(A966="","",IF(H966=0,"Parado (sem venda 90d)",IF(Z966&gt;12,"Alto (&gt;12x/ano)",IF(Z966&gt;=4,"Medio (4-12x/ano)","Baixo (&lt;4x/ano)"))))</f>
        <v/>
      </c>
    </row>
    <row r="967" customFormat="false" ht="15" hidden="false" customHeight="true" outlineLevel="0" collapsed="false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18"/>
      <c r="L967" s="19" t="str">
        <f aca="false">IF(A967="","",G967*K967)</f>
        <v/>
      </c>
      <c r="M967" s="20"/>
      <c r="N967" s="6"/>
      <c r="O967" s="6"/>
      <c r="P967" s="5" t="str">
        <f aca="false">IF(A967="","",H967/90)</f>
        <v/>
      </c>
      <c r="Q967" s="5" t="str">
        <f aca="false">IF(A967="","",IFERROR(INDEX(Parâmetros!$C$6:$C$10,MATCH(F967,Parâmetros!$B$6:$B$10,0)),""))</f>
        <v/>
      </c>
      <c r="R967" s="5" t="str">
        <f aca="false">IF(OR(A967="",P967="",Q967=""),"",P967*Q967)</f>
        <v/>
      </c>
      <c r="S967" s="5" t="str">
        <f aca="false">IF(R967="","",MAX(0,R967-G967))</f>
        <v/>
      </c>
      <c r="T967" s="21" t="str">
        <f aca="false">IF(S967="","",S967*K967)</f>
        <v/>
      </c>
      <c r="U967" s="5" t="str">
        <f aca="false">IF(A967="","",IF(J967&gt;Parâmetros!$C$14,"SIM","NAO"))</f>
        <v/>
      </c>
      <c r="V967" s="5" t="str">
        <f aca="false">IF(B967="","",TRIM(LEFT(B967,IFERROR(FIND(" ",B967)-1,LEN(B967)))))</f>
        <v/>
      </c>
      <c r="W967" s="22"/>
      <c r="X967" s="5" t="str">
        <f aca="false">IF(A967="","",IF(W967&lt;&gt;"",W967,V967))</f>
        <v/>
      </c>
      <c r="Y967" s="5" t="str">
        <f aca="false">IF(A967="","",IF(COUNTIFS($X$2:$X$2001,X967,$D$2:$D$2001,"&lt;&gt;"&amp;D967,$C$2:$C$2001,C967)&gt;0,"SIM","NAO"))</f>
        <v/>
      </c>
      <c r="Z967" s="5" t="str">
        <f aca="false">IF(A967="","",IF(J967="","",IFERROR(360/J967,"")))</f>
        <v/>
      </c>
      <c r="AA967" s="5" t="str">
        <f aca="false">IF(A967="","",IF(H967=0,"Parado (sem venda 90d)",IF(Z967&gt;12,"Alto (&gt;12x/ano)",IF(Z967&gt;=4,"Medio (4-12x/ano)","Baixo (&lt;4x/ano)"))))</f>
        <v/>
      </c>
    </row>
    <row r="968" customFormat="false" ht="15" hidden="false" customHeight="true" outlineLevel="0" collapsed="false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18"/>
      <c r="L968" s="19" t="str">
        <f aca="false">IF(A968="","",G968*K968)</f>
        <v/>
      </c>
      <c r="M968" s="20"/>
      <c r="N968" s="6"/>
      <c r="O968" s="6"/>
      <c r="P968" s="5" t="str">
        <f aca="false">IF(A968="","",H968/90)</f>
        <v/>
      </c>
      <c r="Q968" s="5" t="str">
        <f aca="false">IF(A968="","",IFERROR(INDEX(Parâmetros!$C$6:$C$10,MATCH(F968,Parâmetros!$B$6:$B$10,0)),""))</f>
        <v/>
      </c>
      <c r="R968" s="5" t="str">
        <f aca="false">IF(OR(A968="",P968="",Q968=""),"",P968*Q968)</f>
        <v/>
      </c>
      <c r="S968" s="5" t="str">
        <f aca="false">IF(R968="","",MAX(0,R968-G968))</f>
        <v/>
      </c>
      <c r="T968" s="21" t="str">
        <f aca="false">IF(S968="","",S968*K968)</f>
        <v/>
      </c>
      <c r="U968" s="5" t="str">
        <f aca="false">IF(A968="","",IF(J968&gt;Parâmetros!$C$14,"SIM","NAO"))</f>
        <v/>
      </c>
      <c r="V968" s="5" t="str">
        <f aca="false">IF(B968="","",TRIM(LEFT(B968,IFERROR(FIND(" ",B968)-1,LEN(B968)))))</f>
        <v/>
      </c>
      <c r="W968" s="22"/>
      <c r="X968" s="5" t="str">
        <f aca="false">IF(A968="","",IF(W968&lt;&gt;"",W968,V968))</f>
        <v/>
      </c>
      <c r="Y968" s="5" t="str">
        <f aca="false">IF(A968="","",IF(COUNTIFS($X$2:$X$2001,X968,$D$2:$D$2001,"&lt;&gt;"&amp;D968,$C$2:$C$2001,C968)&gt;0,"SIM","NAO"))</f>
        <v/>
      </c>
      <c r="Z968" s="5" t="str">
        <f aca="false">IF(A968="","",IF(J968="","",IFERROR(360/J968,"")))</f>
        <v/>
      </c>
      <c r="AA968" s="5" t="str">
        <f aca="false">IF(A968="","",IF(H968=0,"Parado (sem venda 90d)",IF(Z968&gt;12,"Alto (&gt;12x/ano)",IF(Z968&gt;=4,"Medio (4-12x/ano)","Baixo (&lt;4x/ano)"))))</f>
        <v/>
      </c>
    </row>
    <row r="969" customFormat="false" ht="15" hidden="false" customHeight="true" outlineLevel="0" collapsed="false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18"/>
      <c r="L969" s="19" t="str">
        <f aca="false">IF(A969="","",G969*K969)</f>
        <v/>
      </c>
      <c r="M969" s="20"/>
      <c r="N969" s="6"/>
      <c r="O969" s="6"/>
      <c r="P969" s="5" t="str">
        <f aca="false">IF(A969="","",H969/90)</f>
        <v/>
      </c>
      <c r="Q969" s="5" t="str">
        <f aca="false">IF(A969="","",IFERROR(INDEX(Parâmetros!$C$6:$C$10,MATCH(F969,Parâmetros!$B$6:$B$10,0)),""))</f>
        <v/>
      </c>
      <c r="R969" s="5" t="str">
        <f aca="false">IF(OR(A969="",P969="",Q969=""),"",P969*Q969)</f>
        <v/>
      </c>
      <c r="S969" s="5" t="str">
        <f aca="false">IF(R969="","",MAX(0,R969-G969))</f>
        <v/>
      </c>
      <c r="T969" s="21" t="str">
        <f aca="false">IF(S969="","",S969*K969)</f>
        <v/>
      </c>
      <c r="U969" s="5" t="str">
        <f aca="false">IF(A969="","",IF(J969&gt;Parâmetros!$C$14,"SIM","NAO"))</f>
        <v/>
      </c>
      <c r="V969" s="5" t="str">
        <f aca="false">IF(B969="","",TRIM(LEFT(B969,IFERROR(FIND(" ",B969)-1,LEN(B969)))))</f>
        <v/>
      </c>
      <c r="W969" s="22"/>
      <c r="X969" s="5" t="str">
        <f aca="false">IF(A969="","",IF(W969&lt;&gt;"",W969,V969))</f>
        <v/>
      </c>
      <c r="Y969" s="5" t="str">
        <f aca="false">IF(A969="","",IF(COUNTIFS($X$2:$X$2001,X969,$D$2:$D$2001,"&lt;&gt;"&amp;D969,$C$2:$C$2001,C969)&gt;0,"SIM","NAO"))</f>
        <v/>
      </c>
      <c r="Z969" s="5" t="str">
        <f aca="false">IF(A969="","",IF(J969="","",IFERROR(360/J969,"")))</f>
        <v/>
      </c>
      <c r="AA969" s="5" t="str">
        <f aca="false">IF(A969="","",IF(H969=0,"Parado (sem venda 90d)",IF(Z969&gt;12,"Alto (&gt;12x/ano)",IF(Z969&gt;=4,"Medio (4-12x/ano)","Baixo (&lt;4x/ano)"))))</f>
        <v/>
      </c>
    </row>
    <row r="970" customFormat="false" ht="15" hidden="false" customHeight="true" outlineLevel="0" collapsed="false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18"/>
      <c r="L970" s="19" t="str">
        <f aca="false">IF(A970="","",G970*K970)</f>
        <v/>
      </c>
      <c r="M970" s="20"/>
      <c r="N970" s="6"/>
      <c r="O970" s="6"/>
      <c r="P970" s="5" t="str">
        <f aca="false">IF(A970="","",H970/90)</f>
        <v/>
      </c>
      <c r="Q970" s="5" t="str">
        <f aca="false">IF(A970="","",IFERROR(INDEX(Parâmetros!$C$6:$C$10,MATCH(F970,Parâmetros!$B$6:$B$10,0)),""))</f>
        <v/>
      </c>
      <c r="R970" s="5" t="str">
        <f aca="false">IF(OR(A970="",P970="",Q970=""),"",P970*Q970)</f>
        <v/>
      </c>
      <c r="S970" s="5" t="str">
        <f aca="false">IF(R970="","",MAX(0,R970-G970))</f>
        <v/>
      </c>
      <c r="T970" s="21" t="str">
        <f aca="false">IF(S970="","",S970*K970)</f>
        <v/>
      </c>
      <c r="U970" s="5" t="str">
        <f aca="false">IF(A970="","",IF(J970&gt;Parâmetros!$C$14,"SIM","NAO"))</f>
        <v/>
      </c>
      <c r="V970" s="5" t="str">
        <f aca="false">IF(B970="","",TRIM(LEFT(B970,IFERROR(FIND(" ",B970)-1,LEN(B970)))))</f>
        <v/>
      </c>
      <c r="W970" s="22"/>
      <c r="X970" s="5" t="str">
        <f aca="false">IF(A970="","",IF(W970&lt;&gt;"",W970,V970))</f>
        <v/>
      </c>
      <c r="Y970" s="5" t="str">
        <f aca="false">IF(A970="","",IF(COUNTIFS($X$2:$X$2001,X970,$D$2:$D$2001,"&lt;&gt;"&amp;D970,$C$2:$C$2001,C970)&gt;0,"SIM","NAO"))</f>
        <v/>
      </c>
      <c r="Z970" s="5" t="str">
        <f aca="false">IF(A970="","",IF(J970="","",IFERROR(360/J970,"")))</f>
        <v/>
      </c>
      <c r="AA970" s="5" t="str">
        <f aca="false">IF(A970="","",IF(H970=0,"Parado (sem venda 90d)",IF(Z970&gt;12,"Alto (&gt;12x/ano)",IF(Z970&gt;=4,"Medio (4-12x/ano)","Baixo (&lt;4x/ano)"))))</f>
        <v/>
      </c>
    </row>
    <row r="971" customFormat="false" ht="15" hidden="false" customHeight="true" outlineLevel="0" collapsed="false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18"/>
      <c r="L971" s="19" t="str">
        <f aca="false">IF(A971="","",G971*K971)</f>
        <v/>
      </c>
      <c r="M971" s="20"/>
      <c r="N971" s="6"/>
      <c r="O971" s="6"/>
      <c r="P971" s="5" t="str">
        <f aca="false">IF(A971="","",H971/90)</f>
        <v/>
      </c>
      <c r="Q971" s="5" t="str">
        <f aca="false">IF(A971="","",IFERROR(INDEX(Parâmetros!$C$6:$C$10,MATCH(F971,Parâmetros!$B$6:$B$10,0)),""))</f>
        <v/>
      </c>
      <c r="R971" s="5" t="str">
        <f aca="false">IF(OR(A971="",P971="",Q971=""),"",P971*Q971)</f>
        <v/>
      </c>
      <c r="S971" s="5" t="str">
        <f aca="false">IF(R971="","",MAX(0,R971-G971))</f>
        <v/>
      </c>
      <c r="T971" s="21" t="str">
        <f aca="false">IF(S971="","",S971*K971)</f>
        <v/>
      </c>
      <c r="U971" s="5" t="str">
        <f aca="false">IF(A971="","",IF(J971&gt;Parâmetros!$C$14,"SIM","NAO"))</f>
        <v/>
      </c>
      <c r="V971" s="5" t="str">
        <f aca="false">IF(B971="","",TRIM(LEFT(B971,IFERROR(FIND(" ",B971)-1,LEN(B971)))))</f>
        <v/>
      </c>
      <c r="W971" s="22"/>
      <c r="X971" s="5" t="str">
        <f aca="false">IF(A971="","",IF(W971&lt;&gt;"",W971,V971))</f>
        <v/>
      </c>
      <c r="Y971" s="5" t="str">
        <f aca="false">IF(A971="","",IF(COUNTIFS($X$2:$X$2001,X971,$D$2:$D$2001,"&lt;&gt;"&amp;D971,$C$2:$C$2001,C971)&gt;0,"SIM","NAO"))</f>
        <v/>
      </c>
      <c r="Z971" s="5" t="str">
        <f aca="false">IF(A971="","",IF(J971="","",IFERROR(360/J971,"")))</f>
        <v/>
      </c>
      <c r="AA971" s="5" t="str">
        <f aca="false">IF(A971="","",IF(H971=0,"Parado (sem venda 90d)",IF(Z971&gt;12,"Alto (&gt;12x/ano)",IF(Z971&gt;=4,"Medio (4-12x/ano)","Baixo (&lt;4x/ano)"))))</f>
        <v/>
      </c>
    </row>
    <row r="972" customFormat="false" ht="15" hidden="false" customHeight="true" outlineLevel="0" collapsed="false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18"/>
      <c r="L972" s="19" t="str">
        <f aca="false">IF(A972="","",G972*K972)</f>
        <v/>
      </c>
      <c r="M972" s="20"/>
      <c r="N972" s="6"/>
      <c r="O972" s="6"/>
      <c r="P972" s="5" t="str">
        <f aca="false">IF(A972="","",H972/90)</f>
        <v/>
      </c>
      <c r="Q972" s="5" t="str">
        <f aca="false">IF(A972="","",IFERROR(INDEX(Parâmetros!$C$6:$C$10,MATCH(F972,Parâmetros!$B$6:$B$10,0)),""))</f>
        <v/>
      </c>
      <c r="R972" s="5" t="str">
        <f aca="false">IF(OR(A972="",P972="",Q972=""),"",P972*Q972)</f>
        <v/>
      </c>
      <c r="S972" s="5" t="str">
        <f aca="false">IF(R972="","",MAX(0,R972-G972))</f>
        <v/>
      </c>
      <c r="T972" s="21" t="str">
        <f aca="false">IF(S972="","",S972*K972)</f>
        <v/>
      </c>
      <c r="U972" s="5" t="str">
        <f aca="false">IF(A972="","",IF(J972&gt;Parâmetros!$C$14,"SIM","NAO"))</f>
        <v/>
      </c>
      <c r="V972" s="5" t="str">
        <f aca="false">IF(B972="","",TRIM(LEFT(B972,IFERROR(FIND(" ",B972)-1,LEN(B972)))))</f>
        <v/>
      </c>
      <c r="W972" s="22"/>
      <c r="X972" s="5" t="str">
        <f aca="false">IF(A972="","",IF(W972&lt;&gt;"",W972,V972))</f>
        <v/>
      </c>
      <c r="Y972" s="5" t="str">
        <f aca="false">IF(A972="","",IF(COUNTIFS($X$2:$X$2001,X972,$D$2:$D$2001,"&lt;&gt;"&amp;D972,$C$2:$C$2001,C972)&gt;0,"SIM","NAO"))</f>
        <v/>
      </c>
      <c r="Z972" s="5" t="str">
        <f aca="false">IF(A972="","",IF(J972="","",IFERROR(360/J972,"")))</f>
        <v/>
      </c>
      <c r="AA972" s="5" t="str">
        <f aca="false">IF(A972="","",IF(H972=0,"Parado (sem venda 90d)",IF(Z972&gt;12,"Alto (&gt;12x/ano)",IF(Z972&gt;=4,"Medio (4-12x/ano)","Baixo (&lt;4x/ano)"))))</f>
        <v/>
      </c>
    </row>
    <row r="973" customFormat="false" ht="15" hidden="false" customHeight="true" outlineLevel="0" collapsed="false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18"/>
      <c r="L973" s="19" t="str">
        <f aca="false">IF(A973="","",G973*K973)</f>
        <v/>
      </c>
      <c r="M973" s="20"/>
      <c r="N973" s="6"/>
      <c r="O973" s="6"/>
      <c r="P973" s="5" t="str">
        <f aca="false">IF(A973="","",H973/90)</f>
        <v/>
      </c>
      <c r="Q973" s="5" t="str">
        <f aca="false">IF(A973="","",IFERROR(INDEX(Parâmetros!$C$6:$C$10,MATCH(F973,Parâmetros!$B$6:$B$10,0)),""))</f>
        <v/>
      </c>
      <c r="R973" s="5" t="str">
        <f aca="false">IF(OR(A973="",P973="",Q973=""),"",P973*Q973)</f>
        <v/>
      </c>
      <c r="S973" s="5" t="str">
        <f aca="false">IF(R973="","",MAX(0,R973-G973))</f>
        <v/>
      </c>
      <c r="T973" s="21" t="str">
        <f aca="false">IF(S973="","",S973*K973)</f>
        <v/>
      </c>
      <c r="U973" s="5" t="str">
        <f aca="false">IF(A973="","",IF(J973&gt;Parâmetros!$C$14,"SIM","NAO"))</f>
        <v/>
      </c>
      <c r="V973" s="5" t="str">
        <f aca="false">IF(B973="","",TRIM(LEFT(B973,IFERROR(FIND(" ",B973)-1,LEN(B973)))))</f>
        <v/>
      </c>
      <c r="W973" s="22"/>
      <c r="X973" s="5" t="str">
        <f aca="false">IF(A973="","",IF(W973&lt;&gt;"",W973,V973))</f>
        <v/>
      </c>
      <c r="Y973" s="5" t="str">
        <f aca="false">IF(A973="","",IF(COUNTIFS($X$2:$X$2001,X973,$D$2:$D$2001,"&lt;&gt;"&amp;D973,$C$2:$C$2001,C973)&gt;0,"SIM","NAO"))</f>
        <v/>
      </c>
      <c r="Z973" s="5" t="str">
        <f aca="false">IF(A973="","",IF(J973="","",IFERROR(360/J973,"")))</f>
        <v/>
      </c>
      <c r="AA973" s="5" t="str">
        <f aca="false">IF(A973="","",IF(H973=0,"Parado (sem venda 90d)",IF(Z973&gt;12,"Alto (&gt;12x/ano)",IF(Z973&gt;=4,"Medio (4-12x/ano)","Baixo (&lt;4x/ano)"))))</f>
        <v/>
      </c>
    </row>
    <row r="974" customFormat="false" ht="15" hidden="false" customHeight="true" outlineLevel="0" collapsed="false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18"/>
      <c r="L974" s="19" t="str">
        <f aca="false">IF(A974="","",G974*K974)</f>
        <v/>
      </c>
      <c r="M974" s="20"/>
      <c r="N974" s="6"/>
      <c r="O974" s="6"/>
      <c r="P974" s="5" t="str">
        <f aca="false">IF(A974="","",H974/90)</f>
        <v/>
      </c>
      <c r="Q974" s="5" t="str">
        <f aca="false">IF(A974="","",IFERROR(INDEX(Parâmetros!$C$6:$C$10,MATCH(F974,Parâmetros!$B$6:$B$10,0)),""))</f>
        <v/>
      </c>
      <c r="R974" s="5" t="str">
        <f aca="false">IF(OR(A974="",P974="",Q974=""),"",P974*Q974)</f>
        <v/>
      </c>
      <c r="S974" s="5" t="str">
        <f aca="false">IF(R974="","",MAX(0,R974-G974))</f>
        <v/>
      </c>
      <c r="T974" s="21" t="str">
        <f aca="false">IF(S974="","",S974*K974)</f>
        <v/>
      </c>
      <c r="U974" s="5" t="str">
        <f aca="false">IF(A974="","",IF(J974&gt;Parâmetros!$C$14,"SIM","NAO"))</f>
        <v/>
      </c>
      <c r="V974" s="5" t="str">
        <f aca="false">IF(B974="","",TRIM(LEFT(B974,IFERROR(FIND(" ",B974)-1,LEN(B974)))))</f>
        <v/>
      </c>
      <c r="W974" s="22"/>
      <c r="X974" s="5" t="str">
        <f aca="false">IF(A974="","",IF(W974&lt;&gt;"",W974,V974))</f>
        <v/>
      </c>
      <c r="Y974" s="5" t="str">
        <f aca="false">IF(A974="","",IF(COUNTIFS($X$2:$X$2001,X974,$D$2:$D$2001,"&lt;&gt;"&amp;D974,$C$2:$C$2001,C974)&gt;0,"SIM","NAO"))</f>
        <v/>
      </c>
      <c r="Z974" s="5" t="str">
        <f aca="false">IF(A974="","",IF(J974="","",IFERROR(360/J974,"")))</f>
        <v/>
      </c>
      <c r="AA974" s="5" t="str">
        <f aca="false">IF(A974="","",IF(H974=0,"Parado (sem venda 90d)",IF(Z974&gt;12,"Alto (&gt;12x/ano)",IF(Z974&gt;=4,"Medio (4-12x/ano)","Baixo (&lt;4x/ano)"))))</f>
        <v/>
      </c>
    </row>
    <row r="975" customFormat="false" ht="15" hidden="false" customHeight="true" outlineLevel="0" collapsed="false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18"/>
      <c r="L975" s="19" t="str">
        <f aca="false">IF(A975="","",G975*K975)</f>
        <v/>
      </c>
      <c r="M975" s="20"/>
      <c r="N975" s="6"/>
      <c r="O975" s="6"/>
      <c r="P975" s="5" t="str">
        <f aca="false">IF(A975="","",H975/90)</f>
        <v/>
      </c>
      <c r="Q975" s="5" t="str">
        <f aca="false">IF(A975="","",IFERROR(INDEX(Parâmetros!$C$6:$C$10,MATCH(F975,Parâmetros!$B$6:$B$10,0)),""))</f>
        <v/>
      </c>
      <c r="R975" s="5" t="str">
        <f aca="false">IF(OR(A975="",P975="",Q975=""),"",P975*Q975)</f>
        <v/>
      </c>
      <c r="S975" s="5" t="str">
        <f aca="false">IF(R975="","",MAX(0,R975-G975))</f>
        <v/>
      </c>
      <c r="T975" s="21" t="str">
        <f aca="false">IF(S975="","",S975*K975)</f>
        <v/>
      </c>
      <c r="U975" s="5" t="str">
        <f aca="false">IF(A975="","",IF(J975&gt;Parâmetros!$C$14,"SIM","NAO"))</f>
        <v/>
      </c>
      <c r="V975" s="5" t="str">
        <f aca="false">IF(B975="","",TRIM(LEFT(B975,IFERROR(FIND(" ",B975)-1,LEN(B975)))))</f>
        <v/>
      </c>
      <c r="W975" s="22"/>
      <c r="X975" s="5" t="str">
        <f aca="false">IF(A975="","",IF(W975&lt;&gt;"",W975,V975))</f>
        <v/>
      </c>
      <c r="Y975" s="5" t="str">
        <f aca="false">IF(A975="","",IF(COUNTIFS($X$2:$X$2001,X975,$D$2:$D$2001,"&lt;&gt;"&amp;D975,$C$2:$C$2001,C975)&gt;0,"SIM","NAO"))</f>
        <v/>
      </c>
      <c r="Z975" s="5" t="str">
        <f aca="false">IF(A975="","",IF(J975="","",IFERROR(360/J975,"")))</f>
        <v/>
      </c>
      <c r="AA975" s="5" t="str">
        <f aca="false">IF(A975="","",IF(H975=0,"Parado (sem venda 90d)",IF(Z975&gt;12,"Alto (&gt;12x/ano)",IF(Z975&gt;=4,"Medio (4-12x/ano)","Baixo (&lt;4x/ano)"))))</f>
        <v/>
      </c>
    </row>
    <row r="976" customFormat="false" ht="15" hidden="false" customHeight="true" outlineLevel="0" collapsed="false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18"/>
      <c r="L976" s="19" t="str">
        <f aca="false">IF(A976="","",G976*K976)</f>
        <v/>
      </c>
      <c r="M976" s="20"/>
      <c r="N976" s="6"/>
      <c r="O976" s="6"/>
      <c r="P976" s="5" t="str">
        <f aca="false">IF(A976="","",H976/90)</f>
        <v/>
      </c>
      <c r="Q976" s="5" t="str">
        <f aca="false">IF(A976="","",IFERROR(INDEX(Parâmetros!$C$6:$C$10,MATCH(F976,Parâmetros!$B$6:$B$10,0)),""))</f>
        <v/>
      </c>
      <c r="R976" s="5" t="str">
        <f aca="false">IF(OR(A976="",P976="",Q976=""),"",P976*Q976)</f>
        <v/>
      </c>
      <c r="S976" s="5" t="str">
        <f aca="false">IF(R976="","",MAX(0,R976-G976))</f>
        <v/>
      </c>
      <c r="T976" s="21" t="str">
        <f aca="false">IF(S976="","",S976*K976)</f>
        <v/>
      </c>
      <c r="U976" s="5" t="str">
        <f aca="false">IF(A976="","",IF(J976&gt;Parâmetros!$C$14,"SIM","NAO"))</f>
        <v/>
      </c>
      <c r="V976" s="5" t="str">
        <f aca="false">IF(B976="","",TRIM(LEFT(B976,IFERROR(FIND(" ",B976)-1,LEN(B976)))))</f>
        <v/>
      </c>
      <c r="W976" s="22"/>
      <c r="X976" s="5" t="str">
        <f aca="false">IF(A976="","",IF(W976&lt;&gt;"",W976,V976))</f>
        <v/>
      </c>
      <c r="Y976" s="5" t="str">
        <f aca="false">IF(A976="","",IF(COUNTIFS($X$2:$X$2001,X976,$D$2:$D$2001,"&lt;&gt;"&amp;D976,$C$2:$C$2001,C976)&gt;0,"SIM","NAO"))</f>
        <v/>
      </c>
      <c r="Z976" s="5" t="str">
        <f aca="false">IF(A976="","",IF(J976="","",IFERROR(360/J976,"")))</f>
        <v/>
      </c>
      <c r="AA976" s="5" t="str">
        <f aca="false">IF(A976="","",IF(H976=0,"Parado (sem venda 90d)",IF(Z976&gt;12,"Alto (&gt;12x/ano)",IF(Z976&gt;=4,"Medio (4-12x/ano)","Baixo (&lt;4x/ano)"))))</f>
        <v/>
      </c>
    </row>
    <row r="977" customFormat="false" ht="15" hidden="false" customHeight="true" outlineLevel="0" collapsed="false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18"/>
      <c r="L977" s="19" t="str">
        <f aca="false">IF(A977="","",G977*K977)</f>
        <v/>
      </c>
      <c r="M977" s="20"/>
      <c r="N977" s="6"/>
      <c r="O977" s="6"/>
      <c r="P977" s="5" t="str">
        <f aca="false">IF(A977="","",H977/90)</f>
        <v/>
      </c>
      <c r="Q977" s="5" t="str">
        <f aca="false">IF(A977="","",IFERROR(INDEX(Parâmetros!$C$6:$C$10,MATCH(F977,Parâmetros!$B$6:$B$10,0)),""))</f>
        <v/>
      </c>
      <c r="R977" s="5" t="str">
        <f aca="false">IF(OR(A977="",P977="",Q977=""),"",P977*Q977)</f>
        <v/>
      </c>
      <c r="S977" s="5" t="str">
        <f aca="false">IF(R977="","",MAX(0,R977-G977))</f>
        <v/>
      </c>
      <c r="T977" s="21" t="str">
        <f aca="false">IF(S977="","",S977*K977)</f>
        <v/>
      </c>
      <c r="U977" s="5" t="str">
        <f aca="false">IF(A977="","",IF(J977&gt;Parâmetros!$C$14,"SIM","NAO"))</f>
        <v/>
      </c>
      <c r="V977" s="5" t="str">
        <f aca="false">IF(B977="","",TRIM(LEFT(B977,IFERROR(FIND(" ",B977)-1,LEN(B977)))))</f>
        <v/>
      </c>
      <c r="W977" s="22"/>
      <c r="X977" s="5" t="str">
        <f aca="false">IF(A977="","",IF(W977&lt;&gt;"",W977,V977))</f>
        <v/>
      </c>
      <c r="Y977" s="5" t="str">
        <f aca="false">IF(A977="","",IF(COUNTIFS($X$2:$X$2001,X977,$D$2:$D$2001,"&lt;&gt;"&amp;D977,$C$2:$C$2001,C977)&gt;0,"SIM","NAO"))</f>
        <v/>
      </c>
      <c r="Z977" s="5" t="str">
        <f aca="false">IF(A977="","",IF(J977="","",IFERROR(360/J977,"")))</f>
        <v/>
      </c>
      <c r="AA977" s="5" t="str">
        <f aca="false">IF(A977="","",IF(H977=0,"Parado (sem venda 90d)",IF(Z977&gt;12,"Alto (&gt;12x/ano)",IF(Z977&gt;=4,"Medio (4-12x/ano)","Baixo (&lt;4x/ano)"))))</f>
        <v/>
      </c>
    </row>
    <row r="978" customFormat="false" ht="15" hidden="false" customHeight="true" outlineLevel="0" collapsed="false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18"/>
      <c r="L978" s="19" t="str">
        <f aca="false">IF(A978="","",G978*K978)</f>
        <v/>
      </c>
      <c r="M978" s="20"/>
      <c r="N978" s="6"/>
      <c r="O978" s="6"/>
      <c r="P978" s="5" t="str">
        <f aca="false">IF(A978="","",H978/90)</f>
        <v/>
      </c>
      <c r="Q978" s="5" t="str">
        <f aca="false">IF(A978="","",IFERROR(INDEX(Parâmetros!$C$6:$C$10,MATCH(F978,Parâmetros!$B$6:$B$10,0)),""))</f>
        <v/>
      </c>
      <c r="R978" s="5" t="str">
        <f aca="false">IF(OR(A978="",P978="",Q978=""),"",P978*Q978)</f>
        <v/>
      </c>
      <c r="S978" s="5" t="str">
        <f aca="false">IF(R978="","",MAX(0,R978-G978))</f>
        <v/>
      </c>
      <c r="T978" s="21" t="str">
        <f aca="false">IF(S978="","",S978*K978)</f>
        <v/>
      </c>
      <c r="U978" s="5" t="str">
        <f aca="false">IF(A978="","",IF(J978&gt;Parâmetros!$C$14,"SIM","NAO"))</f>
        <v/>
      </c>
      <c r="V978" s="5" t="str">
        <f aca="false">IF(B978="","",TRIM(LEFT(B978,IFERROR(FIND(" ",B978)-1,LEN(B978)))))</f>
        <v/>
      </c>
      <c r="W978" s="22"/>
      <c r="X978" s="5" t="str">
        <f aca="false">IF(A978="","",IF(W978&lt;&gt;"",W978,V978))</f>
        <v/>
      </c>
      <c r="Y978" s="5" t="str">
        <f aca="false">IF(A978="","",IF(COUNTIFS($X$2:$X$2001,X978,$D$2:$D$2001,"&lt;&gt;"&amp;D978,$C$2:$C$2001,C978)&gt;0,"SIM","NAO"))</f>
        <v/>
      </c>
      <c r="Z978" s="5" t="str">
        <f aca="false">IF(A978="","",IF(J978="","",IFERROR(360/J978,"")))</f>
        <v/>
      </c>
      <c r="AA978" s="5" t="str">
        <f aca="false">IF(A978="","",IF(H978=0,"Parado (sem venda 90d)",IF(Z978&gt;12,"Alto (&gt;12x/ano)",IF(Z978&gt;=4,"Medio (4-12x/ano)","Baixo (&lt;4x/ano)"))))</f>
        <v/>
      </c>
    </row>
    <row r="979" customFormat="false" ht="15" hidden="false" customHeight="true" outlineLevel="0" collapsed="false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18"/>
      <c r="L979" s="19" t="str">
        <f aca="false">IF(A979="","",G979*K979)</f>
        <v/>
      </c>
      <c r="M979" s="20"/>
      <c r="N979" s="6"/>
      <c r="O979" s="6"/>
      <c r="P979" s="5" t="str">
        <f aca="false">IF(A979="","",H979/90)</f>
        <v/>
      </c>
      <c r="Q979" s="5" t="str">
        <f aca="false">IF(A979="","",IFERROR(INDEX(Parâmetros!$C$6:$C$10,MATCH(F979,Parâmetros!$B$6:$B$10,0)),""))</f>
        <v/>
      </c>
      <c r="R979" s="5" t="str">
        <f aca="false">IF(OR(A979="",P979="",Q979=""),"",P979*Q979)</f>
        <v/>
      </c>
      <c r="S979" s="5" t="str">
        <f aca="false">IF(R979="","",MAX(0,R979-G979))</f>
        <v/>
      </c>
      <c r="T979" s="21" t="str">
        <f aca="false">IF(S979="","",S979*K979)</f>
        <v/>
      </c>
      <c r="U979" s="5" t="str">
        <f aca="false">IF(A979="","",IF(J979&gt;Parâmetros!$C$14,"SIM","NAO"))</f>
        <v/>
      </c>
      <c r="V979" s="5" t="str">
        <f aca="false">IF(B979="","",TRIM(LEFT(B979,IFERROR(FIND(" ",B979)-1,LEN(B979)))))</f>
        <v/>
      </c>
      <c r="W979" s="22"/>
      <c r="X979" s="5" t="str">
        <f aca="false">IF(A979="","",IF(W979&lt;&gt;"",W979,V979))</f>
        <v/>
      </c>
      <c r="Y979" s="5" t="str">
        <f aca="false">IF(A979="","",IF(COUNTIFS($X$2:$X$2001,X979,$D$2:$D$2001,"&lt;&gt;"&amp;D979,$C$2:$C$2001,C979)&gt;0,"SIM","NAO"))</f>
        <v/>
      </c>
      <c r="Z979" s="5" t="str">
        <f aca="false">IF(A979="","",IF(J979="","",IFERROR(360/J979,"")))</f>
        <v/>
      </c>
      <c r="AA979" s="5" t="str">
        <f aca="false">IF(A979="","",IF(H979=0,"Parado (sem venda 90d)",IF(Z979&gt;12,"Alto (&gt;12x/ano)",IF(Z979&gt;=4,"Medio (4-12x/ano)","Baixo (&lt;4x/ano)"))))</f>
        <v/>
      </c>
    </row>
    <row r="980" customFormat="false" ht="15" hidden="false" customHeight="true" outlineLevel="0" collapsed="false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18"/>
      <c r="L980" s="19" t="str">
        <f aca="false">IF(A980="","",G980*K980)</f>
        <v/>
      </c>
      <c r="M980" s="20"/>
      <c r="N980" s="6"/>
      <c r="O980" s="6"/>
      <c r="P980" s="5" t="str">
        <f aca="false">IF(A980="","",H980/90)</f>
        <v/>
      </c>
      <c r="Q980" s="5" t="str">
        <f aca="false">IF(A980="","",IFERROR(INDEX(Parâmetros!$C$6:$C$10,MATCH(F980,Parâmetros!$B$6:$B$10,0)),""))</f>
        <v/>
      </c>
      <c r="R980" s="5" t="str">
        <f aca="false">IF(OR(A980="",P980="",Q980=""),"",P980*Q980)</f>
        <v/>
      </c>
      <c r="S980" s="5" t="str">
        <f aca="false">IF(R980="","",MAX(0,R980-G980))</f>
        <v/>
      </c>
      <c r="T980" s="21" t="str">
        <f aca="false">IF(S980="","",S980*K980)</f>
        <v/>
      </c>
      <c r="U980" s="5" t="str">
        <f aca="false">IF(A980="","",IF(J980&gt;Parâmetros!$C$14,"SIM","NAO"))</f>
        <v/>
      </c>
      <c r="V980" s="5" t="str">
        <f aca="false">IF(B980="","",TRIM(LEFT(B980,IFERROR(FIND(" ",B980)-1,LEN(B980)))))</f>
        <v/>
      </c>
      <c r="W980" s="22"/>
      <c r="X980" s="5" t="str">
        <f aca="false">IF(A980="","",IF(W980&lt;&gt;"",W980,V980))</f>
        <v/>
      </c>
      <c r="Y980" s="5" t="str">
        <f aca="false">IF(A980="","",IF(COUNTIFS($X$2:$X$2001,X980,$D$2:$D$2001,"&lt;&gt;"&amp;D980,$C$2:$C$2001,C980)&gt;0,"SIM","NAO"))</f>
        <v/>
      </c>
      <c r="Z980" s="5" t="str">
        <f aca="false">IF(A980="","",IF(J980="","",IFERROR(360/J980,"")))</f>
        <v/>
      </c>
      <c r="AA980" s="5" t="str">
        <f aca="false">IF(A980="","",IF(H980=0,"Parado (sem venda 90d)",IF(Z980&gt;12,"Alto (&gt;12x/ano)",IF(Z980&gt;=4,"Medio (4-12x/ano)","Baixo (&lt;4x/ano)"))))</f>
        <v/>
      </c>
    </row>
    <row r="981" customFormat="false" ht="15" hidden="false" customHeight="true" outlineLevel="0" collapsed="false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18"/>
      <c r="L981" s="19" t="str">
        <f aca="false">IF(A981="","",G981*K981)</f>
        <v/>
      </c>
      <c r="M981" s="20"/>
      <c r="N981" s="6"/>
      <c r="O981" s="6"/>
      <c r="P981" s="5" t="str">
        <f aca="false">IF(A981="","",H981/90)</f>
        <v/>
      </c>
      <c r="Q981" s="5" t="str">
        <f aca="false">IF(A981="","",IFERROR(INDEX(Parâmetros!$C$6:$C$10,MATCH(F981,Parâmetros!$B$6:$B$10,0)),""))</f>
        <v/>
      </c>
      <c r="R981" s="5" t="str">
        <f aca="false">IF(OR(A981="",P981="",Q981=""),"",P981*Q981)</f>
        <v/>
      </c>
      <c r="S981" s="5" t="str">
        <f aca="false">IF(R981="","",MAX(0,R981-G981))</f>
        <v/>
      </c>
      <c r="T981" s="21" t="str">
        <f aca="false">IF(S981="","",S981*K981)</f>
        <v/>
      </c>
      <c r="U981" s="5" t="str">
        <f aca="false">IF(A981="","",IF(J981&gt;Parâmetros!$C$14,"SIM","NAO"))</f>
        <v/>
      </c>
      <c r="V981" s="5" t="str">
        <f aca="false">IF(B981="","",TRIM(LEFT(B981,IFERROR(FIND(" ",B981)-1,LEN(B981)))))</f>
        <v/>
      </c>
      <c r="W981" s="22"/>
      <c r="X981" s="5" t="str">
        <f aca="false">IF(A981="","",IF(W981&lt;&gt;"",W981,V981))</f>
        <v/>
      </c>
      <c r="Y981" s="5" t="str">
        <f aca="false">IF(A981="","",IF(COUNTIFS($X$2:$X$2001,X981,$D$2:$D$2001,"&lt;&gt;"&amp;D981,$C$2:$C$2001,C981)&gt;0,"SIM","NAO"))</f>
        <v/>
      </c>
      <c r="Z981" s="5" t="str">
        <f aca="false">IF(A981="","",IF(J981="","",IFERROR(360/J981,"")))</f>
        <v/>
      </c>
      <c r="AA981" s="5" t="str">
        <f aca="false">IF(A981="","",IF(H981=0,"Parado (sem venda 90d)",IF(Z981&gt;12,"Alto (&gt;12x/ano)",IF(Z981&gt;=4,"Medio (4-12x/ano)","Baixo (&lt;4x/ano)"))))</f>
        <v/>
      </c>
    </row>
    <row r="982" customFormat="false" ht="15" hidden="false" customHeight="true" outlineLevel="0" collapsed="false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18"/>
      <c r="L982" s="19" t="str">
        <f aca="false">IF(A982="","",G982*K982)</f>
        <v/>
      </c>
      <c r="M982" s="20"/>
      <c r="N982" s="6"/>
      <c r="O982" s="6"/>
      <c r="P982" s="5" t="str">
        <f aca="false">IF(A982="","",H982/90)</f>
        <v/>
      </c>
      <c r="Q982" s="5" t="str">
        <f aca="false">IF(A982="","",IFERROR(INDEX(Parâmetros!$C$6:$C$10,MATCH(F982,Parâmetros!$B$6:$B$10,0)),""))</f>
        <v/>
      </c>
      <c r="R982" s="5" t="str">
        <f aca="false">IF(OR(A982="",P982="",Q982=""),"",P982*Q982)</f>
        <v/>
      </c>
      <c r="S982" s="5" t="str">
        <f aca="false">IF(R982="","",MAX(0,R982-G982))</f>
        <v/>
      </c>
      <c r="T982" s="21" t="str">
        <f aca="false">IF(S982="","",S982*K982)</f>
        <v/>
      </c>
      <c r="U982" s="5" t="str">
        <f aca="false">IF(A982="","",IF(J982&gt;Parâmetros!$C$14,"SIM","NAO"))</f>
        <v/>
      </c>
      <c r="V982" s="5" t="str">
        <f aca="false">IF(B982="","",TRIM(LEFT(B982,IFERROR(FIND(" ",B982)-1,LEN(B982)))))</f>
        <v/>
      </c>
      <c r="W982" s="22"/>
      <c r="X982" s="5" t="str">
        <f aca="false">IF(A982="","",IF(W982&lt;&gt;"",W982,V982))</f>
        <v/>
      </c>
      <c r="Y982" s="5" t="str">
        <f aca="false">IF(A982="","",IF(COUNTIFS($X$2:$X$2001,X982,$D$2:$D$2001,"&lt;&gt;"&amp;D982,$C$2:$C$2001,C982)&gt;0,"SIM","NAO"))</f>
        <v/>
      </c>
      <c r="Z982" s="5" t="str">
        <f aca="false">IF(A982="","",IF(J982="","",IFERROR(360/J982,"")))</f>
        <v/>
      </c>
      <c r="AA982" s="5" t="str">
        <f aca="false">IF(A982="","",IF(H982=0,"Parado (sem venda 90d)",IF(Z982&gt;12,"Alto (&gt;12x/ano)",IF(Z982&gt;=4,"Medio (4-12x/ano)","Baixo (&lt;4x/ano)"))))</f>
        <v/>
      </c>
    </row>
    <row r="983" customFormat="false" ht="15" hidden="false" customHeight="true" outlineLevel="0" collapsed="false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18"/>
      <c r="L983" s="19" t="str">
        <f aca="false">IF(A983="","",G983*K983)</f>
        <v/>
      </c>
      <c r="M983" s="20"/>
      <c r="N983" s="6"/>
      <c r="O983" s="6"/>
      <c r="P983" s="5" t="str">
        <f aca="false">IF(A983="","",H983/90)</f>
        <v/>
      </c>
      <c r="Q983" s="5" t="str">
        <f aca="false">IF(A983="","",IFERROR(INDEX(Parâmetros!$C$6:$C$10,MATCH(F983,Parâmetros!$B$6:$B$10,0)),""))</f>
        <v/>
      </c>
      <c r="R983" s="5" t="str">
        <f aca="false">IF(OR(A983="",P983="",Q983=""),"",P983*Q983)</f>
        <v/>
      </c>
      <c r="S983" s="5" t="str">
        <f aca="false">IF(R983="","",MAX(0,R983-G983))</f>
        <v/>
      </c>
      <c r="T983" s="21" t="str">
        <f aca="false">IF(S983="","",S983*K983)</f>
        <v/>
      </c>
      <c r="U983" s="5" t="str">
        <f aca="false">IF(A983="","",IF(J983&gt;Parâmetros!$C$14,"SIM","NAO"))</f>
        <v/>
      </c>
      <c r="V983" s="5" t="str">
        <f aca="false">IF(B983="","",TRIM(LEFT(B983,IFERROR(FIND(" ",B983)-1,LEN(B983)))))</f>
        <v/>
      </c>
      <c r="W983" s="22"/>
      <c r="X983" s="5" t="str">
        <f aca="false">IF(A983="","",IF(W983&lt;&gt;"",W983,V983))</f>
        <v/>
      </c>
      <c r="Y983" s="5" t="str">
        <f aca="false">IF(A983="","",IF(COUNTIFS($X$2:$X$2001,X983,$D$2:$D$2001,"&lt;&gt;"&amp;D983,$C$2:$C$2001,C983)&gt;0,"SIM","NAO"))</f>
        <v/>
      </c>
      <c r="Z983" s="5" t="str">
        <f aca="false">IF(A983="","",IF(J983="","",IFERROR(360/J983,"")))</f>
        <v/>
      </c>
      <c r="AA983" s="5" t="str">
        <f aca="false">IF(A983="","",IF(H983=0,"Parado (sem venda 90d)",IF(Z983&gt;12,"Alto (&gt;12x/ano)",IF(Z983&gt;=4,"Medio (4-12x/ano)","Baixo (&lt;4x/ano)"))))</f>
        <v/>
      </c>
    </row>
    <row r="984" customFormat="false" ht="15" hidden="false" customHeight="true" outlineLevel="0" collapsed="false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18"/>
      <c r="L984" s="19" t="str">
        <f aca="false">IF(A984="","",G984*K984)</f>
        <v/>
      </c>
      <c r="M984" s="20"/>
      <c r="N984" s="6"/>
      <c r="O984" s="6"/>
      <c r="P984" s="5" t="str">
        <f aca="false">IF(A984="","",H984/90)</f>
        <v/>
      </c>
      <c r="Q984" s="5" t="str">
        <f aca="false">IF(A984="","",IFERROR(INDEX(Parâmetros!$C$6:$C$10,MATCH(F984,Parâmetros!$B$6:$B$10,0)),""))</f>
        <v/>
      </c>
      <c r="R984" s="5" t="str">
        <f aca="false">IF(OR(A984="",P984="",Q984=""),"",P984*Q984)</f>
        <v/>
      </c>
      <c r="S984" s="5" t="str">
        <f aca="false">IF(R984="","",MAX(0,R984-G984))</f>
        <v/>
      </c>
      <c r="T984" s="21" t="str">
        <f aca="false">IF(S984="","",S984*K984)</f>
        <v/>
      </c>
      <c r="U984" s="5" t="str">
        <f aca="false">IF(A984="","",IF(J984&gt;Parâmetros!$C$14,"SIM","NAO"))</f>
        <v/>
      </c>
      <c r="V984" s="5" t="str">
        <f aca="false">IF(B984="","",TRIM(LEFT(B984,IFERROR(FIND(" ",B984)-1,LEN(B984)))))</f>
        <v/>
      </c>
      <c r="W984" s="22"/>
      <c r="X984" s="5" t="str">
        <f aca="false">IF(A984="","",IF(W984&lt;&gt;"",W984,V984))</f>
        <v/>
      </c>
      <c r="Y984" s="5" t="str">
        <f aca="false">IF(A984="","",IF(COUNTIFS($X$2:$X$2001,X984,$D$2:$D$2001,"&lt;&gt;"&amp;D984,$C$2:$C$2001,C984)&gt;0,"SIM","NAO"))</f>
        <v/>
      </c>
      <c r="Z984" s="5" t="str">
        <f aca="false">IF(A984="","",IF(J984="","",IFERROR(360/J984,"")))</f>
        <v/>
      </c>
      <c r="AA984" s="5" t="str">
        <f aca="false">IF(A984="","",IF(H984=0,"Parado (sem venda 90d)",IF(Z984&gt;12,"Alto (&gt;12x/ano)",IF(Z984&gt;=4,"Medio (4-12x/ano)","Baixo (&lt;4x/ano)"))))</f>
        <v/>
      </c>
    </row>
    <row r="985" customFormat="false" ht="15" hidden="false" customHeight="true" outlineLevel="0" collapsed="false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18"/>
      <c r="L985" s="19" t="str">
        <f aca="false">IF(A985="","",G985*K985)</f>
        <v/>
      </c>
      <c r="M985" s="20"/>
      <c r="N985" s="6"/>
      <c r="O985" s="6"/>
      <c r="P985" s="5" t="str">
        <f aca="false">IF(A985="","",H985/90)</f>
        <v/>
      </c>
      <c r="Q985" s="5" t="str">
        <f aca="false">IF(A985="","",IFERROR(INDEX(Parâmetros!$C$6:$C$10,MATCH(F985,Parâmetros!$B$6:$B$10,0)),""))</f>
        <v/>
      </c>
      <c r="R985" s="5" t="str">
        <f aca="false">IF(OR(A985="",P985="",Q985=""),"",P985*Q985)</f>
        <v/>
      </c>
      <c r="S985" s="5" t="str">
        <f aca="false">IF(R985="","",MAX(0,R985-G985))</f>
        <v/>
      </c>
      <c r="T985" s="21" t="str">
        <f aca="false">IF(S985="","",S985*K985)</f>
        <v/>
      </c>
      <c r="U985" s="5" t="str">
        <f aca="false">IF(A985="","",IF(J985&gt;Parâmetros!$C$14,"SIM","NAO"))</f>
        <v/>
      </c>
      <c r="V985" s="5" t="str">
        <f aca="false">IF(B985="","",TRIM(LEFT(B985,IFERROR(FIND(" ",B985)-1,LEN(B985)))))</f>
        <v/>
      </c>
      <c r="W985" s="22"/>
      <c r="X985" s="5" t="str">
        <f aca="false">IF(A985="","",IF(W985&lt;&gt;"",W985,V985))</f>
        <v/>
      </c>
      <c r="Y985" s="5" t="str">
        <f aca="false">IF(A985="","",IF(COUNTIFS($X$2:$X$2001,X985,$D$2:$D$2001,"&lt;&gt;"&amp;D985,$C$2:$C$2001,C985)&gt;0,"SIM","NAO"))</f>
        <v/>
      </c>
      <c r="Z985" s="5" t="str">
        <f aca="false">IF(A985="","",IF(J985="","",IFERROR(360/J985,"")))</f>
        <v/>
      </c>
      <c r="AA985" s="5" t="str">
        <f aca="false">IF(A985="","",IF(H985=0,"Parado (sem venda 90d)",IF(Z985&gt;12,"Alto (&gt;12x/ano)",IF(Z985&gt;=4,"Medio (4-12x/ano)","Baixo (&lt;4x/ano)"))))</f>
        <v/>
      </c>
    </row>
    <row r="986" customFormat="false" ht="15" hidden="false" customHeight="true" outlineLevel="0" collapsed="false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18"/>
      <c r="L986" s="19" t="str">
        <f aca="false">IF(A986="","",G986*K986)</f>
        <v/>
      </c>
      <c r="M986" s="20"/>
      <c r="N986" s="6"/>
      <c r="O986" s="6"/>
      <c r="P986" s="5" t="str">
        <f aca="false">IF(A986="","",H986/90)</f>
        <v/>
      </c>
      <c r="Q986" s="5" t="str">
        <f aca="false">IF(A986="","",IFERROR(INDEX(Parâmetros!$C$6:$C$10,MATCH(F986,Parâmetros!$B$6:$B$10,0)),""))</f>
        <v/>
      </c>
      <c r="R986" s="5" t="str">
        <f aca="false">IF(OR(A986="",P986="",Q986=""),"",P986*Q986)</f>
        <v/>
      </c>
      <c r="S986" s="5" t="str">
        <f aca="false">IF(R986="","",MAX(0,R986-G986))</f>
        <v/>
      </c>
      <c r="T986" s="21" t="str">
        <f aca="false">IF(S986="","",S986*K986)</f>
        <v/>
      </c>
      <c r="U986" s="5" t="str">
        <f aca="false">IF(A986="","",IF(J986&gt;Parâmetros!$C$14,"SIM","NAO"))</f>
        <v/>
      </c>
      <c r="V986" s="5" t="str">
        <f aca="false">IF(B986="","",TRIM(LEFT(B986,IFERROR(FIND(" ",B986)-1,LEN(B986)))))</f>
        <v/>
      </c>
      <c r="W986" s="22"/>
      <c r="X986" s="5" t="str">
        <f aca="false">IF(A986="","",IF(W986&lt;&gt;"",W986,V986))</f>
        <v/>
      </c>
      <c r="Y986" s="5" t="str">
        <f aca="false">IF(A986="","",IF(COUNTIFS($X$2:$X$2001,X986,$D$2:$D$2001,"&lt;&gt;"&amp;D986,$C$2:$C$2001,C986)&gt;0,"SIM","NAO"))</f>
        <v/>
      </c>
      <c r="Z986" s="5" t="str">
        <f aca="false">IF(A986="","",IF(J986="","",IFERROR(360/J986,"")))</f>
        <v/>
      </c>
      <c r="AA986" s="5" t="str">
        <f aca="false">IF(A986="","",IF(H986=0,"Parado (sem venda 90d)",IF(Z986&gt;12,"Alto (&gt;12x/ano)",IF(Z986&gt;=4,"Medio (4-12x/ano)","Baixo (&lt;4x/ano)"))))</f>
        <v/>
      </c>
    </row>
    <row r="987" customFormat="false" ht="15" hidden="false" customHeight="true" outlineLevel="0" collapsed="false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18"/>
      <c r="L987" s="19" t="str">
        <f aca="false">IF(A987="","",G987*K987)</f>
        <v/>
      </c>
      <c r="M987" s="20"/>
      <c r="N987" s="6"/>
      <c r="O987" s="6"/>
      <c r="P987" s="5" t="str">
        <f aca="false">IF(A987="","",H987/90)</f>
        <v/>
      </c>
      <c r="Q987" s="5" t="str">
        <f aca="false">IF(A987="","",IFERROR(INDEX(Parâmetros!$C$6:$C$10,MATCH(F987,Parâmetros!$B$6:$B$10,0)),""))</f>
        <v/>
      </c>
      <c r="R987" s="5" t="str">
        <f aca="false">IF(OR(A987="",P987="",Q987=""),"",P987*Q987)</f>
        <v/>
      </c>
      <c r="S987" s="5" t="str">
        <f aca="false">IF(R987="","",MAX(0,R987-G987))</f>
        <v/>
      </c>
      <c r="T987" s="21" t="str">
        <f aca="false">IF(S987="","",S987*K987)</f>
        <v/>
      </c>
      <c r="U987" s="5" t="str">
        <f aca="false">IF(A987="","",IF(J987&gt;Parâmetros!$C$14,"SIM","NAO"))</f>
        <v/>
      </c>
      <c r="V987" s="5" t="str">
        <f aca="false">IF(B987="","",TRIM(LEFT(B987,IFERROR(FIND(" ",B987)-1,LEN(B987)))))</f>
        <v/>
      </c>
      <c r="W987" s="22"/>
      <c r="X987" s="5" t="str">
        <f aca="false">IF(A987="","",IF(W987&lt;&gt;"",W987,V987))</f>
        <v/>
      </c>
      <c r="Y987" s="5" t="str">
        <f aca="false">IF(A987="","",IF(COUNTIFS($X$2:$X$2001,X987,$D$2:$D$2001,"&lt;&gt;"&amp;D987,$C$2:$C$2001,C987)&gt;0,"SIM","NAO"))</f>
        <v/>
      </c>
      <c r="Z987" s="5" t="str">
        <f aca="false">IF(A987="","",IF(J987="","",IFERROR(360/J987,"")))</f>
        <v/>
      </c>
      <c r="AA987" s="5" t="str">
        <f aca="false">IF(A987="","",IF(H987=0,"Parado (sem venda 90d)",IF(Z987&gt;12,"Alto (&gt;12x/ano)",IF(Z987&gt;=4,"Medio (4-12x/ano)","Baixo (&lt;4x/ano)"))))</f>
        <v/>
      </c>
    </row>
    <row r="988" customFormat="false" ht="15" hidden="false" customHeight="true" outlineLevel="0" collapsed="false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18"/>
      <c r="L988" s="19" t="str">
        <f aca="false">IF(A988="","",G988*K988)</f>
        <v/>
      </c>
      <c r="M988" s="20"/>
      <c r="N988" s="6"/>
      <c r="O988" s="6"/>
      <c r="P988" s="5" t="str">
        <f aca="false">IF(A988="","",H988/90)</f>
        <v/>
      </c>
      <c r="Q988" s="5" t="str">
        <f aca="false">IF(A988="","",IFERROR(INDEX(Parâmetros!$C$6:$C$10,MATCH(F988,Parâmetros!$B$6:$B$10,0)),""))</f>
        <v/>
      </c>
      <c r="R988" s="5" t="str">
        <f aca="false">IF(OR(A988="",P988="",Q988=""),"",P988*Q988)</f>
        <v/>
      </c>
      <c r="S988" s="5" t="str">
        <f aca="false">IF(R988="","",MAX(0,R988-G988))</f>
        <v/>
      </c>
      <c r="T988" s="21" t="str">
        <f aca="false">IF(S988="","",S988*K988)</f>
        <v/>
      </c>
      <c r="U988" s="5" t="str">
        <f aca="false">IF(A988="","",IF(J988&gt;Parâmetros!$C$14,"SIM","NAO"))</f>
        <v/>
      </c>
      <c r="V988" s="5" t="str">
        <f aca="false">IF(B988="","",TRIM(LEFT(B988,IFERROR(FIND(" ",B988)-1,LEN(B988)))))</f>
        <v/>
      </c>
      <c r="W988" s="22"/>
      <c r="X988" s="5" t="str">
        <f aca="false">IF(A988="","",IF(W988&lt;&gt;"",W988,V988))</f>
        <v/>
      </c>
      <c r="Y988" s="5" t="str">
        <f aca="false">IF(A988="","",IF(COUNTIFS($X$2:$X$2001,X988,$D$2:$D$2001,"&lt;&gt;"&amp;D988,$C$2:$C$2001,C988)&gt;0,"SIM","NAO"))</f>
        <v/>
      </c>
      <c r="Z988" s="5" t="str">
        <f aca="false">IF(A988="","",IF(J988="","",IFERROR(360/J988,"")))</f>
        <v/>
      </c>
      <c r="AA988" s="5" t="str">
        <f aca="false">IF(A988="","",IF(H988=0,"Parado (sem venda 90d)",IF(Z988&gt;12,"Alto (&gt;12x/ano)",IF(Z988&gt;=4,"Medio (4-12x/ano)","Baixo (&lt;4x/ano)"))))</f>
        <v/>
      </c>
    </row>
    <row r="989" customFormat="false" ht="15" hidden="false" customHeight="true" outlineLevel="0" collapsed="false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18"/>
      <c r="L989" s="19" t="str">
        <f aca="false">IF(A989="","",G989*K989)</f>
        <v/>
      </c>
      <c r="M989" s="20"/>
      <c r="N989" s="6"/>
      <c r="O989" s="6"/>
      <c r="P989" s="5" t="str">
        <f aca="false">IF(A989="","",H989/90)</f>
        <v/>
      </c>
      <c r="Q989" s="5" t="str">
        <f aca="false">IF(A989="","",IFERROR(INDEX(Parâmetros!$C$6:$C$10,MATCH(F989,Parâmetros!$B$6:$B$10,0)),""))</f>
        <v/>
      </c>
      <c r="R989" s="5" t="str">
        <f aca="false">IF(OR(A989="",P989="",Q989=""),"",P989*Q989)</f>
        <v/>
      </c>
      <c r="S989" s="5" t="str">
        <f aca="false">IF(R989="","",MAX(0,R989-G989))</f>
        <v/>
      </c>
      <c r="T989" s="21" t="str">
        <f aca="false">IF(S989="","",S989*K989)</f>
        <v/>
      </c>
      <c r="U989" s="5" t="str">
        <f aca="false">IF(A989="","",IF(J989&gt;Parâmetros!$C$14,"SIM","NAO"))</f>
        <v/>
      </c>
      <c r="V989" s="5" t="str">
        <f aca="false">IF(B989="","",TRIM(LEFT(B989,IFERROR(FIND(" ",B989)-1,LEN(B989)))))</f>
        <v/>
      </c>
      <c r="W989" s="22"/>
      <c r="X989" s="5" t="str">
        <f aca="false">IF(A989="","",IF(W989&lt;&gt;"",W989,V989))</f>
        <v/>
      </c>
      <c r="Y989" s="5" t="str">
        <f aca="false">IF(A989="","",IF(COUNTIFS($X$2:$X$2001,X989,$D$2:$D$2001,"&lt;&gt;"&amp;D989,$C$2:$C$2001,C989)&gt;0,"SIM","NAO"))</f>
        <v/>
      </c>
      <c r="Z989" s="5" t="str">
        <f aca="false">IF(A989="","",IF(J989="","",IFERROR(360/J989,"")))</f>
        <v/>
      </c>
      <c r="AA989" s="5" t="str">
        <f aca="false">IF(A989="","",IF(H989=0,"Parado (sem venda 90d)",IF(Z989&gt;12,"Alto (&gt;12x/ano)",IF(Z989&gt;=4,"Medio (4-12x/ano)","Baixo (&lt;4x/ano)"))))</f>
        <v/>
      </c>
    </row>
    <row r="990" customFormat="false" ht="15" hidden="false" customHeight="true" outlineLevel="0" collapsed="false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18"/>
      <c r="L990" s="19" t="str">
        <f aca="false">IF(A990="","",G990*K990)</f>
        <v/>
      </c>
      <c r="M990" s="20"/>
      <c r="N990" s="6"/>
      <c r="O990" s="6"/>
      <c r="P990" s="5" t="str">
        <f aca="false">IF(A990="","",H990/90)</f>
        <v/>
      </c>
      <c r="Q990" s="5" t="str">
        <f aca="false">IF(A990="","",IFERROR(INDEX(Parâmetros!$C$6:$C$10,MATCH(F990,Parâmetros!$B$6:$B$10,0)),""))</f>
        <v/>
      </c>
      <c r="R990" s="5" t="str">
        <f aca="false">IF(OR(A990="",P990="",Q990=""),"",P990*Q990)</f>
        <v/>
      </c>
      <c r="S990" s="5" t="str">
        <f aca="false">IF(R990="","",MAX(0,R990-G990))</f>
        <v/>
      </c>
      <c r="T990" s="21" t="str">
        <f aca="false">IF(S990="","",S990*K990)</f>
        <v/>
      </c>
      <c r="U990" s="5" t="str">
        <f aca="false">IF(A990="","",IF(J990&gt;Parâmetros!$C$14,"SIM","NAO"))</f>
        <v/>
      </c>
      <c r="V990" s="5" t="str">
        <f aca="false">IF(B990="","",TRIM(LEFT(B990,IFERROR(FIND(" ",B990)-1,LEN(B990)))))</f>
        <v/>
      </c>
      <c r="W990" s="22"/>
      <c r="X990" s="5" t="str">
        <f aca="false">IF(A990="","",IF(W990&lt;&gt;"",W990,V990))</f>
        <v/>
      </c>
      <c r="Y990" s="5" t="str">
        <f aca="false">IF(A990="","",IF(COUNTIFS($X$2:$X$2001,X990,$D$2:$D$2001,"&lt;&gt;"&amp;D990,$C$2:$C$2001,C990)&gt;0,"SIM","NAO"))</f>
        <v/>
      </c>
      <c r="Z990" s="5" t="str">
        <f aca="false">IF(A990="","",IF(J990="","",IFERROR(360/J990,"")))</f>
        <v/>
      </c>
      <c r="AA990" s="5" t="str">
        <f aca="false">IF(A990="","",IF(H990=0,"Parado (sem venda 90d)",IF(Z990&gt;12,"Alto (&gt;12x/ano)",IF(Z990&gt;=4,"Medio (4-12x/ano)","Baixo (&lt;4x/ano)"))))</f>
        <v/>
      </c>
    </row>
    <row r="991" customFormat="false" ht="15" hidden="false" customHeight="true" outlineLevel="0" collapsed="false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18"/>
      <c r="L991" s="19" t="str">
        <f aca="false">IF(A991="","",G991*K991)</f>
        <v/>
      </c>
      <c r="M991" s="20"/>
      <c r="N991" s="6"/>
      <c r="O991" s="6"/>
      <c r="P991" s="5" t="str">
        <f aca="false">IF(A991="","",H991/90)</f>
        <v/>
      </c>
      <c r="Q991" s="5" t="str">
        <f aca="false">IF(A991="","",IFERROR(INDEX(Parâmetros!$C$6:$C$10,MATCH(F991,Parâmetros!$B$6:$B$10,0)),""))</f>
        <v/>
      </c>
      <c r="R991" s="5" t="str">
        <f aca="false">IF(OR(A991="",P991="",Q991=""),"",P991*Q991)</f>
        <v/>
      </c>
      <c r="S991" s="5" t="str">
        <f aca="false">IF(R991="","",MAX(0,R991-G991))</f>
        <v/>
      </c>
      <c r="T991" s="21" t="str">
        <f aca="false">IF(S991="","",S991*K991)</f>
        <v/>
      </c>
      <c r="U991" s="5" t="str">
        <f aca="false">IF(A991="","",IF(J991&gt;Parâmetros!$C$14,"SIM","NAO"))</f>
        <v/>
      </c>
      <c r="V991" s="5" t="str">
        <f aca="false">IF(B991="","",TRIM(LEFT(B991,IFERROR(FIND(" ",B991)-1,LEN(B991)))))</f>
        <v/>
      </c>
      <c r="W991" s="22"/>
      <c r="X991" s="5" t="str">
        <f aca="false">IF(A991="","",IF(W991&lt;&gt;"",W991,V991))</f>
        <v/>
      </c>
      <c r="Y991" s="5" t="str">
        <f aca="false">IF(A991="","",IF(COUNTIFS($X$2:$X$2001,X991,$D$2:$D$2001,"&lt;&gt;"&amp;D991,$C$2:$C$2001,C991)&gt;0,"SIM","NAO"))</f>
        <v/>
      </c>
      <c r="Z991" s="5" t="str">
        <f aca="false">IF(A991="","",IF(J991="","",IFERROR(360/J991,"")))</f>
        <v/>
      </c>
      <c r="AA991" s="5" t="str">
        <f aca="false">IF(A991="","",IF(H991=0,"Parado (sem venda 90d)",IF(Z991&gt;12,"Alto (&gt;12x/ano)",IF(Z991&gt;=4,"Medio (4-12x/ano)","Baixo (&lt;4x/ano)"))))</f>
        <v/>
      </c>
    </row>
    <row r="992" customFormat="false" ht="15" hidden="false" customHeight="true" outlineLevel="0" collapsed="false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18"/>
      <c r="L992" s="19" t="str">
        <f aca="false">IF(A992="","",G992*K992)</f>
        <v/>
      </c>
      <c r="M992" s="20"/>
      <c r="N992" s="6"/>
      <c r="O992" s="6"/>
      <c r="P992" s="5" t="str">
        <f aca="false">IF(A992="","",H992/90)</f>
        <v/>
      </c>
      <c r="Q992" s="5" t="str">
        <f aca="false">IF(A992="","",IFERROR(INDEX(Parâmetros!$C$6:$C$10,MATCH(F992,Parâmetros!$B$6:$B$10,0)),""))</f>
        <v/>
      </c>
      <c r="R992" s="5" t="str">
        <f aca="false">IF(OR(A992="",P992="",Q992=""),"",P992*Q992)</f>
        <v/>
      </c>
      <c r="S992" s="5" t="str">
        <f aca="false">IF(R992="","",MAX(0,R992-G992))</f>
        <v/>
      </c>
      <c r="T992" s="21" t="str">
        <f aca="false">IF(S992="","",S992*K992)</f>
        <v/>
      </c>
      <c r="U992" s="5" t="str">
        <f aca="false">IF(A992="","",IF(J992&gt;Parâmetros!$C$14,"SIM","NAO"))</f>
        <v/>
      </c>
      <c r="V992" s="5" t="str">
        <f aca="false">IF(B992="","",TRIM(LEFT(B992,IFERROR(FIND(" ",B992)-1,LEN(B992)))))</f>
        <v/>
      </c>
      <c r="W992" s="22"/>
      <c r="X992" s="5" t="str">
        <f aca="false">IF(A992="","",IF(W992&lt;&gt;"",W992,V992))</f>
        <v/>
      </c>
      <c r="Y992" s="5" t="str">
        <f aca="false">IF(A992="","",IF(COUNTIFS($X$2:$X$2001,X992,$D$2:$D$2001,"&lt;&gt;"&amp;D992,$C$2:$C$2001,C992)&gt;0,"SIM","NAO"))</f>
        <v/>
      </c>
      <c r="Z992" s="5" t="str">
        <f aca="false">IF(A992="","",IF(J992="","",IFERROR(360/J992,"")))</f>
        <v/>
      </c>
      <c r="AA992" s="5" t="str">
        <f aca="false">IF(A992="","",IF(H992=0,"Parado (sem venda 90d)",IF(Z992&gt;12,"Alto (&gt;12x/ano)",IF(Z992&gt;=4,"Medio (4-12x/ano)","Baixo (&lt;4x/ano)"))))</f>
        <v/>
      </c>
    </row>
    <row r="993" customFormat="false" ht="15" hidden="false" customHeight="true" outlineLevel="0" collapsed="false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18"/>
      <c r="L993" s="19" t="str">
        <f aca="false">IF(A993="","",G993*K993)</f>
        <v/>
      </c>
      <c r="M993" s="20"/>
      <c r="N993" s="6"/>
      <c r="O993" s="6"/>
      <c r="P993" s="5" t="str">
        <f aca="false">IF(A993="","",H993/90)</f>
        <v/>
      </c>
      <c r="Q993" s="5" t="str">
        <f aca="false">IF(A993="","",IFERROR(INDEX(Parâmetros!$C$6:$C$10,MATCH(F993,Parâmetros!$B$6:$B$10,0)),""))</f>
        <v/>
      </c>
      <c r="R993" s="5" t="str">
        <f aca="false">IF(OR(A993="",P993="",Q993=""),"",P993*Q993)</f>
        <v/>
      </c>
      <c r="S993" s="5" t="str">
        <f aca="false">IF(R993="","",MAX(0,R993-G993))</f>
        <v/>
      </c>
      <c r="T993" s="21" t="str">
        <f aca="false">IF(S993="","",S993*K993)</f>
        <v/>
      </c>
      <c r="U993" s="5" t="str">
        <f aca="false">IF(A993="","",IF(J993&gt;Parâmetros!$C$14,"SIM","NAO"))</f>
        <v/>
      </c>
      <c r="V993" s="5" t="str">
        <f aca="false">IF(B993="","",TRIM(LEFT(B993,IFERROR(FIND(" ",B993)-1,LEN(B993)))))</f>
        <v/>
      </c>
      <c r="W993" s="22"/>
      <c r="X993" s="5" t="str">
        <f aca="false">IF(A993="","",IF(W993&lt;&gt;"",W993,V993))</f>
        <v/>
      </c>
      <c r="Y993" s="5" t="str">
        <f aca="false">IF(A993="","",IF(COUNTIFS($X$2:$X$2001,X993,$D$2:$D$2001,"&lt;&gt;"&amp;D993,$C$2:$C$2001,C993)&gt;0,"SIM","NAO"))</f>
        <v/>
      </c>
      <c r="Z993" s="5" t="str">
        <f aca="false">IF(A993="","",IF(J993="","",IFERROR(360/J993,"")))</f>
        <v/>
      </c>
      <c r="AA993" s="5" t="str">
        <f aca="false">IF(A993="","",IF(H993=0,"Parado (sem venda 90d)",IF(Z993&gt;12,"Alto (&gt;12x/ano)",IF(Z993&gt;=4,"Medio (4-12x/ano)","Baixo (&lt;4x/ano)"))))</f>
        <v/>
      </c>
    </row>
    <row r="994" customFormat="false" ht="15" hidden="false" customHeight="true" outlineLevel="0" collapsed="false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18"/>
      <c r="L994" s="19" t="str">
        <f aca="false">IF(A994="","",G994*K994)</f>
        <v/>
      </c>
      <c r="M994" s="20"/>
      <c r="N994" s="6"/>
      <c r="O994" s="6"/>
      <c r="P994" s="5" t="str">
        <f aca="false">IF(A994="","",H994/90)</f>
        <v/>
      </c>
      <c r="Q994" s="5" t="str">
        <f aca="false">IF(A994="","",IFERROR(INDEX(Parâmetros!$C$6:$C$10,MATCH(F994,Parâmetros!$B$6:$B$10,0)),""))</f>
        <v/>
      </c>
      <c r="R994" s="5" t="str">
        <f aca="false">IF(OR(A994="",P994="",Q994=""),"",P994*Q994)</f>
        <v/>
      </c>
      <c r="S994" s="5" t="str">
        <f aca="false">IF(R994="","",MAX(0,R994-G994))</f>
        <v/>
      </c>
      <c r="T994" s="21" t="str">
        <f aca="false">IF(S994="","",S994*K994)</f>
        <v/>
      </c>
      <c r="U994" s="5" t="str">
        <f aca="false">IF(A994="","",IF(J994&gt;Parâmetros!$C$14,"SIM","NAO"))</f>
        <v/>
      </c>
      <c r="V994" s="5" t="str">
        <f aca="false">IF(B994="","",TRIM(LEFT(B994,IFERROR(FIND(" ",B994)-1,LEN(B994)))))</f>
        <v/>
      </c>
      <c r="W994" s="22"/>
      <c r="X994" s="5" t="str">
        <f aca="false">IF(A994="","",IF(W994&lt;&gt;"",W994,V994))</f>
        <v/>
      </c>
      <c r="Y994" s="5" t="str">
        <f aca="false">IF(A994="","",IF(COUNTIFS($X$2:$X$2001,X994,$D$2:$D$2001,"&lt;&gt;"&amp;D994,$C$2:$C$2001,C994)&gt;0,"SIM","NAO"))</f>
        <v/>
      </c>
      <c r="Z994" s="5" t="str">
        <f aca="false">IF(A994="","",IF(J994="","",IFERROR(360/J994,"")))</f>
        <v/>
      </c>
      <c r="AA994" s="5" t="str">
        <f aca="false">IF(A994="","",IF(H994=0,"Parado (sem venda 90d)",IF(Z994&gt;12,"Alto (&gt;12x/ano)",IF(Z994&gt;=4,"Medio (4-12x/ano)","Baixo (&lt;4x/ano)"))))</f>
        <v/>
      </c>
    </row>
    <row r="995" customFormat="false" ht="15" hidden="false" customHeight="true" outlineLevel="0" collapsed="false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18"/>
      <c r="L995" s="19" t="str">
        <f aca="false">IF(A995="","",G995*K995)</f>
        <v/>
      </c>
      <c r="M995" s="20"/>
      <c r="N995" s="6"/>
      <c r="O995" s="6"/>
      <c r="P995" s="5" t="str">
        <f aca="false">IF(A995="","",H995/90)</f>
        <v/>
      </c>
      <c r="Q995" s="5" t="str">
        <f aca="false">IF(A995="","",IFERROR(INDEX(Parâmetros!$C$6:$C$10,MATCH(F995,Parâmetros!$B$6:$B$10,0)),""))</f>
        <v/>
      </c>
      <c r="R995" s="5" t="str">
        <f aca="false">IF(OR(A995="",P995="",Q995=""),"",P995*Q995)</f>
        <v/>
      </c>
      <c r="S995" s="5" t="str">
        <f aca="false">IF(R995="","",MAX(0,R995-G995))</f>
        <v/>
      </c>
      <c r="T995" s="21" t="str">
        <f aca="false">IF(S995="","",S995*K995)</f>
        <v/>
      </c>
      <c r="U995" s="5" t="str">
        <f aca="false">IF(A995="","",IF(J995&gt;Parâmetros!$C$14,"SIM","NAO"))</f>
        <v/>
      </c>
      <c r="V995" s="5" t="str">
        <f aca="false">IF(B995="","",TRIM(LEFT(B995,IFERROR(FIND(" ",B995)-1,LEN(B995)))))</f>
        <v/>
      </c>
      <c r="W995" s="22"/>
      <c r="X995" s="5" t="str">
        <f aca="false">IF(A995="","",IF(W995&lt;&gt;"",W995,V995))</f>
        <v/>
      </c>
      <c r="Y995" s="5" t="str">
        <f aca="false">IF(A995="","",IF(COUNTIFS($X$2:$X$2001,X995,$D$2:$D$2001,"&lt;&gt;"&amp;D995,$C$2:$C$2001,C995)&gt;0,"SIM","NAO"))</f>
        <v/>
      </c>
      <c r="Z995" s="5" t="str">
        <f aca="false">IF(A995="","",IF(J995="","",IFERROR(360/J995,"")))</f>
        <v/>
      </c>
      <c r="AA995" s="5" t="str">
        <f aca="false">IF(A995="","",IF(H995=0,"Parado (sem venda 90d)",IF(Z995&gt;12,"Alto (&gt;12x/ano)",IF(Z995&gt;=4,"Medio (4-12x/ano)","Baixo (&lt;4x/ano)"))))</f>
        <v/>
      </c>
    </row>
    <row r="996" customFormat="false" ht="15" hidden="false" customHeight="true" outlineLevel="0" collapsed="false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18"/>
      <c r="L996" s="19" t="str">
        <f aca="false">IF(A996="","",G996*K996)</f>
        <v/>
      </c>
      <c r="M996" s="20"/>
      <c r="N996" s="6"/>
      <c r="O996" s="6"/>
      <c r="P996" s="5" t="str">
        <f aca="false">IF(A996="","",H996/90)</f>
        <v/>
      </c>
      <c r="Q996" s="5" t="str">
        <f aca="false">IF(A996="","",IFERROR(INDEX(Parâmetros!$C$6:$C$10,MATCH(F996,Parâmetros!$B$6:$B$10,0)),""))</f>
        <v/>
      </c>
      <c r="R996" s="5" t="str">
        <f aca="false">IF(OR(A996="",P996="",Q996=""),"",P996*Q996)</f>
        <v/>
      </c>
      <c r="S996" s="5" t="str">
        <f aca="false">IF(R996="","",MAX(0,R996-G996))</f>
        <v/>
      </c>
      <c r="T996" s="21" t="str">
        <f aca="false">IF(S996="","",S996*K996)</f>
        <v/>
      </c>
      <c r="U996" s="5" t="str">
        <f aca="false">IF(A996="","",IF(J996&gt;Parâmetros!$C$14,"SIM","NAO"))</f>
        <v/>
      </c>
      <c r="V996" s="5" t="str">
        <f aca="false">IF(B996="","",TRIM(LEFT(B996,IFERROR(FIND(" ",B996)-1,LEN(B996)))))</f>
        <v/>
      </c>
      <c r="W996" s="22"/>
      <c r="X996" s="5" t="str">
        <f aca="false">IF(A996="","",IF(W996&lt;&gt;"",W996,V996))</f>
        <v/>
      </c>
      <c r="Y996" s="5" t="str">
        <f aca="false">IF(A996="","",IF(COUNTIFS($X$2:$X$2001,X996,$D$2:$D$2001,"&lt;&gt;"&amp;D996,$C$2:$C$2001,C996)&gt;0,"SIM","NAO"))</f>
        <v/>
      </c>
      <c r="Z996" s="5" t="str">
        <f aca="false">IF(A996="","",IF(J996="","",IFERROR(360/J996,"")))</f>
        <v/>
      </c>
      <c r="AA996" s="5" t="str">
        <f aca="false">IF(A996="","",IF(H996=0,"Parado (sem venda 90d)",IF(Z996&gt;12,"Alto (&gt;12x/ano)",IF(Z996&gt;=4,"Medio (4-12x/ano)","Baixo (&lt;4x/ano)"))))</f>
        <v/>
      </c>
    </row>
    <row r="997" customFormat="false" ht="15" hidden="false" customHeight="true" outlineLevel="0" collapsed="false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18"/>
      <c r="L997" s="19" t="str">
        <f aca="false">IF(A997="","",G997*K997)</f>
        <v/>
      </c>
      <c r="M997" s="20"/>
      <c r="N997" s="6"/>
      <c r="O997" s="6"/>
      <c r="P997" s="5" t="str">
        <f aca="false">IF(A997="","",H997/90)</f>
        <v/>
      </c>
      <c r="Q997" s="5" t="str">
        <f aca="false">IF(A997="","",IFERROR(INDEX(Parâmetros!$C$6:$C$10,MATCH(F997,Parâmetros!$B$6:$B$10,0)),""))</f>
        <v/>
      </c>
      <c r="R997" s="5" t="str">
        <f aca="false">IF(OR(A997="",P997="",Q997=""),"",P997*Q997)</f>
        <v/>
      </c>
      <c r="S997" s="5" t="str">
        <f aca="false">IF(R997="","",MAX(0,R997-G997))</f>
        <v/>
      </c>
      <c r="T997" s="21" t="str">
        <f aca="false">IF(S997="","",S997*K997)</f>
        <v/>
      </c>
      <c r="U997" s="5" t="str">
        <f aca="false">IF(A997="","",IF(J997&gt;Parâmetros!$C$14,"SIM","NAO"))</f>
        <v/>
      </c>
      <c r="V997" s="5" t="str">
        <f aca="false">IF(B997="","",TRIM(LEFT(B997,IFERROR(FIND(" ",B997)-1,LEN(B997)))))</f>
        <v/>
      </c>
      <c r="W997" s="22"/>
      <c r="X997" s="5" t="str">
        <f aca="false">IF(A997="","",IF(W997&lt;&gt;"",W997,V997))</f>
        <v/>
      </c>
      <c r="Y997" s="5" t="str">
        <f aca="false">IF(A997="","",IF(COUNTIFS($X$2:$X$2001,X997,$D$2:$D$2001,"&lt;&gt;"&amp;D997,$C$2:$C$2001,C997)&gt;0,"SIM","NAO"))</f>
        <v/>
      </c>
      <c r="Z997" s="5" t="str">
        <f aca="false">IF(A997="","",IF(J997="","",IFERROR(360/J997,"")))</f>
        <v/>
      </c>
      <c r="AA997" s="5" t="str">
        <f aca="false">IF(A997="","",IF(H997=0,"Parado (sem venda 90d)",IF(Z997&gt;12,"Alto (&gt;12x/ano)",IF(Z997&gt;=4,"Medio (4-12x/ano)","Baixo (&lt;4x/ano)"))))</f>
        <v/>
      </c>
    </row>
    <row r="998" customFormat="false" ht="15" hidden="false" customHeight="true" outlineLevel="0" collapsed="false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18"/>
      <c r="L998" s="19" t="str">
        <f aca="false">IF(A998="","",G998*K998)</f>
        <v/>
      </c>
      <c r="M998" s="20"/>
      <c r="N998" s="6"/>
      <c r="O998" s="6"/>
      <c r="P998" s="5" t="str">
        <f aca="false">IF(A998="","",H998/90)</f>
        <v/>
      </c>
      <c r="Q998" s="5" t="str">
        <f aca="false">IF(A998="","",IFERROR(INDEX(Parâmetros!$C$6:$C$10,MATCH(F998,Parâmetros!$B$6:$B$10,0)),""))</f>
        <v/>
      </c>
      <c r="R998" s="5" t="str">
        <f aca="false">IF(OR(A998="",P998="",Q998=""),"",P998*Q998)</f>
        <v/>
      </c>
      <c r="S998" s="5" t="str">
        <f aca="false">IF(R998="","",MAX(0,R998-G998))</f>
        <v/>
      </c>
      <c r="T998" s="21" t="str">
        <f aca="false">IF(S998="","",S998*K998)</f>
        <v/>
      </c>
      <c r="U998" s="5" t="str">
        <f aca="false">IF(A998="","",IF(J998&gt;Parâmetros!$C$14,"SIM","NAO"))</f>
        <v/>
      </c>
      <c r="V998" s="5" t="str">
        <f aca="false">IF(B998="","",TRIM(LEFT(B998,IFERROR(FIND(" ",B998)-1,LEN(B998)))))</f>
        <v/>
      </c>
      <c r="W998" s="22"/>
      <c r="X998" s="5" t="str">
        <f aca="false">IF(A998="","",IF(W998&lt;&gt;"",W998,V998))</f>
        <v/>
      </c>
      <c r="Y998" s="5" t="str">
        <f aca="false">IF(A998="","",IF(COUNTIFS($X$2:$X$2001,X998,$D$2:$D$2001,"&lt;&gt;"&amp;D998,$C$2:$C$2001,C998)&gt;0,"SIM","NAO"))</f>
        <v/>
      </c>
      <c r="Z998" s="5" t="str">
        <f aca="false">IF(A998="","",IF(J998="","",IFERROR(360/J998,"")))</f>
        <v/>
      </c>
      <c r="AA998" s="5" t="str">
        <f aca="false">IF(A998="","",IF(H998=0,"Parado (sem venda 90d)",IF(Z998&gt;12,"Alto (&gt;12x/ano)",IF(Z998&gt;=4,"Medio (4-12x/ano)","Baixo (&lt;4x/ano)"))))</f>
        <v/>
      </c>
    </row>
    <row r="999" customFormat="false" ht="15" hidden="false" customHeight="true" outlineLevel="0" collapsed="false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18"/>
      <c r="L999" s="19" t="str">
        <f aca="false">IF(A999="","",G999*K999)</f>
        <v/>
      </c>
      <c r="M999" s="20"/>
      <c r="N999" s="6"/>
      <c r="O999" s="6"/>
      <c r="P999" s="5" t="str">
        <f aca="false">IF(A999="","",H999/90)</f>
        <v/>
      </c>
      <c r="Q999" s="5" t="str">
        <f aca="false">IF(A999="","",IFERROR(INDEX(Parâmetros!$C$6:$C$10,MATCH(F999,Parâmetros!$B$6:$B$10,0)),""))</f>
        <v/>
      </c>
      <c r="R999" s="5" t="str">
        <f aca="false">IF(OR(A999="",P999="",Q999=""),"",P999*Q999)</f>
        <v/>
      </c>
      <c r="S999" s="5" t="str">
        <f aca="false">IF(R999="","",MAX(0,R999-G999))</f>
        <v/>
      </c>
      <c r="T999" s="21" t="str">
        <f aca="false">IF(S999="","",S999*K999)</f>
        <v/>
      </c>
      <c r="U999" s="5" t="str">
        <f aca="false">IF(A999="","",IF(J999&gt;Parâmetros!$C$14,"SIM","NAO"))</f>
        <v/>
      </c>
      <c r="V999" s="5" t="str">
        <f aca="false">IF(B999="","",TRIM(LEFT(B999,IFERROR(FIND(" ",B999)-1,LEN(B999)))))</f>
        <v/>
      </c>
      <c r="W999" s="22"/>
      <c r="X999" s="5" t="str">
        <f aca="false">IF(A999="","",IF(W999&lt;&gt;"",W999,V999))</f>
        <v/>
      </c>
      <c r="Y999" s="5" t="str">
        <f aca="false">IF(A999="","",IF(COUNTIFS($X$2:$X$2001,X999,$D$2:$D$2001,"&lt;&gt;"&amp;D999,$C$2:$C$2001,C999)&gt;0,"SIM","NAO"))</f>
        <v/>
      </c>
      <c r="Z999" s="5" t="str">
        <f aca="false">IF(A999="","",IF(J999="","",IFERROR(360/J999,"")))</f>
        <v/>
      </c>
      <c r="AA999" s="5" t="str">
        <f aca="false">IF(A999="","",IF(H999=0,"Parado (sem venda 90d)",IF(Z999&gt;12,"Alto (&gt;12x/ano)",IF(Z999&gt;=4,"Medio (4-12x/ano)","Baixo (&lt;4x/ano)"))))</f>
        <v/>
      </c>
    </row>
    <row r="1000" customFormat="false" ht="15" hidden="false" customHeight="true" outlineLevel="0" collapsed="false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18"/>
      <c r="L1000" s="19" t="str">
        <f aca="false">IF(A1000="","",G1000*K1000)</f>
        <v/>
      </c>
      <c r="M1000" s="20"/>
      <c r="N1000" s="6"/>
      <c r="O1000" s="6"/>
      <c r="P1000" s="5" t="str">
        <f aca="false">IF(A1000="","",H1000/90)</f>
        <v/>
      </c>
      <c r="Q1000" s="5" t="str">
        <f aca="false">IF(A1000="","",IFERROR(INDEX(Parâmetros!$C$6:$C$10,MATCH(F1000,Parâmetros!$B$6:$B$10,0)),""))</f>
        <v/>
      </c>
      <c r="R1000" s="5" t="str">
        <f aca="false">IF(OR(A1000="",P1000="",Q1000=""),"",P1000*Q1000)</f>
        <v/>
      </c>
      <c r="S1000" s="5" t="str">
        <f aca="false">IF(R1000="","",MAX(0,R1000-G1000))</f>
        <v/>
      </c>
      <c r="T1000" s="21" t="str">
        <f aca="false">IF(S1000="","",S1000*K1000)</f>
        <v/>
      </c>
      <c r="U1000" s="5" t="str">
        <f aca="false">IF(A1000="","",IF(J1000&gt;Parâmetros!$C$14,"SIM","NAO"))</f>
        <v/>
      </c>
      <c r="V1000" s="5" t="str">
        <f aca="false">IF(B1000="","",TRIM(LEFT(B1000,IFERROR(FIND(" ",B1000)-1,LEN(B1000)))))</f>
        <v/>
      </c>
      <c r="W1000" s="22"/>
      <c r="X1000" s="5" t="str">
        <f aca="false">IF(A1000="","",IF(W1000&lt;&gt;"",W1000,V1000))</f>
        <v/>
      </c>
      <c r="Y1000" s="5" t="str">
        <f aca="false">IF(A1000="","",IF(COUNTIFS($X$2:$X$2001,X1000,$D$2:$D$2001,"&lt;&gt;"&amp;D1000,$C$2:$C$2001,C1000)&gt;0,"SIM","NAO"))</f>
        <v/>
      </c>
      <c r="Z1000" s="5" t="str">
        <f aca="false">IF(A1000="","",IF(J1000="","",IFERROR(360/J1000,"")))</f>
        <v/>
      </c>
      <c r="AA1000" s="5" t="str">
        <f aca="false">IF(A1000="","",IF(H1000=0,"Parado (sem venda 90d)",IF(Z1000&gt;12,"Alto (&gt;12x/ano)",IF(Z1000&gt;=4,"Medio (4-12x/ano)","Baixo (&lt;4x/ano)"))))</f>
        <v/>
      </c>
    </row>
    <row r="1001" customFormat="false" ht="15" hidden="false" customHeight="true" outlineLevel="0" collapsed="false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18"/>
      <c r="L1001" s="19" t="str">
        <f aca="false">IF(A1001="","",G1001*K1001)</f>
        <v/>
      </c>
      <c r="M1001" s="20"/>
      <c r="N1001" s="6"/>
      <c r="O1001" s="6"/>
      <c r="P1001" s="5" t="str">
        <f aca="false">IF(A1001="","",H1001/90)</f>
        <v/>
      </c>
      <c r="Q1001" s="5" t="str">
        <f aca="false">IF(A1001="","",IFERROR(INDEX(Parâmetros!$C$6:$C$10,MATCH(F1001,Parâmetros!$B$6:$B$10,0)),""))</f>
        <v/>
      </c>
      <c r="R1001" s="5" t="str">
        <f aca="false">IF(OR(A1001="",P1001="",Q1001=""),"",P1001*Q1001)</f>
        <v/>
      </c>
      <c r="S1001" s="5" t="str">
        <f aca="false">IF(R1001="","",MAX(0,R1001-G1001))</f>
        <v/>
      </c>
      <c r="T1001" s="21" t="str">
        <f aca="false">IF(S1001="","",S1001*K1001)</f>
        <v/>
      </c>
      <c r="U1001" s="5" t="str">
        <f aca="false">IF(A1001="","",IF(J1001&gt;Parâmetros!$C$14,"SIM","NAO"))</f>
        <v/>
      </c>
      <c r="V1001" s="5" t="str">
        <f aca="false">IF(B1001="","",TRIM(LEFT(B1001,IFERROR(FIND(" ",B1001)-1,LEN(B1001)))))</f>
        <v/>
      </c>
      <c r="W1001" s="22"/>
      <c r="X1001" s="5" t="str">
        <f aca="false">IF(A1001="","",IF(W1001&lt;&gt;"",W1001,V1001))</f>
        <v/>
      </c>
      <c r="Y1001" s="5" t="str">
        <f aca="false">IF(A1001="","",IF(COUNTIFS($X$2:$X$2001,X1001,$D$2:$D$2001,"&lt;&gt;"&amp;D1001,$C$2:$C$2001,C1001)&gt;0,"SIM","NAO"))</f>
        <v/>
      </c>
      <c r="Z1001" s="5" t="str">
        <f aca="false">IF(A1001="","",IF(J1001="","",IFERROR(360/J1001,"")))</f>
        <v/>
      </c>
      <c r="AA1001" s="5" t="str">
        <f aca="false">IF(A1001="","",IF(H1001=0,"Parado (sem venda 90d)",IF(Z1001&gt;12,"Alto (&gt;12x/ano)",IF(Z1001&gt;=4,"Medio (4-12x/ano)","Baixo (&lt;4x/ano)"))))</f>
        <v/>
      </c>
    </row>
    <row r="1002" customFormat="false" ht="15" hidden="false" customHeight="true" outlineLevel="0" collapsed="false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18"/>
      <c r="L1002" s="19" t="str">
        <f aca="false">IF(A1002="","",G1002*K1002)</f>
        <v/>
      </c>
      <c r="M1002" s="20"/>
      <c r="N1002" s="6"/>
      <c r="O1002" s="6"/>
      <c r="P1002" s="5" t="str">
        <f aca="false">IF(A1002="","",H1002/90)</f>
        <v/>
      </c>
      <c r="Q1002" s="5" t="str">
        <f aca="false">IF(A1002="","",IFERROR(INDEX(Parâmetros!$C$6:$C$10,MATCH(F1002,Parâmetros!$B$6:$B$10,0)),""))</f>
        <v/>
      </c>
      <c r="R1002" s="5" t="str">
        <f aca="false">IF(OR(A1002="",P1002="",Q1002=""),"",P1002*Q1002)</f>
        <v/>
      </c>
      <c r="S1002" s="5" t="str">
        <f aca="false">IF(R1002="","",MAX(0,R1002-G1002))</f>
        <v/>
      </c>
      <c r="T1002" s="21" t="str">
        <f aca="false">IF(S1002="","",S1002*K1002)</f>
        <v/>
      </c>
      <c r="U1002" s="5" t="str">
        <f aca="false">IF(A1002="","",IF(J1002&gt;Parâmetros!$C$14,"SIM","NAO"))</f>
        <v/>
      </c>
      <c r="V1002" s="5" t="str">
        <f aca="false">IF(B1002="","",TRIM(LEFT(B1002,IFERROR(FIND(" ",B1002)-1,LEN(B1002)))))</f>
        <v/>
      </c>
      <c r="W1002" s="22"/>
      <c r="X1002" s="5" t="str">
        <f aca="false">IF(A1002="","",IF(W1002&lt;&gt;"",W1002,V1002))</f>
        <v/>
      </c>
      <c r="Y1002" s="5" t="str">
        <f aca="false">IF(A1002="","",IF(COUNTIFS($X$2:$X$2001,X1002,$D$2:$D$2001,"&lt;&gt;"&amp;D1002,$C$2:$C$2001,C1002)&gt;0,"SIM","NAO"))</f>
        <v/>
      </c>
      <c r="Z1002" s="5" t="str">
        <f aca="false">IF(A1002="","",IF(J1002="","",IFERROR(360/J1002,"")))</f>
        <v/>
      </c>
      <c r="AA1002" s="5" t="str">
        <f aca="false">IF(A1002="","",IF(H1002=0,"Parado (sem venda 90d)",IF(Z1002&gt;12,"Alto (&gt;12x/ano)",IF(Z1002&gt;=4,"Medio (4-12x/ano)","Baixo (&lt;4x/ano)"))))</f>
        <v/>
      </c>
    </row>
    <row r="1003" customFormat="false" ht="15" hidden="false" customHeight="true" outlineLevel="0" collapsed="false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18"/>
      <c r="L1003" s="19" t="str">
        <f aca="false">IF(A1003="","",G1003*K1003)</f>
        <v/>
      </c>
      <c r="M1003" s="20"/>
      <c r="N1003" s="6"/>
      <c r="O1003" s="6"/>
      <c r="P1003" s="5" t="str">
        <f aca="false">IF(A1003="","",H1003/90)</f>
        <v/>
      </c>
      <c r="Q1003" s="5" t="str">
        <f aca="false">IF(A1003="","",IFERROR(INDEX(Parâmetros!$C$6:$C$10,MATCH(F1003,Parâmetros!$B$6:$B$10,0)),""))</f>
        <v/>
      </c>
      <c r="R1003" s="5" t="str">
        <f aca="false">IF(OR(A1003="",P1003="",Q1003=""),"",P1003*Q1003)</f>
        <v/>
      </c>
      <c r="S1003" s="5" t="str">
        <f aca="false">IF(R1003="","",MAX(0,R1003-G1003))</f>
        <v/>
      </c>
      <c r="T1003" s="21" t="str">
        <f aca="false">IF(S1003="","",S1003*K1003)</f>
        <v/>
      </c>
      <c r="U1003" s="5" t="str">
        <f aca="false">IF(A1003="","",IF(J1003&gt;Parâmetros!$C$14,"SIM","NAO"))</f>
        <v/>
      </c>
      <c r="V1003" s="5" t="str">
        <f aca="false">IF(B1003="","",TRIM(LEFT(B1003,IFERROR(FIND(" ",B1003)-1,LEN(B1003)))))</f>
        <v/>
      </c>
      <c r="W1003" s="22"/>
      <c r="X1003" s="5" t="str">
        <f aca="false">IF(A1003="","",IF(W1003&lt;&gt;"",W1003,V1003))</f>
        <v/>
      </c>
      <c r="Y1003" s="5" t="str">
        <f aca="false">IF(A1003="","",IF(COUNTIFS($X$2:$X$2001,X1003,$D$2:$D$2001,"&lt;&gt;"&amp;D1003,$C$2:$C$2001,C1003)&gt;0,"SIM","NAO"))</f>
        <v/>
      </c>
      <c r="Z1003" s="5" t="str">
        <f aca="false">IF(A1003="","",IF(J1003="","",IFERROR(360/J1003,"")))</f>
        <v/>
      </c>
      <c r="AA1003" s="5" t="str">
        <f aca="false">IF(A1003="","",IF(H1003=0,"Parado (sem venda 90d)",IF(Z1003&gt;12,"Alto (&gt;12x/ano)",IF(Z1003&gt;=4,"Medio (4-12x/ano)","Baixo (&lt;4x/ano)"))))</f>
        <v/>
      </c>
    </row>
    <row r="1004" customFormat="false" ht="15" hidden="false" customHeight="true" outlineLevel="0" collapsed="false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18"/>
      <c r="L1004" s="19" t="str">
        <f aca="false">IF(A1004="","",G1004*K1004)</f>
        <v/>
      </c>
      <c r="M1004" s="20"/>
      <c r="N1004" s="6"/>
      <c r="O1004" s="6"/>
      <c r="P1004" s="5" t="str">
        <f aca="false">IF(A1004="","",H1004/90)</f>
        <v/>
      </c>
      <c r="Q1004" s="5" t="str">
        <f aca="false">IF(A1004="","",IFERROR(INDEX(Parâmetros!$C$6:$C$10,MATCH(F1004,Parâmetros!$B$6:$B$10,0)),""))</f>
        <v/>
      </c>
      <c r="R1004" s="5" t="str">
        <f aca="false">IF(OR(A1004="",P1004="",Q1004=""),"",P1004*Q1004)</f>
        <v/>
      </c>
      <c r="S1004" s="5" t="str">
        <f aca="false">IF(R1004="","",MAX(0,R1004-G1004))</f>
        <v/>
      </c>
      <c r="T1004" s="21" t="str">
        <f aca="false">IF(S1004="","",S1004*K1004)</f>
        <v/>
      </c>
      <c r="U1004" s="5" t="str">
        <f aca="false">IF(A1004="","",IF(J1004&gt;Parâmetros!$C$14,"SIM","NAO"))</f>
        <v/>
      </c>
      <c r="V1004" s="5" t="str">
        <f aca="false">IF(B1004="","",TRIM(LEFT(B1004,IFERROR(FIND(" ",B1004)-1,LEN(B1004)))))</f>
        <v/>
      </c>
      <c r="W1004" s="22"/>
      <c r="X1004" s="5" t="str">
        <f aca="false">IF(A1004="","",IF(W1004&lt;&gt;"",W1004,V1004))</f>
        <v/>
      </c>
      <c r="Y1004" s="5" t="str">
        <f aca="false">IF(A1004="","",IF(COUNTIFS($X$2:$X$2001,X1004,$D$2:$D$2001,"&lt;&gt;"&amp;D1004,$C$2:$C$2001,C1004)&gt;0,"SIM","NAO"))</f>
        <v/>
      </c>
      <c r="Z1004" s="5" t="str">
        <f aca="false">IF(A1004="","",IF(J1004="","",IFERROR(360/J1004,"")))</f>
        <v/>
      </c>
      <c r="AA1004" s="5" t="str">
        <f aca="false">IF(A1004="","",IF(H1004=0,"Parado (sem venda 90d)",IF(Z1004&gt;12,"Alto (&gt;12x/ano)",IF(Z1004&gt;=4,"Medio (4-12x/ano)","Baixo (&lt;4x/ano)"))))</f>
        <v/>
      </c>
    </row>
    <row r="1005" customFormat="false" ht="15" hidden="false" customHeight="true" outlineLevel="0" collapsed="false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18"/>
      <c r="L1005" s="19" t="str">
        <f aca="false">IF(A1005="","",G1005*K1005)</f>
        <v/>
      </c>
      <c r="M1005" s="20"/>
      <c r="N1005" s="6"/>
      <c r="O1005" s="6"/>
      <c r="P1005" s="5" t="str">
        <f aca="false">IF(A1005="","",H1005/90)</f>
        <v/>
      </c>
      <c r="Q1005" s="5" t="str">
        <f aca="false">IF(A1005="","",IFERROR(INDEX(Parâmetros!$C$6:$C$10,MATCH(F1005,Parâmetros!$B$6:$B$10,0)),""))</f>
        <v/>
      </c>
      <c r="R1005" s="5" t="str">
        <f aca="false">IF(OR(A1005="",P1005="",Q1005=""),"",P1005*Q1005)</f>
        <v/>
      </c>
      <c r="S1005" s="5" t="str">
        <f aca="false">IF(R1005="","",MAX(0,R1005-G1005))</f>
        <v/>
      </c>
      <c r="T1005" s="21" t="str">
        <f aca="false">IF(S1005="","",S1005*K1005)</f>
        <v/>
      </c>
      <c r="U1005" s="5" t="str">
        <f aca="false">IF(A1005="","",IF(J1005&gt;Parâmetros!$C$14,"SIM","NAO"))</f>
        <v/>
      </c>
      <c r="V1005" s="5" t="str">
        <f aca="false">IF(B1005="","",TRIM(LEFT(B1005,IFERROR(FIND(" ",B1005)-1,LEN(B1005)))))</f>
        <v/>
      </c>
      <c r="W1005" s="22"/>
      <c r="X1005" s="5" t="str">
        <f aca="false">IF(A1005="","",IF(W1005&lt;&gt;"",W1005,V1005))</f>
        <v/>
      </c>
      <c r="Y1005" s="5" t="str">
        <f aca="false">IF(A1005="","",IF(COUNTIFS($X$2:$X$2001,X1005,$D$2:$D$2001,"&lt;&gt;"&amp;D1005,$C$2:$C$2001,C1005)&gt;0,"SIM","NAO"))</f>
        <v/>
      </c>
      <c r="Z1005" s="5" t="str">
        <f aca="false">IF(A1005="","",IF(J1005="","",IFERROR(360/J1005,"")))</f>
        <v/>
      </c>
      <c r="AA1005" s="5" t="str">
        <f aca="false">IF(A1005="","",IF(H1005=0,"Parado (sem venda 90d)",IF(Z1005&gt;12,"Alto (&gt;12x/ano)",IF(Z1005&gt;=4,"Medio (4-12x/ano)","Baixo (&lt;4x/ano)"))))</f>
        <v/>
      </c>
    </row>
    <row r="1006" customFormat="false" ht="15" hidden="false" customHeight="true" outlineLevel="0" collapsed="false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18"/>
      <c r="L1006" s="19" t="str">
        <f aca="false">IF(A1006="","",G1006*K1006)</f>
        <v/>
      </c>
      <c r="M1006" s="20"/>
      <c r="N1006" s="6"/>
      <c r="O1006" s="6"/>
      <c r="P1006" s="5" t="str">
        <f aca="false">IF(A1006="","",H1006/90)</f>
        <v/>
      </c>
      <c r="Q1006" s="5" t="str">
        <f aca="false">IF(A1006="","",IFERROR(INDEX(Parâmetros!$C$6:$C$10,MATCH(F1006,Parâmetros!$B$6:$B$10,0)),""))</f>
        <v/>
      </c>
      <c r="R1006" s="5" t="str">
        <f aca="false">IF(OR(A1006="",P1006="",Q1006=""),"",P1006*Q1006)</f>
        <v/>
      </c>
      <c r="S1006" s="5" t="str">
        <f aca="false">IF(R1006="","",MAX(0,R1006-G1006))</f>
        <v/>
      </c>
      <c r="T1006" s="21" t="str">
        <f aca="false">IF(S1006="","",S1006*K1006)</f>
        <v/>
      </c>
      <c r="U1006" s="5" t="str">
        <f aca="false">IF(A1006="","",IF(J1006&gt;Parâmetros!$C$14,"SIM","NAO"))</f>
        <v/>
      </c>
      <c r="V1006" s="5" t="str">
        <f aca="false">IF(B1006="","",TRIM(LEFT(B1006,IFERROR(FIND(" ",B1006)-1,LEN(B1006)))))</f>
        <v/>
      </c>
      <c r="W1006" s="22"/>
      <c r="X1006" s="5" t="str">
        <f aca="false">IF(A1006="","",IF(W1006&lt;&gt;"",W1006,V1006))</f>
        <v/>
      </c>
      <c r="Y1006" s="5" t="str">
        <f aca="false">IF(A1006="","",IF(COUNTIFS($X$2:$X$2001,X1006,$D$2:$D$2001,"&lt;&gt;"&amp;D1006,$C$2:$C$2001,C1006)&gt;0,"SIM","NAO"))</f>
        <v/>
      </c>
      <c r="Z1006" s="5" t="str">
        <f aca="false">IF(A1006="","",IF(J1006="","",IFERROR(360/J1006,"")))</f>
        <v/>
      </c>
      <c r="AA1006" s="5" t="str">
        <f aca="false">IF(A1006="","",IF(H1006=0,"Parado (sem venda 90d)",IF(Z1006&gt;12,"Alto (&gt;12x/ano)",IF(Z1006&gt;=4,"Medio (4-12x/ano)","Baixo (&lt;4x/ano)"))))</f>
        <v/>
      </c>
    </row>
    <row r="1007" customFormat="false" ht="15" hidden="false" customHeight="true" outlineLevel="0" collapsed="false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18"/>
      <c r="L1007" s="19" t="str">
        <f aca="false">IF(A1007="","",G1007*K1007)</f>
        <v/>
      </c>
      <c r="M1007" s="20"/>
      <c r="N1007" s="6"/>
      <c r="O1007" s="6"/>
      <c r="P1007" s="5" t="str">
        <f aca="false">IF(A1007="","",H1007/90)</f>
        <v/>
      </c>
      <c r="Q1007" s="5" t="str">
        <f aca="false">IF(A1007="","",IFERROR(INDEX(Parâmetros!$C$6:$C$10,MATCH(F1007,Parâmetros!$B$6:$B$10,0)),""))</f>
        <v/>
      </c>
      <c r="R1007" s="5" t="str">
        <f aca="false">IF(OR(A1007="",P1007="",Q1007=""),"",P1007*Q1007)</f>
        <v/>
      </c>
      <c r="S1007" s="5" t="str">
        <f aca="false">IF(R1007="","",MAX(0,R1007-G1007))</f>
        <v/>
      </c>
      <c r="T1007" s="21" t="str">
        <f aca="false">IF(S1007="","",S1007*K1007)</f>
        <v/>
      </c>
      <c r="U1007" s="5" t="str">
        <f aca="false">IF(A1007="","",IF(J1007&gt;Parâmetros!$C$14,"SIM","NAO"))</f>
        <v/>
      </c>
      <c r="V1007" s="5" t="str">
        <f aca="false">IF(B1007="","",TRIM(LEFT(B1007,IFERROR(FIND(" ",B1007)-1,LEN(B1007)))))</f>
        <v/>
      </c>
      <c r="W1007" s="22"/>
      <c r="X1007" s="5" t="str">
        <f aca="false">IF(A1007="","",IF(W1007&lt;&gt;"",W1007,V1007))</f>
        <v/>
      </c>
      <c r="Y1007" s="5" t="str">
        <f aca="false">IF(A1007="","",IF(COUNTIFS($X$2:$X$2001,X1007,$D$2:$D$2001,"&lt;&gt;"&amp;D1007,$C$2:$C$2001,C1007)&gt;0,"SIM","NAO"))</f>
        <v/>
      </c>
      <c r="Z1007" s="5" t="str">
        <f aca="false">IF(A1007="","",IF(J1007="","",IFERROR(360/J1007,"")))</f>
        <v/>
      </c>
      <c r="AA1007" s="5" t="str">
        <f aca="false">IF(A1007="","",IF(H1007=0,"Parado (sem venda 90d)",IF(Z1007&gt;12,"Alto (&gt;12x/ano)",IF(Z1007&gt;=4,"Medio (4-12x/ano)","Baixo (&lt;4x/ano)"))))</f>
        <v/>
      </c>
    </row>
    <row r="1008" customFormat="false" ht="15" hidden="false" customHeight="true" outlineLevel="0" collapsed="false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18"/>
      <c r="L1008" s="19" t="str">
        <f aca="false">IF(A1008="","",G1008*K1008)</f>
        <v/>
      </c>
      <c r="M1008" s="20"/>
      <c r="N1008" s="6"/>
      <c r="O1008" s="6"/>
      <c r="P1008" s="5" t="str">
        <f aca="false">IF(A1008="","",H1008/90)</f>
        <v/>
      </c>
      <c r="Q1008" s="5" t="str">
        <f aca="false">IF(A1008="","",IFERROR(INDEX(Parâmetros!$C$6:$C$10,MATCH(F1008,Parâmetros!$B$6:$B$10,0)),""))</f>
        <v/>
      </c>
      <c r="R1008" s="5" t="str">
        <f aca="false">IF(OR(A1008="",P1008="",Q1008=""),"",P1008*Q1008)</f>
        <v/>
      </c>
      <c r="S1008" s="5" t="str">
        <f aca="false">IF(R1008="","",MAX(0,R1008-G1008))</f>
        <v/>
      </c>
      <c r="T1008" s="21" t="str">
        <f aca="false">IF(S1008="","",S1008*K1008)</f>
        <v/>
      </c>
      <c r="U1008" s="5" t="str">
        <f aca="false">IF(A1008="","",IF(J1008&gt;Parâmetros!$C$14,"SIM","NAO"))</f>
        <v/>
      </c>
      <c r="V1008" s="5" t="str">
        <f aca="false">IF(B1008="","",TRIM(LEFT(B1008,IFERROR(FIND(" ",B1008)-1,LEN(B1008)))))</f>
        <v/>
      </c>
      <c r="W1008" s="22"/>
      <c r="X1008" s="5" t="str">
        <f aca="false">IF(A1008="","",IF(W1008&lt;&gt;"",W1008,V1008))</f>
        <v/>
      </c>
      <c r="Y1008" s="5" t="str">
        <f aca="false">IF(A1008="","",IF(COUNTIFS($X$2:$X$2001,X1008,$D$2:$D$2001,"&lt;&gt;"&amp;D1008,$C$2:$C$2001,C1008)&gt;0,"SIM","NAO"))</f>
        <v/>
      </c>
      <c r="Z1008" s="5" t="str">
        <f aca="false">IF(A1008="","",IF(J1008="","",IFERROR(360/J1008,"")))</f>
        <v/>
      </c>
      <c r="AA1008" s="5" t="str">
        <f aca="false">IF(A1008="","",IF(H1008=0,"Parado (sem venda 90d)",IF(Z1008&gt;12,"Alto (&gt;12x/ano)",IF(Z1008&gt;=4,"Medio (4-12x/ano)","Baixo (&lt;4x/ano)"))))</f>
        <v/>
      </c>
    </row>
    <row r="1009" customFormat="false" ht="15" hidden="false" customHeight="true" outlineLevel="0" collapsed="false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18"/>
      <c r="L1009" s="19" t="str">
        <f aca="false">IF(A1009="","",G1009*K1009)</f>
        <v/>
      </c>
      <c r="M1009" s="20"/>
      <c r="N1009" s="6"/>
      <c r="O1009" s="6"/>
      <c r="P1009" s="5" t="str">
        <f aca="false">IF(A1009="","",H1009/90)</f>
        <v/>
      </c>
      <c r="Q1009" s="5" t="str">
        <f aca="false">IF(A1009="","",IFERROR(INDEX(Parâmetros!$C$6:$C$10,MATCH(F1009,Parâmetros!$B$6:$B$10,0)),""))</f>
        <v/>
      </c>
      <c r="R1009" s="5" t="str">
        <f aca="false">IF(OR(A1009="",P1009="",Q1009=""),"",P1009*Q1009)</f>
        <v/>
      </c>
      <c r="S1009" s="5" t="str">
        <f aca="false">IF(R1009="","",MAX(0,R1009-G1009))</f>
        <v/>
      </c>
      <c r="T1009" s="21" t="str">
        <f aca="false">IF(S1009="","",S1009*K1009)</f>
        <v/>
      </c>
      <c r="U1009" s="5" t="str">
        <f aca="false">IF(A1009="","",IF(J1009&gt;Parâmetros!$C$14,"SIM","NAO"))</f>
        <v/>
      </c>
      <c r="V1009" s="5" t="str">
        <f aca="false">IF(B1009="","",TRIM(LEFT(B1009,IFERROR(FIND(" ",B1009)-1,LEN(B1009)))))</f>
        <v/>
      </c>
      <c r="W1009" s="22"/>
      <c r="X1009" s="5" t="str">
        <f aca="false">IF(A1009="","",IF(W1009&lt;&gt;"",W1009,V1009))</f>
        <v/>
      </c>
      <c r="Y1009" s="5" t="str">
        <f aca="false">IF(A1009="","",IF(COUNTIFS($X$2:$X$2001,X1009,$D$2:$D$2001,"&lt;&gt;"&amp;D1009,$C$2:$C$2001,C1009)&gt;0,"SIM","NAO"))</f>
        <v/>
      </c>
      <c r="Z1009" s="5" t="str">
        <f aca="false">IF(A1009="","",IF(J1009="","",IFERROR(360/J1009,"")))</f>
        <v/>
      </c>
      <c r="AA1009" s="5" t="str">
        <f aca="false">IF(A1009="","",IF(H1009=0,"Parado (sem venda 90d)",IF(Z1009&gt;12,"Alto (&gt;12x/ano)",IF(Z1009&gt;=4,"Medio (4-12x/ano)","Baixo (&lt;4x/ano)"))))</f>
        <v/>
      </c>
    </row>
    <row r="1010" customFormat="false" ht="15" hidden="false" customHeight="true" outlineLevel="0" collapsed="false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18"/>
      <c r="L1010" s="19" t="str">
        <f aca="false">IF(A1010="","",G1010*K1010)</f>
        <v/>
      </c>
      <c r="M1010" s="20"/>
      <c r="N1010" s="6"/>
      <c r="O1010" s="6"/>
      <c r="P1010" s="5" t="str">
        <f aca="false">IF(A1010="","",H1010/90)</f>
        <v/>
      </c>
      <c r="Q1010" s="5" t="str">
        <f aca="false">IF(A1010="","",IFERROR(INDEX(Parâmetros!$C$6:$C$10,MATCH(F1010,Parâmetros!$B$6:$B$10,0)),""))</f>
        <v/>
      </c>
      <c r="R1010" s="5" t="str">
        <f aca="false">IF(OR(A1010="",P1010="",Q1010=""),"",P1010*Q1010)</f>
        <v/>
      </c>
      <c r="S1010" s="5" t="str">
        <f aca="false">IF(R1010="","",MAX(0,R1010-G1010))</f>
        <v/>
      </c>
      <c r="T1010" s="21" t="str">
        <f aca="false">IF(S1010="","",S1010*K1010)</f>
        <v/>
      </c>
      <c r="U1010" s="5" t="str">
        <f aca="false">IF(A1010="","",IF(J1010&gt;Parâmetros!$C$14,"SIM","NAO"))</f>
        <v/>
      </c>
      <c r="V1010" s="5" t="str">
        <f aca="false">IF(B1010="","",TRIM(LEFT(B1010,IFERROR(FIND(" ",B1010)-1,LEN(B1010)))))</f>
        <v/>
      </c>
      <c r="W1010" s="22"/>
      <c r="X1010" s="5" t="str">
        <f aca="false">IF(A1010="","",IF(W1010&lt;&gt;"",W1010,V1010))</f>
        <v/>
      </c>
      <c r="Y1010" s="5" t="str">
        <f aca="false">IF(A1010="","",IF(COUNTIFS($X$2:$X$2001,X1010,$D$2:$D$2001,"&lt;&gt;"&amp;D1010,$C$2:$C$2001,C1010)&gt;0,"SIM","NAO"))</f>
        <v/>
      </c>
      <c r="Z1010" s="5" t="str">
        <f aca="false">IF(A1010="","",IF(J1010="","",IFERROR(360/J1010,"")))</f>
        <v/>
      </c>
      <c r="AA1010" s="5" t="str">
        <f aca="false">IF(A1010="","",IF(H1010=0,"Parado (sem venda 90d)",IF(Z1010&gt;12,"Alto (&gt;12x/ano)",IF(Z1010&gt;=4,"Medio (4-12x/ano)","Baixo (&lt;4x/ano)"))))</f>
        <v/>
      </c>
    </row>
    <row r="1011" customFormat="false" ht="15" hidden="false" customHeight="true" outlineLevel="0" collapsed="false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18"/>
      <c r="L1011" s="19" t="str">
        <f aca="false">IF(A1011="","",G1011*K1011)</f>
        <v/>
      </c>
      <c r="M1011" s="20"/>
      <c r="N1011" s="6"/>
      <c r="O1011" s="6"/>
      <c r="P1011" s="5" t="str">
        <f aca="false">IF(A1011="","",H1011/90)</f>
        <v/>
      </c>
      <c r="Q1011" s="5" t="str">
        <f aca="false">IF(A1011="","",IFERROR(INDEX(Parâmetros!$C$6:$C$10,MATCH(F1011,Parâmetros!$B$6:$B$10,0)),""))</f>
        <v/>
      </c>
      <c r="R1011" s="5" t="str">
        <f aca="false">IF(OR(A1011="",P1011="",Q1011=""),"",P1011*Q1011)</f>
        <v/>
      </c>
      <c r="S1011" s="5" t="str">
        <f aca="false">IF(R1011="","",MAX(0,R1011-G1011))</f>
        <v/>
      </c>
      <c r="T1011" s="21" t="str">
        <f aca="false">IF(S1011="","",S1011*K1011)</f>
        <v/>
      </c>
      <c r="U1011" s="5" t="str">
        <f aca="false">IF(A1011="","",IF(J1011&gt;Parâmetros!$C$14,"SIM","NAO"))</f>
        <v/>
      </c>
      <c r="V1011" s="5" t="str">
        <f aca="false">IF(B1011="","",TRIM(LEFT(B1011,IFERROR(FIND(" ",B1011)-1,LEN(B1011)))))</f>
        <v/>
      </c>
      <c r="W1011" s="22"/>
      <c r="X1011" s="5" t="str">
        <f aca="false">IF(A1011="","",IF(W1011&lt;&gt;"",W1011,V1011))</f>
        <v/>
      </c>
      <c r="Y1011" s="5" t="str">
        <f aca="false">IF(A1011="","",IF(COUNTIFS($X$2:$X$2001,X1011,$D$2:$D$2001,"&lt;&gt;"&amp;D1011,$C$2:$C$2001,C1011)&gt;0,"SIM","NAO"))</f>
        <v/>
      </c>
      <c r="Z1011" s="5" t="str">
        <f aca="false">IF(A1011="","",IF(J1011="","",IFERROR(360/J1011,"")))</f>
        <v/>
      </c>
      <c r="AA1011" s="5" t="str">
        <f aca="false">IF(A1011="","",IF(H1011=0,"Parado (sem venda 90d)",IF(Z1011&gt;12,"Alto (&gt;12x/ano)",IF(Z1011&gt;=4,"Medio (4-12x/ano)","Baixo (&lt;4x/ano)"))))</f>
        <v/>
      </c>
    </row>
    <row r="1012" customFormat="false" ht="15" hidden="false" customHeight="true" outlineLevel="0" collapsed="false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18"/>
      <c r="L1012" s="19" t="str">
        <f aca="false">IF(A1012="","",G1012*K1012)</f>
        <v/>
      </c>
      <c r="M1012" s="20"/>
      <c r="N1012" s="6"/>
      <c r="O1012" s="6"/>
      <c r="P1012" s="5" t="str">
        <f aca="false">IF(A1012="","",H1012/90)</f>
        <v/>
      </c>
      <c r="Q1012" s="5" t="str">
        <f aca="false">IF(A1012="","",IFERROR(INDEX(Parâmetros!$C$6:$C$10,MATCH(F1012,Parâmetros!$B$6:$B$10,0)),""))</f>
        <v/>
      </c>
      <c r="R1012" s="5" t="str">
        <f aca="false">IF(OR(A1012="",P1012="",Q1012=""),"",P1012*Q1012)</f>
        <v/>
      </c>
      <c r="S1012" s="5" t="str">
        <f aca="false">IF(R1012="","",MAX(0,R1012-G1012))</f>
        <v/>
      </c>
      <c r="T1012" s="21" t="str">
        <f aca="false">IF(S1012="","",S1012*K1012)</f>
        <v/>
      </c>
      <c r="U1012" s="5" t="str">
        <f aca="false">IF(A1012="","",IF(J1012&gt;Parâmetros!$C$14,"SIM","NAO"))</f>
        <v/>
      </c>
      <c r="V1012" s="5" t="str">
        <f aca="false">IF(B1012="","",TRIM(LEFT(B1012,IFERROR(FIND(" ",B1012)-1,LEN(B1012)))))</f>
        <v/>
      </c>
      <c r="W1012" s="22"/>
      <c r="X1012" s="5" t="str">
        <f aca="false">IF(A1012="","",IF(W1012&lt;&gt;"",W1012,V1012))</f>
        <v/>
      </c>
      <c r="Y1012" s="5" t="str">
        <f aca="false">IF(A1012="","",IF(COUNTIFS($X$2:$X$2001,X1012,$D$2:$D$2001,"&lt;&gt;"&amp;D1012,$C$2:$C$2001,C1012)&gt;0,"SIM","NAO"))</f>
        <v/>
      </c>
      <c r="Z1012" s="5" t="str">
        <f aca="false">IF(A1012="","",IF(J1012="","",IFERROR(360/J1012,"")))</f>
        <v/>
      </c>
      <c r="AA1012" s="5" t="str">
        <f aca="false">IF(A1012="","",IF(H1012=0,"Parado (sem venda 90d)",IF(Z1012&gt;12,"Alto (&gt;12x/ano)",IF(Z1012&gt;=4,"Medio (4-12x/ano)","Baixo (&lt;4x/ano)"))))</f>
        <v/>
      </c>
    </row>
    <row r="1013" customFormat="false" ht="15" hidden="false" customHeight="true" outlineLevel="0" collapsed="false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18"/>
      <c r="L1013" s="19" t="str">
        <f aca="false">IF(A1013="","",G1013*K1013)</f>
        <v/>
      </c>
      <c r="M1013" s="20"/>
      <c r="N1013" s="6"/>
      <c r="O1013" s="6"/>
      <c r="P1013" s="5" t="str">
        <f aca="false">IF(A1013="","",H1013/90)</f>
        <v/>
      </c>
      <c r="Q1013" s="5" t="str">
        <f aca="false">IF(A1013="","",IFERROR(INDEX(Parâmetros!$C$6:$C$10,MATCH(F1013,Parâmetros!$B$6:$B$10,0)),""))</f>
        <v/>
      </c>
      <c r="R1013" s="5" t="str">
        <f aca="false">IF(OR(A1013="",P1013="",Q1013=""),"",P1013*Q1013)</f>
        <v/>
      </c>
      <c r="S1013" s="5" t="str">
        <f aca="false">IF(R1013="","",MAX(0,R1013-G1013))</f>
        <v/>
      </c>
      <c r="T1013" s="21" t="str">
        <f aca="false">IF(S1013="","",S1013*K1013)</f>
        <v/>
      </c>
      <c r="U1013" s="5" t="str">
        <f aca="false">IF(A1013="","",IF(J1013&gt;Parâmetros!$C$14,"SIM","NAO"))</f>
        <v/>
      </c>
      <c r="V1013" s="5" t="str">
        <f aca="false">IF(B1013="","",TRIM(LEFT(B1013,IFERROR(FIND(" ",B1013)-1,LEN(B1013)))))</f>
        <v/>
      </c>
      <c r="W1013" s="22"/>
      <c r="X1013" s="5" t="str">
        <f aca="false">IF(A1013="","",IF(W1013&lt;&gt;"",W1013,V1013))</f>
        <v/>
      </c>
      <c r="Y1013" s="5" t="str">
        <f aca="false">IF(A1013="","",IF(COUNTIFS($X$2:$X$2001,X1013,$D$2:$D$2001,"&lt;&gt;"&amp;D1013,$C$2:$C$2001,C1013)&gt;0,"SIM","NAO"))</f>
        <v/>
      </c>
      <c r="Z1013" s="5" t="str">
        <f aca="false">IF(A1013="","",IF(J1013="","",IFERROR(360/J1013,"")))</f>
        <v/>
      </c>
      <c r="AA1013" s="5" t="str">
        <f aca="false">IF(A1013="","",IF(H1013=0,"Parado (sem venda 90d)",IF(Z1013&gt;12,"Alto (&gt;12x/ano)",IF(Z1013&gt;=4,"Medio (4-12x/ano)","Baixo (&lt;4x/ano)"))))</f>
        <v/>
      </c>
    </row>
    <row r="1014" customFormat="false" ht="15" hidden="false" customHeight="true" outlineLevel="0" collapsed="false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18"/>
      <c r="L1014" s="19" t="str">
        <f aca="false">IF(A1014="","",G1014*K1014)</f>
        <v/>
      </c>
      <c r="M1014" s="20"/>
      <c r="N1014" s="6"/>
      <c r="O1014" s="6"/>
      <c r="P1014" s="5" t="str">
        <f aca="false">IF(A1014="","",H1014/90)</f>
        <v/>
      </c>
      <c r="Q1014" s="5" t="str">
        <f aca="false">IF(A1014="","",IFERROR(INDEX(Parâmetros!$C$6:$C$10,MATCH(F1014,Parâmetros!$B$6:$B$10,0)),""))</f>
        <v/>
      </c>
      <c r="R1014" s="5" t="str">
        <f aca="false">IF(OR(A1014="",P1014="",Q1014=""),"",P1014*Q1014)</f>
        <v/>
      </c>
      <c r="S1014" s="5" t="str">
        <f aca="false">IF(R1014="","",MAX(0,R1014-G1014))</f>
        <v/>
      </c>
      <c r="T1014" s="21" t="str">
        <f aca="false">IF(S1014="","",S1014*K1014)</f>
        <v/>
      </c>
      <c r="U1014" s="5" t="str">
        <f aca="false">IF(A1014="","",IF(J1014&gt;Parâmetros!$C$14,"SIM","NAO"))</f>
        <v/>
      </c>
      <c r="V1014" s="5" t="str">
        <f aca="false">IF(B1014="","",TRIM(LEFT(B1014,IFERROR(FIND(" ",B1014)-1,LEN(B1014)))))</f>
        <v/>
      </c>
      <c r="W1014" s="22"/>
      <c r="X1014" s="5" t="str">
        <f aca="false">IF(A1014="","",IF(W1014&lt;&gt;"",W1014,V1014))</f>
        <v/>
      </c>
      <c r="Y1014" s="5" t="str">
        <f aca="false">IF(A1014="","",IF(COUNTIFS($X$2:$X$2001,X1014,$D$2:$D$2001,"&lt;&gt;"&amp;D1014,$C$2:$C$2001,C1014)&gt;0,"SIM","NAO"))</f>
        <v/>
      </c>
      <c r="Z1014" s="5" t="str">
        <f aca="false">IF(A1014="","",IF(J1014="","",IFERROR(360/J1014,"")))</f>
        <v/>
      </c>
      <c r="AA1014" s="5" t="str">
        <f aca="false">IF(A1014="","",IF(H1014=0,"Parado (sem venda 90d)",IF(Z1014&gt;12,"Alto (&gt;12x/ano)",IF(Z1014&gt;=4,"Medio (4-12x/ano)","Baixo (&lt;4x/ano)"))))</f>
        <v/>
      </c>
    </row>
    <row r="1015" customFormat="false" ht="15" hidden="false" customHeight="true" outlineLevel="0" collapsed="false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18"/>
      <c r="L1015" s="19" t="str">
        <f aca="false">IF(A1015="","",G1015*K1015)</f>
        <v/>
      </c>
      <c r="M1015" s="20"/>
      <c r="N1015" s="6"/>
      <c r="O1015" s="6"/>
      <c r="P1015" s="5" t="str">
        <f aca="false">IF(A1015="","",H1015/90)</f>
        <v/>
      </c>
      <c r="Q1015" s="5" t="str">
        <f aca="false">IF(A1015="","",IFERROR(INDEX(Parâmetros!$C$6:$C$10,MATCH(F1015,Parâmetros!$B$6:$B$10,0)),""))</f>
        <v/>
      </c>
      <c r="R1015" s="5" t="str">
        <f aca="false">IF(OR(A1015="",P1015="",Q1015=""),"",P1015*Q1015)</f>
        <v/>
      </c>
      <c r="S1015" s="5" t="str">
        <f aca="false">IF(R1015="","",MAX(0,R1015-G1015))</f>
        <v/>
      </c>
      <c r="T1015" s="21" t="str">
        <f aca="false">IF(S1015="","",S1015*K1015)</f>
        <v/>
      </c>
      <c r="U1015" s="5" t="str">
        <f aca="false">IF(A1015="","",IF(J1015&gt;Parâmetros!$C$14,"SIM","NAO"))</f>
        <v/>
      </c>
      <c r="V1015" s="5" t="str">
        <f aca="false">IF(B1015="","",TRIM(LEFT(B1015,IFERROR(FIND(" ",B1015)-1,LEN(B1015)))))</f>
        <v/>
      </c>
      <c r="W1015" s="22"/>
      <c r="X1015" s="5" t="str">
        <f aca="false">IF(A1015="","",IF(W1015&lt;&gt;"",W1015,V1015))</f>
        <v/>
      </c>
      <c r="Y1015" s="5" t="str">
        <f aca="false">IF(A1015="","",IF(COUNTIFS($X$2:$X$2001,X1015,$D$2:$D$2001,"&lt;&gt;"&amp;D1015,$C$2:$C$2001,C1015)&gt;0,"SIM","NAO"))</f>
        <v/>
      </c>
      <c r="Z1015" s="5" t="str">
        <f aca="false">IF(A1015="","",IF(J1015="","",IFERROR(360/J1015,"")))</f>
        <v/>
      </c>
      <c r="AA1015" s="5" t="str">
        <f aca="false">IF(A1015="","",IF(H1015=0,"Parado (sem venda 90d)",IF(Z1015&gt;12,"Alto (&gt;12x/ano)",IF(Z1015&gt;=4,"Medio (4-12x/ano)","Baixo (&lt;4x/ano)"))))</f>
        <v/>
      </c>
    </row>
    <row r="1016" customFormat="false" ht="15" hidden="false" customHeight="true" outlineLevel="0" collapsed="false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18"/>
      <c r="L1016" s="19" t="str">
        <f aca="false">IF(A1016="","",G1016*K1016)</f>
        <v/>
      </c>
      <c r="M1016" s="20"/>
      <c r="N1016" s="6"/>
      <c r="O1016" s="6"/>
      <c r="P1016" s="5" t="str">
        <f aca="false">IF(A1016="","",H1016/90)</f>
        <v/>
      </c>
      <c r="Q1016" s="5" t="str">
        <f aca="false">IF(A1016="","",IFERROR(INDEX(Parâmetros!$C$6:$C$10,MATCH(F1016,Parâmetros!$B$6:$B$10,0)),""))</f>
        <v/>
      </c>
      <c r="R1016" s="5" t="str">
        <f aca="false">IF(OR(A1016="",P1016="",Q1016=""),"",P1016*Q1016)</f>
        <v/>
      </c>
      <c r="S1016" s="5" t="str">
        <f aca="false">IF(R1016="","",MAX(0,R1016-G1016))</f>
        <v/>
      </c>
      <c r="T1016" s="21" t="str">
        <f aca="false">IF(S1016="","",S1016*K1016)</f>
        <v/>
      </c>
      <c r="U1016" s="5" t="str">
        <f aca="false">IF(A1016="","",IF(J1016&gt;Parâmetros!$C$14,"SIM","NAO"))</f>
        <v/>
      </c>
      <c r="V1016" s="5" t="str">
        <f aca="false">IF(B1016="","",TRIM(LEFT(B1016,IFERROR(FIND(" ",B1016)-1,LEN(B1016)))))</f>
        <v/>
      </c>
      <c r="W1016" s="22"/>
      <c r="X1016" s="5" t="str">
        <f aca="false">IF(A1016="","",IF(W1016&lt;&gt;"",W1016,V1016))</f>
        <v/>
      </c>
      <c r="Y1016" s="5" t="str">
        <f aca="false">IF(A1016="","",IF(COUNTIFS($X$2:$X$2001,X1016,$D$2:$D$2001,"&lt;&gt;"&amp;D1016,$C$2:$C$2001,C1016)&gt;0,"SIM","NAO"))</f>
        <v/>
      </c>
      <c r="Z1016" s="5" t="str">
        <f aca="false">IF(A1016="","",IF(J1016="","",IFERROR(360/J1016,"")))</f>
        <v/>
      </c>
      <c r="AA1016" s="5" t="str">
        <f aca="false">IF(A1016="","",IF(H1016=0,"Parado (sem venda 90d)",IF(Z1016&gt;12,"Alto (&gt;12x/ano)",IF(Z1016&gt;=4,"Medio (4-12x/ano)","Baixo (&lt;4x/ano)"))))</f>
        <v/>
      </c>
    </row>
    <row r="1017" customFormat="false" ht="15" hidden="false" customHeight="true" outlineLevel="0" collapsed="false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18"/>
      <c r="L1017" s="19" t="str">
        <f aca="false">IF(A1017="","",G1017*K1017)</f>
        <v/>
      </c>
      <c r="M1017" s="20"/>
      <c r="N1017" s="6"/>
      <c r="O1017" s="6"/>
      <c r="P1017" s="5" t="str">
        <f aca="false">IF(A1017="","",H1017/90)</f>
        <v/>
      </c>
      <c r="Q1017" s="5" t="str">
        <f aca="false">IF(A1017="","",IFERROR(INDEX(Parâmetros!$C$6:$C$10,MATCH(F1017,Parâmetros!$B$6:$B$10,0)),""))</f>
        <v/>
      </c>
      <c r="R1017" s="5" t="str">
        <f aca="false">IF(OR(A1017="",P1017="",Q1017=""),"",P1017*Q1017)</f>
        <v/>
      </c>
      <c r="S1017" s="5" t="str">
        <f aca="false">IF(R1017="","",MAX(0,R1017-G1017))</f>
        <v/>
      </c>
      <c r="T1017" s="21" t="str">
        <f aca="false">IF(S1017="","",S1017*K1017)</f>
        <v/>
      </c>
      <c r="U1017" s="5" t="str">
        <f aca="false">IF(A1017="","",IF(J1017&gt;Parâmetros!$C$14,"SIM","NAO"))</f>
        <v/>
      </c>
      <c r="V1017" s="5" t="str">
        <f aca="false">IF(B1017="","",TRIM(LEFT(B1017,IFERROR(FIND(" ",B1017)-1,LEN(B1017)))))</f>
        <v/>
      </c>
      <c r="W1017" s="22"/>
      <c r="X1017" s="5" t="str">
        <f aca="false">IF(A1017="","",IF(W1017&lt;&gt;"",W1017,V1017))</f>
        <v/>
      </c>
      <c r="Y1017" s="5" t="str">
        <f aca="false">IF(A1017="","",IF(COUNTIFS($X$2:$X$2001,X1017,$D$2:$D$2001,"&lt;&gt;"&amp;D1017,$C$2:$C$2001,C1017)&gt;0,"SIM","NAO"))</f>
        <v/>
      </c>
      <c r="Z1017" s="5" t="str">
        <f aca="false">IF(A1017="","",IF(J1017="","",IFERROR(360/J1017,"")))</f>
        <v/>
      </c>
      <c r="AA1017" s="5" t="str">
        <f aca="false">IF(A1017="","",IF(H1017=0,"Parado (sem venda 90d)",IF(Z1017&gt;12,"Alto (&gt;12x/ano)",IF(Z1017&gt;=4,"Medio (4-12x/ano)","Baixo (&lt;4x/ano)"))))</f>
        <v/>
      </c>
    </row>
    <row r="1018" customFormat="false" ht="15" hidden="false" customHeight="true" outlineLevel="0" collapsed="false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18"/>
      <c r="L1018" s="19" t="str">
        <f aca="false">IF(A1018="","",G1018*K1018)</f>
        <v/>
      </c>
      <c r="M1018" s="20"/>
      <c r="N1018" s="6"/>
      <c r="O1018" s="6"/>
      <c r="P1018" s="5" t="str">
        <f aca="false">IF(A1018="","",H1018/90)</f>
        <v/>
      </c>
      <c r="Q1018" s="5" t="str">
        <f aca="false">IF(A1018="","",IFERROR(INDEX(Parâmetros!$C$6:$C$10,MATCH(F1018,Parâmetros!$B$6:$B$10,0)),""))</f>
        <v/>
      </c>
      <c r="R1018" s="5" t="str">
        <f aca="false">IF(OR(A1018="",P1018="",Q1018=""),"",P1018*Q1018)</f>
        <v/>
      </c>
      <c r="S1018" s="5" t="str">
        <f aca="false">IF(R1018="","",MAX(0,R1018-G1018))</f>
        <v/>
      </c>
      <c r="T1018" s="21" t="str">
        <f aca="false">IF(S1018="","",S1018*K1018)</f>
        <v/>
      </c>
      <c r="U1018" s="5" t="str">
        <f aca="false">IF(A1018="","",IF(J1018&gt;Parâmetros!$C$14,"SIM","NAO"))</f>
        <v/>
      </c>
      <c r="V1018" s="5" t="str">
        <f aca="false">IF(B1018="","",TRIM(LEFT(B1018,IFERROR(FIND(" ",B1018)-1,LEN(B1018)))))</f>
        <v/>
      </c>
      <c r="W1018" s="22"/>
      <c r="X1018" s="5" t="str">
        <f aca="false">IF(A1018="","",IF(W1018&lt;&gt;"",W1018,V1018))</f>
        <v/>
      </c>
      <c r="Y1018" s="5" t="str">
        <f aca="false">IF(A1018="","",IF(COUNTIFS($X$2:$X$2001,X1018,$D$2:$D$2001,"&lt;&gt;"&amp;D1018,$C$2:$C$2001,C1018)&gt;0,"SIM","NAO"))</f>
        <v/>
      </c>
      <c r="Z1018" s="5" t="str">
        <f aca="false">IF(A1018="","",IF(J1018="","",IFERROR(360/J1018,"")))</f>
        <v/>
      </c>
      <c r="AA1018" s="5" t="str">
        <f aca="false">IF(A1018="","",IF(H1018=0,"Parado (sem venda 90d)",IF(Z1018&gt;12,"Alto (&gt;12x/ano)",IF(Z1018&gt;=4,"Medio (4-12x/ano)","Baixo (&lt;4x/ano)"))))</f>
        <v/>
      </c>
    </row>
    <row r="1019" customFormat="false" ht="15" hidden="false" customHeight="true" outlineLevel="0" collapsed="false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18"/>
      <c r="L1019" s="19" t="str">
        <f aca="false">IF(A1019="","",G1019*K1019)</f>
        <v/>
      </c>
      <c r="M1019" s="20"/>
      <c r="N1019" s="6"/>
      <c r="O1019" s="6"/>
      <c r="P1019" s="5" t="str">
        <f aca="false">IF(A1019="","",H1019/90)</f>
        <v/>
      </c>
      <c r="Q1019" s="5" t="str">
        <f aca="false">IF(A1019="","",IFERROR(INDEX(Parâmetros!$C$6:$C$10,MATCH(F1019,Parâmetros!$B$6:$B$10,0)),""))</f>
        <v/>
      </c>
      <c r="R1019" s="5" t="str">
        <f aca="false">IF(OR(A1019="",P1019="",Q1019=""),"",P1019*Q1019)</f>
        <v/>
      </c>
      <c r="S1019" s="5" t="str">
        <f aca="false">IF(R1019="","",MAX(0,R1019-G1019))</f>
        <v/>
      </c>
      <c r="T1019" s="21" t="str">
        <f aca="false">IF(S1019="","",S1019*K1019)</f>
        <v/>
      </c>
      <c r="U1019" s="5" t="str">
        <f aca="false">IF(A1019="","",IF(J1019&gt;Parâmetros!$C$14,"SIM","NAO"))</f>
        <v/>
      </c>
      <c r="V1019" s="5" t="str">
        <f aca="false">IF(B1019="","",TRIM(LEFT(B1019,IFERROR(FIND(" ",B1019)-1,LEN(B1019)))))</f>
        <v/>
      </c>
      <c r="W1019" s="22"/>
      <c r="X1019" s="5" t="str">
        <f aca="false">IF(A1019="","",IF(W1019&lt;&gt;"",W1019,V1019))</f>
        <v/>
      </c>
      <c r="Y1019" s="5" t="str">
        <f aca="false">IF(A1019="","",IF(COUNTIFS($X$2:$X$2001,X1019,$D$2:$D$2001,"&lt;&gt;"&amp;D1019,$C$2:$C$2001,C1019)&gt;0,"SIM","NAO"))</f>
        <v/>
      </c>
      <c r="Z1019" s="5" t="str">
        <f aca="false">IF(A1019="","",IF(J1019="","",IFERROR(360/J1019,"")))</f>
        <v/>
      </c>
      <c r="AA1019" s="5" t="str">
        <f aca="false">IF(A1019="","",IF(H1019=0,"Parado (sem venda 90d)",IF(Z1019&gt;12,"Alto (&gt;12x/ano)",IF(Z1019&gt;=4,"Medio (4-12x/ano)","Baixo (&lt;4x/ano)"))))</f>
        <v/>
      </c>
    </row>
    <row r="1020" customFormat="false" ht="15" hidden="false" customHeight="true" outlineLevel="0" collapsed="false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18"/>
      <c r="L1020" s="19" t="str">
        <f aca="false">IF(A1020="","",G1020*K1020)</f>
        <v/>
      </c>
      <c r="M1020" s="20"/>
      <c r="N1020" s="6"/>
      <c r="O1020" s="6"/>
      <c r="P1020" s="5" t="str">
        <f aca="false">IF(A1020="","",H1020/90)</f>
        <v/>
      </c>
      <c r="Q1020" s="5" t="str">
        <f aca="false">IF(A1020="","",IFERROR(INDEX(Parâmetros!$C$6:$C$10,MATCH(F1020,Parâmetros!$B$6:$B$10,0)),""))</f>
        <v/>
      </c>
      <c r="R1020" s="5" t="str">
        <f aca="false">IF(OR(A1020="",P1020="",Q1020=""),"",P1020*Q1020)</f>
        <v/>
      </c>
      <c r="S1020" s="5" t="str">
        <f aca="false">IF(R1020="","",MAX(0,R1020-G1020))</f>
        <v/>
      </c>
      <c r="T1020" s="21" t="str">
        <f aca="false">IF(S1020="","",S1020*K1020)</f>
        <v/>
      </c>
      <c r="U1020" s="5" t="str">
        <f aca="false">IF(A1020="","",IF(J1020&gt;Parâmetros!$C$14,"SIM","NAO"))</f>
        <v/>
      </c>
      <c r="V1020" s="5" t="str">
        <f aca="false">IF(B1020="","",TRIM(LEFT(B1020,IFERROR(FIND(" ",B1020)-1,LEN(B1020)))))</f>
        <v/>
      </c>
      <c r="W1020" s="22"/>
      <c r="X1020" s="5" t="str">
        <f aca="false">IF(A1020="","",IF(W1020&lt;&gt;"",W1020,V1020))</f>
        <v/>
      </c>
      <c r="Y1020" s="5" t="str">
        <f aca="false">IF(A1020="","",IF(COUNTIFS($X$2:$X$2001,X1020,$D$2:$D$2001,"&lt;&gt;"&amp;D1020,$C$2:$C$2001,C1020)&gt;0,"SIM","NAO"))</f>
        <v/>
      </c>
      <c r="Z1020" s="5" t="str">
        <f aca="false">IF(A1020="","",IF(J1020="","",IFERROR(360/J1020,"")))</f>
        <v/>
      </c>
      <c r="AA1020" s="5" t="str">
        <f aca="false">IF(A1020="","",IF(H1020=0,"Parado (sem venda 90d)",IF(Z1020&gt;12,"Alto (&gt;12x/ano)",IF(Z1020&gt;=4,"Medio (4-12x/ano)","Baixo (&lt;4x/ano)"))))</f>
        <v/>
      </c>
    </row>
    <row r="1021" customFormat="false" ht="15" hidden="false" customHeight="true" outlineLevel="0" collapsed="false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18"/>
      <c r="L1021" s="19" t="str">
        <f aca="false">IF(A1021="","",G1021*K1021)</f>
        <v/>
      </c>
      <c r="M1021" s="20"/>
      <c r="N1021" s="6"/>
      <c r="O1021" s="6"/>
      <c r="P1021" s="5" t="str">
        <f aca="false">IF(A1021="","",H1021/90)</f>
        <v/>
      </c>
      <c r="Q1021" s="5" t="str">
        <f aca="false">IF(A1021="","",IFERROR(INDEX(Parâmetros!$C$6:$C$10,MATCH(F1021,Parâmetros!$B$6:$B$10,0)),""))</f>
        <v/>
      </c>
      <c r="R1021" s="5" t="str">
        <f aca="false">IF(OR(A1021="",P1021="",Q1021=""),"",P1021*Q1021)</f>
        <v/>
      </c>
      <c r="S1021" s="5" t="str">
        <f aca="false">IF(R1021="","",MAX(0,R1021-G1021))</f>
        <v/>
      </c>
      <c r="T1021" s="21" t="str">
        <f aca="false">IF(S1021="","",S1021*K1021)</f>
        <v/>
      </c>
      <c r="U1021" s="5" t="str">
        <f aca="false">IF(A1021="","",IF(J1021&gt;Parâmetros!$C$14,"SIM","NAO"))</f>
        <v/>
      </c>
      <c r="V1021" s="5" t="str">
        <f aca="false">IF(B1021="","",TRIM(LEFT(B1021,IFERROR(FIND(" ",B1021)-1,LEN(B1021)))))</f>
        <v/>
      </c>
      <c r="W1021" s="22"/>
      <c r="X1021" s="5" t="str">
        <f aca="false">IF(A1021="","",IF(W1021&lt;&gt;"",W1021,V1021))</f>
        <v/>
      </c>
      <c r="Y1021" s="5" t="str">
        <f aca="false">IF(A1021="","",IF(COUNTIFS($X$2:$X$2001,X1021,$D$2:$D$2001,"&lt;&gt;"&amp;D1021,$C$2:$C$2001,C1021)&gt;0,"SIM","NAO"))</f>
        <v/>
      </c>
      <c r="Z1021" s="5" t="str">
        <f aca="false">IF(A1021="","",IF(J1021="","",IFERROR(360/J1021,"")))</f>
        <v/>
      </c>
      <c r="AA1021" s="5" t="str">
        <f aca="false">IF(A1021="","",IF(H1021=0,"Parado (sem venda 90d)",IF(Z1021&gt;12,"Alto (&gt;12x/ano)",IF(Z1021&gt;=4,"Medio (4-12x/ano)","Baixo (&lt;4x/ano)"))))</f>
        <v/>
      </c>
    </row>
    <row r="1022" customFormat="false" ht="15" hidden="false" customHeight="true" outlineLevel="0" collapsed="false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18"/>
      <c r="L1022" s="19" t="str">
        <f aca="false">IF(A1022="","",G1022*K1022)</f>
        <v/>
      </c>
      <c r="M1022" s="20"/>
      <c r="N1022" s="6"/>
      <c r="O1022" s="6"/>
      <c r="P1022" s="5" t="str">
        <f aca="false">IF(A1022="","",H1022/90)</f>
        <v/>
      </c>
      <c r="Q1022" s="5" t="str">
        <f aca="false">IF(A1022="","",IFERROR(INDEX(Parâmetros!$C$6:$C$10,MATCH(F1022,Parâmetros!$B$6:$B$10,0)),""))</f>
        <v/>
      </c>
      <c r="R1022" s="5" t="str">
        <f aca="false">IF(OR(A1022="",P1022="",Q1022=""),"",P1022*Q1022)</f>
        <v/>
      </c>
      <c r="S1022" s="5" t="str">
        <f aca="false">IF(R1022="","",MAX(0,R1022-G1022))</f>
        <v/>
      </c>
      <c r="T1022" s="21" t="str">
        <f aca="false">IF(S1022="","",S1022*K1022)</f>
        <v/>
      </c>
      <c r="U1022" s="5" t="str">
        <f aca="false">IF(A1022="","",IF(J1022&gt;Parâmetros!$C$14,"SIM","NAO"))</f>
        <v/>
      </c>
      <c r="V1022" s="5" t="str">
        <f aca="false">IF(B1022="","",TRIM(LEFT(B1022,IFERROR(FIND(" ",B1022)-1,LEN(B1022)))))</f>
        <v/>
      </c>
      <c r="W1022" s="22"/>
      <c r="X1022" s="5" t="str">
        <f aca="false">IF(A1022="","",IF(W1022&lt;&gt;"",W1022,V1022))</f>
        <v/>
      </c>
      <c r="Y1022" s="5" t="str">
        <f aca="false">IF(A1022="","",IF(COUNTIFS($X$2:$X$2001,X1022,$D$2:$D$2001,"&lt;&gt;"&amp;D1022,$C$2:$C$2001,C1022)&gt;0,"SIM","NAO"))</f>
        <v/>
      </c>
      <c r="Z1022" s="5" t="str">
        <f aca="false">IF(A1022="","",IF(J1022="","",IFERROR(360/J1022,"")))</f>
        <v/>
      </c>
      <c r="AA1022" s="5" t="str">
        <f aca="false">IF(A1022="","",IF(H1022=0,"Parado (sem venda 90d)",IF(Z1022&gt;12,"Alto (&gt;12x/ano)",IF(Z1022&gt;=4,"Medio (4-12x/ano)","Baixo (&lt;4x/ano)"))))</f>
        <v/>
      </c>
    </row>
    <row r="1023" customFormat="false" ht="15" hidden="false" customHeight="true" outlineLevel="0" collapsed="false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18"/>
      <c r="L1023" s="19" t="str">
        <f aca="false">IF(A1023="","",G1023*K1023)</f>
        <v/>
      </c>
      <c r="M1023" s="20"/>
      <c r="N1023" s="6"/>
      <c r="O1023" s="6"/>
      <c r="P1023" s="5" t="str">
        <f aca="false">IF(A1023="","",H1023/90)</f>
        <v/>
      </c>
      <c r="Q1023" s="5" t="str">
        <f aca="false">IF(A1023="","",IFERROR(INDEX(Parâmetros!$C$6:$C$10,MATCH(F1023,Parâmetros!$B$6:$B$10,0)),""))</f>
        <v/>
      </c>
      <c r="R1023" s="5" t="str">
        <f aca="false">IF(OR(A1023="",P1023="",Q1023=""),"",P1023*Q1023)</f>
        <v/>
      </c>
      <c r="S1023" s="5" t="str">
        <f aca="false">IF(R1023="","",MAX(0,R1023-G1023))</f>
        <v/>
      </c>
      <c r="T1023" s="21" t="str">
        <f aca="false">IF(S1023="","",S1023*K1023)</f>
        <v/>
      </c>
      <c r="U1023" s="5" t="str">
        <f aca="false">IF(A1023="","",IF(J1023&gt;Parâmetros!$C$14,"SIM","NAO"))</f>
        <v/>
      </c>
      <c r="V1023" s="5" t="str">
        <f aca="false">IF(B1023="","",TRIM(LEFT(B1023,IFERROR(FIND(" ",B1023)-1,LEN(B1023)))))</f>
        <v/>
      </c>
      <c r="W1023" s="22"/>
      <c r="X1023" s="5" t="str">
        <f aca="false">IF(A1023="","",IF(W1023&lt;&gt;"",W1023,V1023))</f>
        <v/>
      </c>
      <c r="Y1023" s="5" t="str">
        <f aca="false">IF(A1023="","",IF(COUNTIFS($X$2:$X$2001,X1023,$D$2:$D$2001,"&lt;&gt;"&amp;D1023,$C$2:$C$2001,C1023)&gt;0,"SIM","NAO"))</f>
        <v/>
      </c>
      <c r="Z1023" s="5" t="str">
        <f aca="false">IF(A1023="","",IF(J1023="","",IFERROR(360/J1023,"")))</f>
        <v/>
      </c>
      <c r="AA1023" s="5" t="str">
        <f aca="false">IF(A1023="","",IF(H1023=0,"Parado (sem venda 90d)",IF(Z1023&gt;12,"Alto (&gt;12x/ano)",IF(Z1023&gt;=4,"Medio (4-12x/ano)","Baixo (&lt;4x/ano)"))))</f>
        <v/>
      </c>
    </row>
    <row r="1024" customFormat="false" ht="15" hidden="false" customHeight="true" outlineLevel="0" collapsed="false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18"/>
      <c r="L1024" s="19" t="str">
        <f aca="false">IF(A1024="","",G1024*K1024)</f>
        <v/>
      </c>
      <c r="M1024" s="20"/>
      <c r="N1024" s="6"/>
      <c r="O1024" s="6"/>
      <c r="P1024" s="5" t="str">
        <f aca="false">IF(A1024="","",H1024/90)</f>
        <v/>
      </c>
      <c r="Q1024" s="5" t="str">
        <f aca="false">IF(A1024="","",IFERROR(INDEX(Parâmetros!$C$6:$C$10,MATCH(F1024,Parâmetros!$B$6:$B$10,0)),""))</f>
        <v/>
      </c>
      <c r="R1024" s="5" t="str">
        <f aca="false">IF(OR(A1024="",P1024="",Q1024=""),"",P1024*Q1024)</f>
        <v/>
      </c>
      <c r="S1024" s="5" t="str">
        <f aca="false">IF(R1024="","",MAX(0,R1024-G1024))</f>
        <v/>
      </c>
      <c r="T1024" s="21" t="str">
        <f aca="false">IF(S1024="","",S1024*K1024)</f>
        <v/>
      </c>
      <c r="U1024" s="5" t="str">
        <f aca="false">IF(A1024="","",IF(J1024&gt;Parâmetros!$C$14,"SIM","NAO"))</f>
        <v/>
      </c>
      <c r="V1024" s="5" t="str">
        <f aca="false">IF(B1024="","",TRIM(LEFT(B1024,IFERROR(FIND(" ",B1024)-1,LEN(B1024)))))</f>
        <v/>
      </c>
      <c r="W1024" s="22"/>
      <c r="X1024" s="5" t="str">
        <f aca="false">IF(A1024="","",IF(W1024&lt;&gt;"",W1024,V1024))</f>
        <v/>
      </c>
      <c r="Y1024" s="5" t="str">
        <f aca="false">IF(A1024="","",IF(COUNTIFS($X$2:$X$2001,X1024,$D$2:$D$2001,"&lt;&gt;"&amp;D1024,$C$2:$C$2001,C1024)&gt;0,"SIM","NAO"))</f>
        <v/>
      </c>
      <c r="Z1024" s="5" t="str">
        <f aca="false">IF(A1024="","",IF(J1024="","",IFERROR(360/J1024,"")))</f>
        <v/>
      </c>
      <c r="AA1024" s="5" t="str">
        <f aca="false">IF(A1024="","",IF(H1024=0,"Parado (sem venda 90d)",IF(Z1024&gt;12,"Alto (&gt;12x/ano)",IF(Z1024&gt;=4,"Medio (4-12x/ano)","Baixo (&lt;4x/ano)"))))</f>
        <v/>
      </c>
    </row>
    <row r="1025" customFormat="false" ht="15" hidden="false" customHeight="true" outlineLevel="0" collapsed="false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18"/>
      <c r="L1025" s="19" t="str">
        <f aca="false">IF(A1025="","",G1025*K1025)</f>
        <v/>
      </c>
      <c r="M1025" s="20"/>
      <c r="N1025" s="6"/>
      <c r="O1025" s="6"/>
      <c r="P1025" s="5" t="str">
        <f aca="false">IF(A1025="","",H1025/90)</f>
        <v/>
      </c>
      <c r="Q1025" s="5" t="str">
        <f aca="false">IF(A1025="","",IFERROR(INDEX(Parâmetros!$C$6:$C$10,MATCH(F1025,Parâmetros!$B$6:$B$10,0)),""))</f>
        <v/>
      </c>
      <c r="R1025" s="5" t="str">
        <f aca="false">IF(OR(A1025="",P1025="",Q1025=""),"",P1025*Q1025)</f>
        <v/>
      </c>
      <c r="S1025" s="5" t="str">
        <f aca="false">IF(R1025="","",MAX(0,R1025-G1025))</f>
        <v/>
      </c>
      <c r="T1025" s="21" t="str">
        <f aca="false">IF(S1025="","",S1025*K1025)</f>
        <v/>
      </c>
      <c r="U1025" s="5" t="str">
        <f aca="false">IF(A1025="","",IF(J1025&gt;Parâmetros!$C$14,"SIM","NAO"))</f>
        <v/>
      </c>
      <c r="V1025" s="5" t="str">
        <f aca="false">IF(B1025="","",TRIM(LEFT(B1025,IFERROR(FIND(" ",B1025)-1,LEN(B1025)))))</f>
        <v/>
      </c>
      <c r="W1025" s="22"/>
      <c r="X1025" s="5" t="str">
        <f aca="false">IF(A1025="","",IF(W1025&lt;&gt;"",W1025,V1025))</f>
        <v/>
      </c>
      <c r="Y1025" s="5" t="str">
        <f aca="false">IF(A1025="","",IF(COUNTIFS($X$2:$X$2001,X1025,$D$2:$D$2001,"&lt;&gt;"&amp;D1025,$C$2:$C$2001,C1025)&gt;0,"SIM","NAO"))</f>
        <v/>
      </c>
      <c r="Z1025" s="5" t="str">
        <f aca="false">IF(A1025="","",IF(J1025="","",IFERROR(360/J1025,"")))</f>
        <v/>
      </c>
      <c r="AA1025" s="5" t="str">
        <f aca="false">IF(A1025="","",IF(H1025=0,"Parado (sem venda 90d)",IF(Z1025&gt;12,"Alto (&gt;12x/ano)",IF(Z1025&gt;=4,"Medio (4-12x/ano)","Baixo (&lt;4x/ano)"))))</f>
        <v/>
      </c>
    </row>
    <row r="1026" customFormat="false" ht="15" hidden="false" customHeight="true" outlineLevel="0" collapsed="false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18"/>
      <c r="L1026" s="19" t="str">
        <f aca="false">IF(A1026="","",G1026*K1026)</f>
        <v/>
      </c>
      <c r="M1026" s="20"/>
      <c r="N1026" s="6"/>
      <c r="O1026" s="6"/>
      <c r="P1026" s="5" t="str">
        <f aca="false">IF(A1026="","",H1026/90)</f>
        <v/>
      </c>
      <c r="Q1026" s="5" t="str">
        <f aca="false">IF(A1026="","",IFERROR(INDEX(Parâmetros!$C$6:$C$10,MATCH(F1026,Parâmetros!$B$6:$B$10,0)),""))</f>
        <v/>
      </c>
      <c r="R1026" s="5" t="str">
        <f aca="false">IF(OR(A1026="",P1026="",Q1026=""),"",P1026*Q1026)</f>
        <v/>
      </c>
      <c r="S1026" s="5" t="str">
        <f aca="false">IF(R1026="","",MAX(0,R1026-G1026))</f>
        <v/>
      </c>
      <c r="T1026" s="21" t="str">
        <f aca="false">IF(S1026="","",S1026*K1026)</f>
        <v/>
      </c>
      <c r="U1026" s="5" t="str">
        <f aca="false">IF(A1026="","",IF(J1026&gt;Parâmetros!$C$14,"SIM","NAO"))</f>
        <v/>
      </c>
      <c r="V1026" s="5" t="str">
        <f aca="false">IF(B1026="","",TRIM(LEFT(B1026,IFERROR(FIND(" ",B1026)-1,LEN(B1026)))))</f>
        <v/>
      </c>
      <c r="W1026" s="22"/>
      <c r="X1026" s="5" t="str">
        <f aca="false">IF(A1026="","",IF(W1026&lt;&gt;"",W1026,V1026))</f>
        <v/>
      </c>
      <c r="Y1026" s="5" t="str">
        <f aca="false">IF(A1026="","",IF(COUNTIFS($X$2:$X$2001,X1026,$D$2:$D$2001,"&lt;&gt;"&amp;D1026,$C$2:$C$2001,C1026)&gt;0,"SIM","NAO"))</f>
        <v/>
      </c>
      <c r="Z1026" s="5" t="str">
        <f aca="false">IF(A1026="","",IF(J1026="","",IFERROR(360/J1026,"")))</f>
        <v/>
      </c>
      <c r="AA1026" s="5" t="str">
        <f aca="false">IF(A1026="","",IF(H1026=0,"Parado (sem venda 90d)",IF(Z1026&gt;12,"Alto (&gt;12x/ano)",IF(Z1026&gt;=4,"Medio (4-12x/ano)","Baixo (&lt;4x/ano)"))))</f>
        <v/>
      </c>
    </row>
    <row r="1027" customFormat="false" ht="15" hidden="false" customHeight="true" outlineLevel="0" collapsed="false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18"/>
      <c r="L1027" s="19" t="str">
        <f aca="false">IF(A1027="","",G1027*K1027)</f>
        <v/>
      </c>
      <c r="M1027" s="20"/>
      <c r="N1027" s="6"/>
      <c r="O1027" s="6"/>
      <c r="P1027" s="5" t="str">
        <f aca="false">IF(A1027="","",H1027/90)</f>
        <v/>
      </c>
      <c r="Q1027" s="5" t="str">
        <f aca="false">IF(A1027="","",IFERROR(INDEX(Parâmetros!$C$6:$C$10,MATCH(F1027,Parâmetros!$B$6:$B$10,0)),""))</f>
        <v/>
      </c>
      <c r="R1027" s="5" t="str">
        <f aca="false">IF(OR(A1027="",P1027="",Q1027=""),"",P1027*Q1027)</f>
        <v/>
      </c>
      <c r="S1027" s="5" t="str">
        <f aca="false">IF(R1027="","",MAX(0,R1027-G1027))</f>
        <v/>
      </c>
      <c r="T1027" s="21" t="str">
        <f aca="false">IF(S1027="","",S1027*K1027)</f>
        <v/>
      </c>
      <c r="U1027" s="5" t="str">
        <f aca="false">IF(A1027="","",IF(J1027&gt;Parâmetros!$C$14,"SIM","NAO"))</f>
        <v/>
      </c>
      <c r="V1027" s="5" t="str">
        <f aca="false">IF(B1027="","",TRIM(LEFT(B1027,IFERROR(FIND(" ",B1027)-1,LEN(B1027)))))</f>
        <v/>
      </c>
      <c r="W1027" s="22"/>
      <c r="X1027" s="5" t="str">
        <f aca="false">IF(A1027="","",IF(W1027&lt;&gt;"",W1027,V1027))</f>
        <v/>
      </c>
      <c r="Y1027" s="5" t="str">
        <f aca="false">IF(A1027="","",IF(COUNTIFS($X$2:$X$2001,X1027,$D$2:$D$2001,"&lt;&gt;"&amp;D1027,$C$2:$C$2001,C1027)&gt;0,"SIM","NAO"))</f>
        <v/>
      </c>
      <c r="Z1027" s="5" t="str">
        <f aca="false">IF(A1027="","",IF(J1027="","",IFERROR(360/J1027,"")))</f>
        <v/>
      </c>
      <c r="AA1027" s="5" t="str">
        <f aca="false">IF(A1027="","",IF(H1027=0,"Parado (sem venda 90d)",IF(Z1027&gt;12,"Alto (&gt;12x/ano)",IF(Z1027&gt;=4,"Medio (4-12x/ano)","Baixo (&lt;4x/ano)"))))</f>
        <v/>
      </c>
    </row>
    <row r="1028" customFormat="false" ht="15" hidden="false" customHeight="true" outlineLevel="0" collapsed="false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18"/>
      <c r="L1028" s="19" t="str">
        <f aca="false">IF(A1028="","",G1028*K1028)</f>
        <v/>
      </c>
      <c r="M1028" s="20"/>
      <c r="N1028" s="6"/>
      <c r="O1028" s="6"/>
      <c r="P1028" s="5" t="str">
        <f aca="false">IF(A1028="","",H1028/90)</f>
        <v/>
      </c>
      <c r="Q1028" s="5" t="str">
        <f aca="false">IF(A1028="","",IFERROR(INDEX(Parâmetros!$C$6:$C$10,MATCH(F1028,Parâmetros!$B$6:$B$10,0)),""))</f>
        <v/>
      </c>
      <c r="R1028" s="5" t="str">
        <f aca="false">IF(OR(A1028="",P1028="",Q1028=""),"",P1028*Q1028)</f>
        <v/>
      </c>
      <c r="S1028" s="5" t="str">
        <f aca="false">IF(R1028="","",MAX(0,R1028-G1028))</f>
        <v/>
      </c>
      <c r="T1028" s="21" t="str">
        <f aca="false">IF(S1028="","",S1028*K1028)</f>
        <v/>
      </c>
      <c r="U1028" s="5" t="str">
        <f aca="false">IF(A1028="","",IF(J1028&gt;Parâmetros!$C$14,"SIM","NAO"))</f>
        <v/>
      </c>
      <c r="V1028" s="5" t="str">
        <f aca="false">IF(B1028="","",TRIM(LEFT(B1028,IFERROR(FIND(" ",B1028)-1,LEN(B1028)))))</f>
        <v/>
      </c>
      <c r="W1028" s="22"/>
      <c r="X1028" s="5" t="str">
        <f aca="false">IF(A1028="","",IF(W1028&lt;&gt;"",W1028,V1028))</f>
        <v/>
      </c>
      <c r="Y1028" s="5" t="str">
        <f aca="false">IF(A1028="","",IF(COUNTIFS($X$2:$X$2001,X1028,$D$2:$D$2001,"&lt;&gt;"&amp;D1028,$C$2:$C$2001,C1028)&gt;0,"SIM","NAO"))</f>
        <v/>
      </c>
      <c r="Z1028" s="5" t="str">
        <f aca="false">IF(A1028="","",IF(J1028="","",IFERROR(360/J1028,"")))</f>
        <v/>
      </c>
      <c r="AA1028" s="5" t="str">
        <f aca="false">IF(A1028="","",IF(H1028=0,"Parado (sem venda 90d)",IF(Z1028&gt;12,"Alto (&gt;12x/ano)",IF(Z1028&gt;=4,"Medio (4-12x/ano)","Baixo (&lt;4x/ano)"))))</f>
        <v/>
      </c>
    </row>
    <row r="1029" customFormat="false" ht="15" hidden="false" customHeight="true" outlineLevel="0" collapsed="false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18"/>
      <c r="L1029" s="19" t="str">
        <f aca="false">IF(A1029="","",G1029*K1029)</f>
        <v/>
      </c>
      <c r="M1029" s="20"/>
      <c r="N1029" s="6"/>
      <c r="O1029" s="6"/>
      <c r="P1029" s="5" t="str">
        <f aca="false">IF(A1029="","",H1029/90)</f>
        <v/>
      </c>
      <c r="Q1029" s="5" t="str">
        <f aca="false">IF(A1029="","",IFERROR(INDEX(Parâmetros!$C$6:$C$10,MATCH(F1029,Parâmetros!$B$6:$B$10,0)),""))</f>
        <v/>
      </c>
      <c r="R1029" s="5" t="str">
        <f aca="false">IF(OR(A1029="",P1029="",Q1029=""),"",P1029*Q1029)</f>
        <v/>
      </c>
      <c r="S1029" s="5" t="str">
        <f aca="false">IF(R1029="","",MAX(0,R1029-G1029))</f>
        <v/>
      </c>
      <c r="T1029" s="21" t="str">
        <f aca="false">IF(S1029="","",S1029*K1029)</f>
        <v/>
      </c>
      <c r="U1029" s="5" t="str">
        <f aca="false">IF(A1029="","",IF(J1029&gt;Parâmetros!$C$14,"SIM","NAO"))</f>
        <v/>
      </c>
      <c r="V1029" s="5" t="str">
        <f aca="false">IF(B1029="","",TRIM(LEFT(B1029,IFERROR(FIND(" ",B1029)-1,LEN(B1029)))))</f>
        <v/>
      </c>
      <c r="W1029" s="22"/>
      <c r="X1029" s="5" t="str">
        <f aca="false">IF(A1029="","",IF(W1029&lt;&gt;"",W1029,V1029))</f>
        <v/>
      </c>
      <c r="Y1029" s="5" t="str">
        <f aca="false">IF(A1029="","",IF(COUNTIFS($X$2:$X$2001,X1029,$D$2:$D$2001,"&lt;&gt;"&amp;D1029,$C$2:$C$2001,C1029)&gt;0,"SIM","NAO"))</f>
        <v/>
      </c>
      <c r="Z1029" s="5" t="str">
        <f aca="false">IF(A1029="","",IF(J1029="","",IFERROR(360/J1029,"")))</f>
        <v/>
      </c>
      <c r="AA1029" s="5" t="str">
        <f aca="false">IF(A1029="","",IF(H1029=0,"Parado (sem venda 90d)",IF(Z1029&gt;12,"Alto (&gt;12x/ano)",IF(Z1029&gt;=4,"Medio (4-12x/ano)","Baixo (&lt;4x/ano)"))))</f>
        <v/>
      </c>
    </row>
    <row r="1030" customFormat="false" ht="15" hidden="false" customHeight="true" outlineLevel="0" collapsed="false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18"/>
      <c r="L1030" s="19" t="str">
        <f aca="false">IF(A1030="","",G1030*K1030)</f>
        <v/>
      </c>
      <c r="M1030" s="20"/>
      <c r="N1030" s="6"/>
      <c r="O1030" s="6"/>
      <c r="P1030" s="5" t="str">
        <f aca="false">IF(A1030="","",H1030/90)</f>
        <v/>
      </c>
      <c r="Q1030" s="5" t="str">
        <f aca="false">IF(A1030="","",IFERROR(INDEX(Parâmetros!$C$6:$C$10,MATCH(F1030,Parâmetros!$B$6:$B$10,0)),""))</f>
        <v/>
      </c>
      <c r="R1030" s="5" t="str">
        <f aca="false">IF(OR(A1030="",P1030="",Q1030=""),"",P1030*Q1030)</f>
        <v/>
      </c>
      <c r="S1030" s="5" t="str">
        <f aca="false">IF(R1030="","",MAX(0,R1030-G1030))</f>
        <v/>
      </c>
      <c r="T1030" s="21" t="str">
        <f aca="false">IF(S1030="","",S1030*K1030)</f>
        <v/>
      </c>
      <c r="U1030" s="5" t="str">
        <f aca="false">IF(A1030="","",IF(J1030&gt;Parâmetros!$C$14,"SIM","NAO"))</f>
        <v/>
      </c>
      <c r="V1030" s="5" t="str">
        <f aca="false">IF(B1030="","",TRIM(LEFT(B1030,IFERROR(FIND(" ",B1030)-1,LEN(B1030)))))</f>
        <v/>
      </c>
      <c r="W1030" s="22"/>
      <c r="X1030" s="5" t="str">
        <f aca="false">IF(A1030="","",IF(W1030&lt;&gt;"",W1030,V1030))</f>
        <v/>
      </c>
      <c r="Y1030" s="5" t="str">
        <f aca="false">IF(A1030="","",IF(COUNTIFS($X$2:$X$2001,X1030,$D$2:$D$2001,"&lt;&gt;"&amp;D1030,$C$2:$C$2001,C1030)&gt;0,"SIM","NAO"))</f>
        <v/>
      </c>
      <c r="Z1030" s="5" t="str">
        <f aca="false">IF(A1030="","",IF(J1030="","",IFERROR(360/J1030,"")))</f>
        <v/>
      </c>
      <c r="AA1030" s="5" t="str">
        <f aca="false">IF(A1030="","",IF(H1030=0,"Parado (sem venda 90d)",IF(Z1030&gt;12,"Alto (&gt;12x/ano)",IF(Z1030&gt;=4,"Medio (4-12x/ano)","Baixo (&lt;4x/ano)"))))</f>
        <v/>
      </c>
    </row>
    <row r="1031" customFormat="false" ht="15" hidden="false" customHeight="true" outlineLevel="0" collapsed="false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18"/>
      <c r="L1031" s="19" t="str">
        <f aca="false">IF(A1031="","",G1031*K1031)</f>
        <v/>
      </c>
      <c r="M1031" s="20"/>
      <c r="N1031" s="6"/>
      <c r="O1031" s="6"/>
      <c r="P1031" s="5" t="str">
        <f aca="false">IF(A1031="","",H1031/90)</f>
        <v/>
      </c>
      <c r="Q1031" s="5" t="str">
        <f aca="false">IF(A1031="","",IFERROR(INDEX(Parâmetros!$C$6:$C$10,MATCH(F1031,Parâmetros!$B$6:$B$10,0)),""))</f>
        <v/>
      </c>
      <c r="R1031" s="5" t="str">
        <f aca="false">IF(OR(A1031="",P1031="",Q1031=""),"",P1031*Q1031)</f>
        <v/>
      </c>
      <c r="S1031" s="5" t="str">
        <f aca="false">IF(R1031="","",MAX(0,R1031-G1031))</f>
        <v/>
      </c>
      <c r="T1031" s="21" t="str">
        <f aca="false">IF(S1031="","",S1031*K1031)</f>
        <v/>
      </c>
      <c r="U1031" s="5" t="str">
        <f aca="false">IF(A1031="","",IF(J1031&gt;Parâmetros!$C$14,"SIM","NAO"))</f>
        <v/>
      </c>
      <c r="V1031" s="5" t="str">
        <f aca="false">IF(B1031="","",TRIM(LEFT(B1031,IFERROR(FIND(" ",B1031)-1,LEN(B1031)))))</f>
        <v/>
      </c>
      <c r="W1031" s="22"/>
      <c r="X1031" s="5" t="str">
        <f aca="false">IF(A1031="","",IF(W1031&lt;&gt;"",W1031,V1031))</f>
        <v/>
      </c>
      <c r="Y1031" s="5" t="str">
        <f aca="false">IF(A1031="","",IF(COUNTIFS($X$2:$X$2001,X1031,$D$2:$D$2001,"&lt;&gt;"&amp;D1031,$C$2:$C$2001,C1031)&gt;0,"SIM","NAO"))</f>
        <v/>
      </c>
      <c r="Z1031" s="5" t="str">
        <f aca="false">IF(A1031="","",IF(J1031="","",IFERROR(360/J1031,"")))</f>
        <v/>
      </c>
      <c r="AA1031" s="5" t="str">
        <f aca="false">IF(A1031="","",IF(H1031=0,"Parado (sem venda 90d)",IF(Z1031&gt;12,"Alto (&gt;12x/ano)",IF(Z1031&gt;=4,"Medio (4-12x/ano)","Baixo (&lt;4x/ano)"))))</f>
        <v/>
      </c>
    </row>
    <row r="1032" customFormat="false" ht="15" hidden="false" customHeight="true" outlineLevel="0" collapsed="false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18"/>
      <c r="L1032" s="19" t="str">
        <f aca="false">IF(A1032="","",G1032*K1032)</f>
        <v/>
      </c>
      <c r="M1032" s="20"/>
      <c r="N1032" s="6"/>
      <c r="O1032" s="6"/>
      <c r="P1032" s="5" t="str">
        <f aca="false">IF(A1032="","",H1032/90)</f>
        <v/>
      </c>
      <c r="Q1032" s="5" t="str">
        <f aca="false">IF(A1032="","",IFERROR(INDEX(Parâmetros!$C$6:$C$10,MATCH(F1032,Parâmetros!$B$6:$B$10,0)),""))</f>
        <v/>
      </c>
      <c r="R1032" s="5" t="str">
        <f aca="false">IF(OR(A1032="",P1032="",Q1032=""),"",P1032*Q1032)</f>
        <v/>
      </c>
      <c r="S1032" s="5" t="str">
        <f aca="false">IF(R1032="","",MAX(0,R1032-G1032))</f>
        <v/>
      </c>
      <c r="T1032" s="21" t="str">
        <f aca="false">IF(S1032="","",S1032*K1032)</f>
        <v/>
      </c>
      <c r="U1032" s="5" t="str">
        <f aca="false">IF(A1032="","",IF(J1032&gt;Parâmetros!$C$14,"SIM","NAO"))</f>
        <v/>
      </c>
      <c r="V1032" s="5" t="str">
        <f aca="false">IF(B1032="","",TRIM(LEFT(B1032,IFERROR(FIND(" ",B1032)-1,LEN(B1032)))))</f>
        <v/>
      </c>
      <c r="W1032" s="22"/>
      <c r="X1032" s="5" t="str">
        <f aca="false">IF(A1032="","",IF(W1032&lt;&gt;"",W1032,V1032))</f>
        <v/>
      </c>
      <c r="Y1032" s="5" t="str">
        <f aca="false">IF(A1032="","",IF(COUNTIFS($X$2:$X$2001,X1032,$D$2:$D$2001,"&lt;&gt;"&amp;D1032,$C$2:$C$2001,C1032)&gt;0,"SIM","NAO"))</f>
        <v/>
      </c>
      <c r="Z1032" s="5" t="str">
        <f aca="false">IF(A1032="","",IF(J1032="","",IFERROR(360/J1032,"")))</f>
        <v/>
      </c>
      <c r="AA1032" s="5" t="str">
        <f aca="false">IF(A1032="","",IF(H1032=0,"Parado (sem venda 90d)",IF(Z1032&gt;12,"Alto (&gt;12x/ano)",IF(Z1032&gt;=4,"Medio (4-12x/ano)","Baixo (&lt;4x/ano)"))))</f>
        <v/>
      </c>
    </row>
    <row r="1033" customFormat="false" ht="15" hidden="false" customHeight="true" outlineLevel="0" collapsed="false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18"/>
      <c r="L1033" s="19" t="str">
        <f aca="false">IF(A1033="","",G1033*K1033)</f>
        <v/>
      </c>
      <c r="M1033" s="20"/>
      <c r="N1033" s="6"/>
      <c r="O1033" s="6"/>
      <c r="P1033" s="5" t="str">
        <f aca="false">IF(A1033="","",H1033/90)</f>
        <v/>
      </c>
      <c r="Q1033" s="5" t="str">
        <f aca="false">IF(A1033="","",IFERROR(INDEX(Parâmetros!$C$6:$C$10,MATCH(F1033,Parâmetros!$B$6:$B$10,0)),""))</f>
        <v/>
      </c>
      <c r="R1033" s="5" t="str">
        <f aca="false">IF(OR(A1033="",P1033="",Q1033=""),"",P1033*Q1033)</f>
        <v/>
      </c>
      <c r="S1033" s="5" t="str">
        <f aca="false">IF(R1033="","",MAX(0,R1033-G1033))</f>
        <v/>
      </c>
      <c r="T1033" s="21" t="str">
        <f aca="false">IF(S1033="","",S1033*K1033)</f>
        <v/>
      </c>
      <c r="U1033" s="5" t="str">
        <f aca="false">IF(A1033="","",IF(J1033&gt;Parâmetros!$C$14,"SIM","NAO"))</f>
        <v/>
      </c>
      <c r="V1033" s="5" t="str">
        <f aca="false">IF(B1033="","",TRIM(LEFT(B1033,IFERROR(FIND(" ",B1033)-1,LEN(B1033)))))</f>
        <v/>
      </c>
      <c r="W1033" s="22"/>
      <c r="X1033" s="5" t="str">
        <f aca="false">IF(A1033="","",IF(W1033&lt;&gt;"",W1033,V1033))</f>
        <v/>
      </c>
      <c r="Y1033" s="5" t="str">
        <f aca="false">IF(A1033="","",IF(COUNTIFS($X$2:$X$2001,X1033,$D$2:$D$2001,"&lt;&gt;"&amp;D1033,$C$2:$C$2001,C1033)&gt;0,"SIM","NAO"))</f>
        <v/>
      </c>
      <c r="Z1033" s="5" t="str">
        <f aca="false">IF(A1033="","",IF(J1033="","",IFERROR(360/J1033,"")))</f>
        <v/>
      </c>
      <c r="AA1033" s="5" t="str">
        <f aca="false">IF(A1033="","",IF(H1033=0,"Parado (sem venda 90d)",IF(Z1033&gt;12,"Alto (&gt;12x/ano)",IF(Z1033&gt;=4,"Medio (4-12x/ano)","Baixo (&lt;4x/ano)"))))</f>
        <v/>
      </c>
    </row>
    <row r="1034" customFormat="false" ht="15" hidden="false" customHeight="true" outlineLevel="0" collapsed="false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18"/>
      <c r="L1034" s="19" t="str">
        <f aca="false">IF(A1034="","",G1034*K1034)</f>
        <v/>
      </c>
      <c r="M1034" s="20"/>
      <c r="N1034" s="6"/>
      <c r="O1034" s="6"/>
      <c r="P1034" s="5" t="str">
        <f aca="false">IF(A1034="","",H1034/90)</f>
        <v/>
      </c>
      <c r="Q1034" s="5" t="str">
        <f aca="false">IF(A1034="","",IFERROR(INDEX(Parâmetros!$C$6:$C$10,MATCH(F1034,Parâmetros!$B$6:$B$10,0)),""))</f>
        <v/>
      </c>
      <c r="R1034" s="5" t="str">
        <f aca="false">IF(OR(A1034="",P1034="",Q1034=""),"",P1034*Q1034)</f>
        <v/>
      </c>
      <c r="S1034" s="5" t="str">
        <f aca="false">IF(R1034="","",MAX(0,R1034-G1034))</f>
        <v/>
      </c>
      <c r="T1034" s="21" t="str">
        <f aca="false">IF(S1034="","",S1034*K1034)</f>
        <v/>
      </c>
      <c r="U1034" s="5" t="str">
        <f aca="false">IF(A1034="","",IF(J1034&gt;Parâmetros!$C$14,"SIM","NAO"))</f>
        <v/>
      </c>
      <c r="V1034" s="5" t="str">
        <f aca="false">IF(B1034="","",TRIM(LEFT(B1034,IFERROR(FIND(" ",B1034)-1,LEN(B1034)))))</f>
        <v/>
      </c>
      <c r="W1034" s="22"/>
      <c r="X1034" s="5" t="str">
        <f aca="false">IF(A1034="","",IF(W1034&lt;&gt;"",W1034,V1034))</f>
        <v/>
      </c>
      <c r="Y1034" s="5" t="str">
        <f aca="false">IF(A1034="","",IF(COUNTIFS($X$2:$X$2001,X1034,$D$2:$D$2001,"&lt;&gt;"&amp;D1034,$C$2:$C$2001,C1034)&gt;0,"SIM","NAO"))</f>
        <v/>
      </c>
      <c r="Z1034" s="5" t="str">
        <f aca="false">IF(A1034="","",IF(J1034="","",IFERROR(360/J1034,"")))</f>
        <v/>
      </c>
      <c r="AA1034" s="5" t="str">
        <f aca="false">IF(A1034="","",IF(H1034=0,"Parado (sem venda 90d)",IF(Z1034&gt;12,"Alto (&gt;12x/ano)",IF(Z1034&gt;=4,"Medio (4-12x/ano)","Baixo (&lt;4x/ano)"))))</f>
        <v/>
      </c>
    </row>
    <row r="1035" customFormat="false" ht="15" hidden="false" customHeight="true" outlineLevel="0" collapsed="false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18"/>
      <c r="L1035" s="19" t="str">
        <f aca="false">IF(A1035="","",G1035*K1035)</f>
        <v/>
      </c>
      <c r="M1035" s="20"/>
      <c r="N1035" s="6"/>
      <c r="O1035" s="6"/>
      <c r="P1035" s="5" t="str">
        <f aca="false">IF(A1035="","",H1035/90)</f>
        <v/>
      </c>
      <c r="Q1035" s="5" t="str">
        <f aca="false">IF(A1035="","",IFERROR(INDEX(Parâmetros!$C$6:$C$10,MATCH(F1035,Parâmetros!$B$6:$B$10,0)),""))</f>
        <v/>
      </c>
      <c r="R1035" s="5" t="str">
        <f aca="false">IF(OR(A1035="",P1035="",Q1035=""),"",P1035*Q1035)</f>
        <v/>
      </c>
      <c r="S1035" s="5" t="str">
        <f aca="false">IF(R1035="","",MAX(0,R1035-G1035))</f>
        <v/>
      </c>
      <c r="T1035" s="21" t="str">
        <f aca="false">IF(S1035="","",S1035*K1035)</f>
        <v/>
      </c>
      <c r="U1035" s="5" t="str">
        <f aca="false">IF(A1035="","",IF(J1035&gt;Parâmetros!$C$14,"SIM","NAO"))</f>
        <v/>
      </c>
      <c r="V1035" s="5" t="str">
        <f aca="false">IF(B1035="","",TRIM(LEFT(B1035,IFERROR(FIND(" ",B1035)-1,LEN(B1035)))))</f>
        <v/>
      </c>
      <c r="W1035" s="22"/>
      <c r="X1035" s="5" t="str">
        <f aca="false">IF(A1035="","",IF(W1035&lt;&gt;"",W1035,V1035))</f>
        <v/>
      </c>
      <c r="Y1035" s="5" t="str">
        <f aca="false">IF(A1035="","",IF(COUNTIFS($X$2:$X$2001,X1035,$D$2:$D$2001,"&lt;&gt;"&amp;D1035,$C$2:$C$2001,C1035)&gt;0,"SIM","NAO"))</f>
        <v/>
      </c>
      <c r="Z1035" s="5" t="str">
        <f aca="false">IF(A1035="","",IF(J1035="","",IFERROR(360/J1035,"")))</f>
        <v/>
      </c>
      <c r="AA1035" s="5" t="str">
        <f aca="false">IF(A1035="","",IF(H1035=0,"Parado (sem venda 90d)",IF(Z1035&gt;12,"Alto (&gt;12x/ano)",IF(Z1035&gt;=4,"Medio (4-12x/ano)","Baixo (&lt;4x/ano)"))))</f>
        <v/>
      </c>
    </row>
    <row r="1036" customFormat="false" ht="15" hidden="false" customHeight="true" outlineLevel="0" collapsed="false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18"/>
      <c r="L1036" s="19" t="str">
        <f aca="false">IF(A1036="","",G1036*K1036)</f>
        <v/>
      </c>
      <c r="M1036" s="20"/>
      <c r="N1036" s="6"/>
      <c r="O1036" s="6"/>
      <c r="P1036" s="5" t="str">
        <f aca="false">IF(A1036="","",H1036/90)</f>
        <v/>
      </c>
      <c r="Q1036" s="5" t="str">
        <f aca="false">IF(A1036="","",IFERROR(INDEX(Parâmetros!$C$6:$C$10,MATCH(F1036,Parâmetros!$B$6:$B$10,0)),""))</f>
        <v/>
      </c>
      <c r="R1036" s="5" t="str">
        <f aca="false">IF(OR(A1036="",P1036="",Q1036=""),"",P1036*Q1036)</f>
        <v/>
      </c>
      <c r="S1036" s="5" t="str">
        <f aca="false">IF(R1036="","",MAX(0,R1036-G1036))</f>
        <v/>
      </c>
      <c r="T1036" s="21" t="str">
        <f aca="false">IF(S1036="","",S1036*K1036)</f>
        <v/>
      </c>
      <c r="U1036" s="5" t="str">
        <f aca="false">IF(A1036="","",IF(J1036&gt;Parâmetros!$C$14,"SIM","NAO"))</f>
        <v/>
      </c>
      <c r="V1036" s="5" t="str">
        <f aca="false">IF(B1036="","",TRIM(LEFT(B1036,IFERROR(FIND(" ",B1036)-1,LEN(B1036)))))</f>
        <v/>
      </c>
      <c r="W1036" s="22"/>
      <c r="X1036" s="5" t="str">
        <f aca="false">IF(A1036="","",IF(W1036&lt;&gt;"",W1036,V1036))</f>
        <v/>
      </c>
      <c r="Y1036" s="5" t="str">
        <f aca="false">IF(A1036="","",IF(COUNTIFS($X$2:$X$2001,X1036,$D$2:$D$2001,"&lt;&gt;"&amp;D1036,$C$2:$C$2001,C1036)&gt;0,"SIM","NAO"))</f>
        <v/>
      </c>
      <c r="Z1036" s="5" t="str">
        <f aca="false">IF(A1036="","",IF(J1036="","",IFERROR(360/J1036,"")))</f>
        <v/>
      </c>
      <c r="AA1036" s="5" t="str">
        <f aca="false">IF(A1036="","",IF(H1036=0,"Parado (sem venda 90d)",IF(Z1036&gt;12,"Alto (&gt;12x/ano)",IF(Z1036&gt;=4,"Medio (4-12x/ano)","Baixo (&lt;4x/ano)"))))</f>
        <v/>
      </c>
    </row>
    <row r="1037" customFormat="false" ht="15" hidden="false" customHeight="true" outlineLevel="0" collapsed="false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18"/>
      <c r="L1037" s="19" t="str">
        <f aca="false">IF(A1037="","",G1037*K1037)</f>
        <v/>
      </c>
      <c r="M1037" s="20"/>
      <c r="N1037" s="6"/>
      <c r="O1037" s="6"/>
      <c r="P1037" s="5" t="str">
        <f aca="false">IF(A1037="","",H1037/90)</f>
        <v/>
      </c>
      <c r="Q1037" s="5" t="str">
        <f aca="false">IF(A1037="","",IFERROR(INDEX(Parâmetros!$C$6:$C$10,MATCH(F1037,Parâmetros!$B$6:$B$10,0)),""))</f>
        <v/>
      </c>
      <c r="R1037" s="5" t="str">
        <f aca="false">IF(OR(A1037="",P1037="",Q1037=""),"",P1037*Q1037)</f>
        <v/>
      </c>
      <c r="S1037" s="5" t="str">
        <f aca="false">IF(R1037="","",MAX(0,R1037-G1037))</f>
        <v/>
      </c>
      <c r="T1037" s="21" t="str">
        <f aca="false">IF(S1037="","",S1037*K1037)</f>
        <v/>
      </c>
      <c r="U1037" s="5" t="str">
        <f aca="false">IF(A1037="","",IF(J1037&gt;Parâmetros!$C$14,"SIM","NAO"))</f>
        <v/>
      </c>
      <c r="V1037" s="5" t="str">
        <f aca="false">IF(B1037="","",TRIM(LEFT(B1037,IFERROR(FIND(" ",B1037)-1,LEN(B1037)))))</f>
        <v/>
      </c>
      <c r="W1037" s="22"/>
      <c r="X1037" s="5" t="str">
        <f aca="false">IF(A1037="","",IF(W1037&lt;&gt;"",W1037,V1037))</f>
        <v/>
      </c>
      <c r="Y1037" s="5" t="str">
        <f aca="false">IF(A1037="","",IF(COUNTIFS($X$2:$X$2001,X1037,$D$2:$D$2001,"&lt;&gt;"&amp;D1037,$C$2:$C$2001,C1037)&gt;0,"SIM","NAO"))</f>
        <v/>
      </c>
      <c r="Z1037" s="5" t="str">
        <f aca="false">IF(A1037="","",IF(J1037="","",IFERROR(360/J1037,"")))</f>
        <v/>
      </c>
      <c r="AA1037" s="5" t="str">
        <f aca="false">IF(A1037="","",IF(H1037=0,"Parado (sem venda 90d)",IF(Z1037&gt;12,"Alto (&gt;12x/ano)",IF(Z1037&gt;=4,"Medio (4-12x/ano)","Baixo (&lt;4x/ano)"))))</f>
        <v/>
      </c>
    </row>
    <row r="1038" customFormat="false" ht="15" hidden="false" customHeight="true" outlineLevel="0" collapsed="false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18"/>
      <c r="L1038" s="19" t="str">
        <f aca="false">IF(A1038="","",G1038*K1038)</f>
        <v/>
      </c>
      <c r="M1038" s="20"/>
      <c r="N1038" s="6"/>
      <c r="O1038" s="6"/>
      <c r="P1038" s="5" t="str">
        <f aca="false">IF(A1038="","",H1038/90)</f>
        <v/>
      </c>
      <c r="Q1038" s="5" t="str">
        <f aca="false">IF(A1038="","",IFERROR(INDEX(Parâmetros!$C$6:$C$10,MATCH(F1038,Parâmetros!$B$6:$B$10,0)),""))</f>
        <v/>
      </c>
      <c r="R1038" s="5" t="str">
        <f aca="false">IF(OR(A1038="",P1038="",Q1038=""),"",P1038*Q1038)</f>
        <v/>
      </c>
      <c r="S1038" s="5" t="str">
        <f aca="false">IF(R1038="","",MAX(0,R1038-G1038))</f>
        <v/>
      </c>
      <c r="T1038" s="21" t="str">
        <f aca="false">IF(S1038="","",S1038*K1038)</f>
        <v/>
      </c>
      <c r="U1038" s="5" t="str">
        <f aca="false">IF(A1038="","",IF(J1038&gt;Parâmetros!$C$14,"SIM","NAO"))</f>
        <v/>
      </c>
      <c r="V1038" s="5" t="str">
        <f aca="false">IF(B1038="","",TRIM(LEFT(B1038,IFERROR(FIND(" ",B1038)-1,LEN(B1038)))))</f>
        <v/>
      </c>
      <c r="W1038" s="22"/>
      <c r="X1038" s="5" t="str">
        <f aca="false">IF(A1038="","",IF(W1038&lt;&gt;"",W1038,V1038))</f>
        <v/>
      </c>
      <c r="Y1038" s="5" t="str">
        <f aca="false">IF(A1038="","",IF(COUNTIFS($X$2:$X$2001,X1038,$D$2:$D$2001,"&lt;&gt;"&amp;D1038,$C$2:$C$2001,C1038)&gt;0,"SIM","NAO"))</f>
        <v/>
      </c>
      <c r="Z1038" s="5" t="str">
        <f aca="false">IF(A1038="","",IF(J1038="","",IFERROR(360/J1038,"")))</f>
        <v/>
      </c>
      <c r="AA1038" s="5" t="str">
        <f aca="false">IF(A1038="","",IF(H1038=0,"Parado (sem venda 90d)",IF(Z1038&gt;12,"Alto (&gt;12x/ano)",IF(Z1038&gt;=4,"Medio (4-12x/ano)","Baixo (&lt;4x/ano)"))))</f>
        <v/>
      </c>
    </row>
    <row r="1039" customFormat="false" ht="15" hidden="false" customHeight="true" outlineLevel="0" collapsed="false">
      <c r="A1039" s="6"/>
      <c r="B1039" s="6"/>
      <c r="C1039" s="6"/>
      <c r="D1039" s="6"/>
      <c r="E1039" s="6"/>
      <c r="F1039" s="6"/>
      <c r="G1039" s="6"/>
      <c r="H1039" s="6"/>
      <c r="I1039" s="6"/>
      <c r="J1039" s="6"/>
      <c r="K1039" s="18"/>
      <c r="L1039" s="19" t="str">
        <f aca="false">IF(A1039="","",G1039*K1039)</f>
        <v/>
      </c>
      <c r="M1039" s="20"/>
      <c r="N1039" s="6"/>
      <c r="O1039" s="6"/>
      <c r="P1039" s="5" t="str">
        <f aca="false">IF(A1039="","",H1039/90)</f>
        <v/>
      </c>
      <c r="Q1039" s="5" t="str">
        <f aca="false">IF(A1039="","",IFERROR(INDEX(Parâmetros!$C$6:$C$10,MATCH(F1039,Parâmetros!$B$6:$B$10,0)),""))</f>
        <v/>
      </c>
      <c r="R1039" s="5" t="str">
        <f aca="false">IF(OR(A1039="",P1039="",Q1039=""),"",P1039*Q1039)</f>
        <v/>
      </c>
      <c r="S1039" s="5" t="str">
        <f aca="false">IF(R1039="","",MAX(0,R1039-G1039))</f>
        <v/>
      </c>
      <c r="T1039" s="21" t="str">
        <f aca="false">IF(S1039="","",S1039*K1039)</f>
        <v/>
      </c>
      <c r="U1039" s="5" t="str">
        <f aca="false">IF(A1039="","",IF(J1039&gt;Parâmetros!$C$14,"SIM","NAO"))</f>
        <v/>
      </c>
      <c r="V1039" s="5" t="str">
        <f aca="false">IF(B1039="","",TRIM(LEFT(B1039,IFERROR(FIND(" ",B1039)-1,LEN(B1039)))))</f>
        <v/>
      </c>
      <c r="W1039" s="22"/>
      <c r="X1039" s="5" t="str">
        <f aca="false">IF(A1039="","",IF(W1039&lt;&gt;"",W1039,V1039))</f>
        <v/>
      </c>
      <c r="Y1039" s="5" t="str">
        <f aca="false">IF(A1039="","",IF(COUNTIFS($X$2:$X$2001,X1039,$D$2:$D$2001,"&lt;&gt;"&amp;D1039,$C$2:$C$2001,C1039)&gt;0,"SIM","NAO"))</f>
        <v/>
      </c>
      <c r="Z1039" s="5" t="str">
        <f aca="false">IF(A1039="","",IF(J1039="","",IFERROR(360/J1039,"")))</f>
        <v/>
      </c>
      <c r="AA1039" s="5" t="str">
        <f aca="false">IF(A1039="","",IF(H1039=0,"Parado (sem venda 90d)",IF(Z1039&gt;12,"Alto (&gt;12x/ano)",IF(Z1039&gt;=4,"Medio (4-12x/ano)","Baixo (&lt;4x/ano)"))))</f>
        <v/>
      </c>
    </row>
    <row r="1040" customFormat="false" ht="15" hidden="false" customHeight="true" outlineLevel="0" collapsed="false">
      <c r="A1040" s="6"/>
      <c r="B1040" s="6"/>
      <c r="C1040" s="6"/>
      <c r="D1040" s="6"/>
      <c r="E1040" s="6"/>
      <c r="F1040" s="6"/>
      <c r="G1040" s="6"/>
      <c r="H1040" s="6"/>
      <c r="I1040" s="6"/>
      <c r="J1040" s="6"/>
      <c r="K1040" s="18"/>
      <c r="L1040" s="19" t="str">
        <f aca="false">IF(A1040="","",G1040*K1040)</f>
        <v/>
      </c>
      <c r="M1040" s="20"/>
      <c r="N1040" s="6"/>
      <c r="O1040" s="6"/>
      <c r="P1040" s="5" t="str">
        <f aca="false">IF(A1040="","",H1040/90)</f>
        <v/>
      </c>
      <c r="Q1040" s="5" t="str">
        <f aca="false">IF(A1040="","",IFERROR(INDEX(Parâmetros!$C$6:$C$10,MATCH(F1040,Parâmetros!$B$6:$B$10,0)),""))</f>
        <v/>
      </c>
      <c r="R1040" s="5" t="str">
        <f aca="false">IF(OR(A1040="",P1040="",Q1040=""),"",P1040*Q1040)</f>
        <v/>
      </c>
      <c r="S1040" s="5" t="str">
        <f aca="false">IF(R1040="","",MAX(0,R1040-G1040))</f>
        <v/>
      </c>
      <c r="T1040" s="21" t="str">
        <f aca="false">IF(S1040="","",S1040*K1040)</f>
        <v/>
      </c>
      <c r="U1040" s="5" t="str">
        <f aca="false">IF(A1040="","",IF(J1040&gt;Parâmetros!$C$14,"SIM","NAO"))</f>
        <v/>
      </c>
      <c r="V1040" s="5" t="str">
        <f aca="false">IF(B1040="","",TRIM(LEFT(B1040,IFERROR(FIND(" ",B1040)-1,LEN(B1040)))))</f>
        <v/>
      </c>
      <c r="W1040" s="22"/>
      <c r="X1040" s="5" t="str">
        <f aca="false">IF(A1040="","",IF(W1040&lt;&gt;"",W1040,V1040))</f>
        <v/>
      </c>
      <c r="Y1040" s="5" t="str">
        <f aca="false">IF(A1040="","",IF(COUNTIFS($X$2:$X$2001,X1040,$D$2:$D$2001,"&lt;&gt;"&amp;D1040,$C$2:$C$2001,C1040)&gt;0,"SIM","NAO"))</f>
        <v/>
      </c>
      <c r="Z1040" s="5" t="str">
        <f aca="false">IF(A1040="","",IF(J1040="","",IFERROR(360/J1040,"")))</f>
        <v/>
      </c>
      <c r="AA1040" s="5" t="str">
        <f aca="false">IF(A1040="","",IF(H1040=0,"Parado (sem venda 90d)",IF(Z1040&gt;12,"Alto (&gt;12x/ano)",IF(Z1040&gt;=4,"Medio (4-12x/ano)","Baixo (&lt;4x/ano)"))))</f>
        <v/>
      </c>
    </row>
    <row r="1041" customFormat="false" ht="15" hidden="false" customHeight="true" outlineLevel="0" collapsed="false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K1041" s="18"/>
      <c r="L1041" s="19" t="str">
        <f aca="false">IF(A1041="","",G1041*K1041)</f>
        <v/>
      </c>
      <c r="M1041" s="20"/>
      <c r="N1041" s="6"/>
      <c r="O1041" s="6"/>
      <c r="P1041" s="5" t="str">
        <f aca="false">IF(A1041="","",H1041/90)</f>
        <v/>
      </c>
      <c r="Q1041" s="5" t="str">
        <f aca="false">IF(A1041="","",IFERROR(INDEX(Parâmetros!$C$6:$C$10,MATCH(F1041,Parâmetros!$B$6:$B$10,0)),""))</f>
        <v/>
      </c>
      <c r="R1041" s="5" t="str">
        <f aca="false">IF(OR(A1041="",P1041="",Q1041=""),"",P1041*Q1041)</f>
        <v/>
      </c>
      <c r="S1041" s="5" t="str">
        <f aca="false">IF(R1041="","",MAX(0,R1041-G1041))</f>
        <v/>
      </c>
      <c r="T1041" s="21" t="str">
        <f aca="false">IF(S1041="","",S1041*K1041)</f>
        <v/>
      </c>
      <c r="U1041" s="5" t="str">
        <f aca="false">IF(A1041="","",IF(J1041&gt;Parâmetros!$C$14,"SIM","NAO"))</f>
        <v/>
      </c>
      <c r="V1041" s="5" t="str">
        <f aca="false">IF(B1041="","",TRIM(LEFT(B1041,IFERROR(FIND(" ",B1041)-1,LEN(B1041)))))</f>
        <v/>
      </c>
      <c r="W1041" s="22"/>
      <c r="X1041" s="5" t="str">
        <f aca="false">IF(A1041="","",IF(W1041&lt;&gt;"",W1041,V1041))</f>
        <v/>
      </c>
      <c r="Y1041" s="5" t="str">
        <f aca="false">IF(A1041="","",IF(COUNTIFS($X$2:$X$2001,X1041,$D$2:$D$2001,"&lt;&gt;"&amp;D1041,$C$2:$C$2001,C1041)&gt;0,"SIM","NAO"))</f>
        <v/>
      </c>
      <c r="Z1041" s="5" t="str">
        <f aca="false">IF(A1041="","",IF(J1041="","",IFERROR(360/J1041,"")))</f>
        <v/>
      </c>
      <c r="AA1041" s="5" t="str">
        <f aca="false">IF(A1041="","",IF(H1041=0,"Parado (sem venda 90d)",IF(Z1041&gt;12,"Alto (&gt;12x/ano)",IF(Z1041&gt;=4,"Medio (4-12x/ano)","Baixo (&lt;4x/ano)"))))</f>
        <v/>
      </c>
    </row>
    <row r="1042" customFormat="false" ht="15" hidden="false" customHeight="true" outlineLevel="0" collapsed="false">
      <c r="A1042" s="6"/>
      <c r="B1042" s="6"/>
      <c r="C1042" s="6"/>
      <c r="D1042" s="6"/>
      <c r="E1042" s="6"/>
      <c r="F1042" s="6"/>
      <c r="G1042" s="6"/>
      <c r="H1042" s="6"/>
      <c r="I1042" s="6"/>
      <c r="J1042" s="6"/>
      <c r="K1042" s="18"/>
      <c r="L1042" s="19" t="str">
        <f aca="false">IF(A1042="","",G1042*K1042)</f>
        <v/>
      </c>
      <c r="M1042" s="20"/>
      <c r="N1042" s="6"/>
      <c r="O1042" s="6"/>
      <c r="P1042" s="5" t="str">
        <f aca="false">IF(A1042="","",H1042/90)</f>
        <v/>
      </c>
      <c r="Q1042" s="5" t="str">
        <f aca="false">IF(A1042="","",IFERROR(INDEX(Parâmetros!$C$6:$C$10,MATCH(F1042,Parâmetros!$B$6:$B$10,0)),""))</f>
        <v/>
      </c>
      <c r="R1042" s="5" t="str">
        <f aca="false">IF(OR(A1042="",P1042="",Q1042=""),"",P1042*Q1042)</f>
        <v/>
      </c>
      <c r="S1042" s="5" t="str">
        <f aca="false">IF(R1042="","",MAX(0,R1042-G1042))</f>
        <v/>
      </c>
      <c r="T1042" s="21" t="str">
        <f aca="false">IF(S1042="","",S1042*K1042)</f>
        <v/>
      </c>
      <c r="U1042" s="5" t="str">
        <f aca="false">IF(A1042="","",IF(J1042&gt;Parâmetros!$C$14,"SIM","NAO"))</f>
        <v/>
      </c>
      <c r="V1042" s="5" t="str">
        <f aca="false">IF(B1042="","",TRIM(LEFT(B1042,IFERROR(FIND(" ",B1042)-1,LEN(B1042)))))</f>
        <v/>
      </c>
      <c r="W1042" s="22"/>
      <c r="X1042" s="5" t="str">
        <f aca="false">IF(A1042="","",IF(W1042&lt;&gt;"",W1042,V1042))</f>
        <v/>
      </c>
      <c r="Y1042" s="5" t="str">
        <f aca="false">IF(A1042="","",IF(COUNTIFS($X$2:$X$2001,X1042,$D$2:$D$2001,"&lt;&gt;"&amp;D1042,$C$2:$C$2001,C1042)&gt;0,"SIM","NAO"))</f>
        <v/>
      </c>
      <c r="Z1042" s="5" t="str">
        <f aca="false">IF(A1042="","",IF(J1042="","",IFERROR(360/J1042,"")))</f>
        <v/>
      </c>
      <c r="AA1042" s="5" t="str">
        <f aca="false">IF(A1042="","",IF(H1042=0,"Parado (sem venda 90d)",IF(Z1042&gt;12,"Alto (&gt;12x/ano)",IF(Z1042&gt;=4,"Medio (4-12x/ano)","Baixo (&lt;4x/ano)"))))</f>
        <v/>
      </c>
    </row>
    <row r="1043" customFormat="false" ht="15" hidden="false" customHeight="true" outlineLevel="0" collapsed="false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18"/>
      <c r="L1043" s="19" t="str">
        <f aca="false">IF(A1043="","",G1043*K1043)</f>
        <v/>
      </c>
      <c r="M1043" s="20"/>
      <c r="N1043" s="6"/>
      <c r="O1043" s="6"/>
      <c r="P1043" s="5" t="str">
        <f aca="false">IF(A1043="","",H1043/90)</f>
        <v/>
      </c>
      <c r="Q1043" s="5" t="str">
        <f aca="false">IF(A1043="","",IFERROR(INDEX(Parâmetros!$C$6:$C$10,MATCH(F1043,Parâmetros!$B$6:$B$10,0)),""))</f>
        <v/>
      </c>
      <c r="R1043" s="5" t="str">
        <f aca="false">IF(OR(A1043="",P1043="",Q1043=""),"",P1043*Q1043)</f>
        <v/>
      </c>
      <c r="S1043" s="5" t="str">
        <f aca="false">IF(R1043="","",MAX(0,R1043-G1043))</f>
        <v/>
      </c>
      <c r="T1043" s="21" t="str">
        <f aca="false">IF(S1043="","",S1043*K1043)</f>
        <v/>
      </c>
      <c r="U1043" s="5" t="str">
        <f aca="false">IF(A1043="","",IF(J1043&gt;Parâmetros!$C$14,"SIM","NAO"))</f>
        <v/>
      </c>
      <c r="V1043" s="5" t="str">
        <f aca="false">IF(B1043="","",TRIM(LEFT(B1043,IFERROR(FIND(" ",B1043)-1,LEN(B1043)))))</f>
        <v/>
      </c>
      <c r="W1043" s="22"/>
      <c r="X1043" s="5" t="str">
        <f aca="false">IF(A1043="","",IF(W1043&lt;&gt;"",W1043,V1043))</f>
        <v/>
      </c>
      <c r="Y1043" s="5" t="str">
        <f aca="false">IF(A1043="","",IF(COUNTIFS($X$2:$X$2001,X1043,$D$2:$D$2001,"&lt;&gt;"&amp;D1043,$C$2:$C$2001,C1043)&gt;0,"SIM","NAO"))</f>
        <v/>
      </c>
      <c r="Z1043" s="5" t="str">
        <f aca="false">IF(A1043="","",IF(J1043="","",IFERROR(360/J1043,"")))</f>
        <v/>
      </c>
      <c r="AA1043" s="5" t="str">
        <f aca="false">IF(A1043="","",IF(H1043=0,"Parado (sem venda 90d)",IF(Z1043&gt;12,"Alto (&gt;12x/ano)",IF(Z1043&gt;=4,"Medio (4-12x/ano)","Baixo (&lt;4x/ano)"))))</f>
        <v/>
      </c>
    </row>
    <row r="1044" customFormat="false" ht="15" hidden="false" customHeight="true" outlineLevel="0" collapsed="false">
      <c r="A1044" s="6"/>
      <c r="B1044" s="6"/>
      <c r="C1044" s="6"/>
      <c r="D1044" s="6"/>
      <c r="E1044" s="6"/>
      <c r="F1044" s="6"/>
      <c r="G1044" s="6"/>
      <c r="H1044" s="6"/>
      <c r="I1044" s="6"/>
      <c r="J1044" s="6"/>
      <c r="K1044" s="18"/>
      <c r="L1044" s="19" t="str">
        <f aca="false">IF(A1044="","",G1044*K1044)</f>
        <v/>
      </c>
      <c r="M1044" s="20"/>
      <c r="N1044" s="6"/>
      <c r="O1044" s="6"/>
      <c r="P1044" s="5" t="str">
        <f aca="false">IF(A1044="","",H1044/90)</f>
        <v/>
      </c>
      <c r="Q1044" s="5" t="str">
        <f aca="false">IF(A1044="","",IFERROR(INDEX(Parâmetros!$C$6:$C$10,MATCH(F1044,Parâmetros!$B$6:$B$10,0)),""))</f>
        <v/>
      </c>
      <c r="R1044" s="5" t="str">
        <f aca="false">IF(OR(A1044="",P1044="",Q1044=""),"",P1044*Q1044)</f>
        <v/>
      </c>
      <c r="S1044" s="5" t="str">
        <f aca="false">IF(R1044="","",MAX(0,R1044-G1044))</f>
        <v/>
      </c>
      <c r="T1044" s="21" t="str">
        <f aca="false">IF(S1044="","",S1044*K1044)</f>
        <v/>
      </c>
      <c r="U1044" s="5" t="str">
        <f aca="false">IF(A1044="","",IF(J1044&gt;Parâmetros!$C$14,"SIM","NAO"))</f>
        <v/>
      </c>
      <c r="V1044" s="5" t="str">
        <f aca="false">IF(B1044="","",TRIM(LEFT(B1044,IFERROR(FIND(" ",B1044)-1,LEN(B1044)))))</f>
        <v/>
      </c>
      <c r="W1044" s="22"/>
      <c r="X1044" s="5" t="str">
        <f aca="false">IF(A1044="","",IF(W1044&lt;&gt;"",W1044,V1044))</f>
        <v/>
      </c>
      <c r="Y1044" s="5" t="str">
        <f aca="false">IF(A1044="","",IF(COUNTIFS($X$2:$X$2001,X1044,$D$2:$D$2001,"&lt;&gt;"&amp;D1044,$C$2:$C$2001,C1044)&gt;0,"SIM","NAO"))</f>
        <v/>
      </c>
      <c r="Z1044" s="5" t="str">
        <f aca="false">IF(A1044="","",IF(J1044="","",IFERROR(360/J1044,"")))</f>
        <v/>
      </c>
      <c r="AA1044" s="5" t="str">
        <f aca="false">IF(A1044="","",IF(H1044=0,"Parado (sem venda 90d)",IF(Z1044&gt;12,"Alto (&gt;12x/ano)",IF(Z1044&gt;=4,"Medio (4-12x/ano)","Baixo (&lt;4x/ano)"))))</f>
        <v/>
      </c>
    </row>
    <row r="1045" customFormat="false" ht="15" hidden="false" customHeight="true" outlineLevel="0" collapsed="false">
      <c r="A1045" s="6"/>
      <c r="B1045" s="6"/>
      <c r="C1045" s="6"/>
      <c r="D1045" s="6"/>
      <c r="E1045" s="6"/>
      <c r="F1045" s="6"/>
      <c r="G1045" s="6"/>
      <c r="H1045" s="6"/>
      <c r="I1045" s="6"/>
      <c r="J1045" s="6"/>
      <c r="K1045" s="18"/>
      <c r="L1045" s="19" t="str">
        <f aca="false">IF(A1045="","",G1045*K1045)</f>
        <v/>
      </c>
      <c r="M1045" s="20"/>
      <c r="N1045" s="6"/>
      <c r="O1045" s="6"/>
      <c r="P1045" s="5" t="str">
        <f aca="false">IF(A1045="","",H1045/90)</f>
        <v/>
      </c>
      <c r="Q1045" s="5" t="str">
        <f aca="false">IF(A1045="","",IFERROR(INDEX(Parâmetros!$C$6:$C$10,MATCH(F1045,Parâmetros!$B$6:$B$10,0)),""))</f>
        <v/>
      </c>
      <c r="R1045" s="5" t="str">
        <f aca="false">IF(OR(A1045="",P1045="",Q1045=""),"",P1045*Q1045)</f>
        <v/>
      </c>
      <c r="S1045" s="5" t="str">
        <f aca="false">IF(R1045="","",MAX(0,R1045-G1045))</f>
        <v/>
      </c>
      <c r="T1045" s="21" t="str">
        <f aca="false">IF(S1045="","",S1045*K1045)</f>
        <v/>
      </c>
      <c r="U1045" s="5" t="str">
        <f aca="false">IF(A1045="","",IF(J1045&gt;Parâmetros!$C$14,"SIM","NAO"))</f>
        <v/>
      </c>
      <c r="V1045" s="5" t="str">
        <f aca="false">IF(B1045="","",TRIM(LEFT(B1045,IFERROR(FIND(" ",B1045)-1,LEN(B1045)))))</f>
        <v/>
      </c>
      <c r="W1045" s="22"/>
      <c r="X1045" s="5" t="str">
        <f aca="false">IF(A1045="","",IF(W1045&lt;&gt;"",W1045,V1045))</f>
        <v/>
      </c>
      <c r="Y1045" s="5" t="str">
        <f aca="false">IF(A1045="","",IF(COUNTIFS($X$2:$X$2001,X1045,$D$2:$D$2001,"&lt;&gt;"&amp;D1045,$C$2:$C$2001,C1045)&gt;0,"SIM","NAO"))</f>
        <v/>
      </c>
      <c r="Z1045" s="5" t="str">
        <f aca="false">IF(A1045="","",IF(J1045="","",IFERROR(360/J1045,"")))</f>
        <v/>
      </c>
      <c r="AA1045" s="5" t="str">
        <f aca="false">IF(A1045="","",IF(H1045=0,"Parado (sem venda 90d)",IF(Z1045&gt;12,"Alto (&gt;12x/ano)",IF(Z1045&gt;=4,"Medio (4-12x/ano)","Baixo (&lt;4x/ano)"))))</f>
        <v/>
      </c>
    </row>
    <row r="1046" customFormat="false" ht="15" hidden="false" customHeight="true" outlineLevel="0" collapsed="false">
      <c r="A1046" s="6"/>
      <c r="B1046" s="6"/>
      <c r="C1046" s="6"/>
      <c r="D1046" s="6"/>
      <c r="E1046" s="6"/>
      <c r="F1046" s="6"/>
      <c r="G1046" s="6"/>
      <c r="H1046" s="6"/>
      <c r="I1046" s="6"/>
      <c r="J1046" s="6"/>
      <c r="K1046" s="18"/>
      <c r="L1046" s="19" t="str">
        <f aca="false">IF(A1046="","",G1046*K1046)</f>
        <v/>
      </c>
      <c r="M1046" s="20"/>
      <c r="N1046" s="6"/>
      <c r="O1046" s="6"/>
      <c r="P1046" s="5" t="str">
        <f aca="false">IF(A1046="","",H1046/90)</f>
        <v/>
      </c>
      <c r="Q1046" s="5" t="str">
        <f aca="false">IF(A1046="","",IFERROR(INDEX(Parâmetros!$C$6:$C$10,MATCH(F1046,Parâmetros!$B$6:$B$10,0)),""))</f>
        <v/>
      </c>
      <c r="R1046" s="5" t="str">
        <f aca="false">IF(OR(A1046="",P1046="",Q1046=""),"",P1046*Q1046)</f>
        <v/>
      </c>
      <c r="S1046" s="5" t="str">
        <f aca="false">IF(R1046="","",MAX(0,R1046-G1046))</f>
        <v/>
      </c>
      <c r="T1046" s="21" t="str">
        <f aca="false">IF(S1046="","",S1046*K1046)</f>
        <v/>
      </c>
      <c r="U1046" s="5" t="str">
        <f aca="false">IF(A1046="","",IF(J1046&gt;Parâmetros!$C$14,"SIM","NAO"))</f>
        <v/>
      </c>
      <c r="V1046" s="5" t="str">
        <f aca="false">IF(B1046="","",TRIM(LEFT(B1046,IFERROR(FIND(" ",B1046)-1,LEN(B1046)))))</f>
        <v/>
      </c>
      <c r="W1046" s="22"/>
      <c r="X1046" s="5" t="str">
        <f aca="false">IF(A1046="","",IF(W1046&lt;&gt;"",W1046,V1046))</f>
        <v/>
      </c>
      <c r="Y1046" s="5" t="str">
        <f aca="false">IF(A1046="","",IF(COUNTIFS($X$2:$X$2001,X1046,$D$2:$D$2001,"&lt;&gt;"&amp;D1046,$C$2:$C$2001,C1046)&gt;0,"SIM","NAO"))</f>
        <v/>
      </c>
      <c r="Z1046" s="5" t="str">
        <f aca="false">IF(A1046="","",IF(J1046="","",IFERROR(360/J1046,"")))</f>
        <v/>
      </c>
      <c r="AA1046" s="5" t="str">
        <f aca="false">IF(A1046="","",IF(H1046=0,"Parado (sem venda 90d)",IF(Z1046&gt;12,"Alto (&gt;12x/ano)",IF(Z1046&gt;=4,"Medio (4-12x/ano)","Baixo (&lt;4x/ano)"))))</f>
        <v/>
      </c>
    </row>
    <row r="1047" customFormat="false" ht="15" hidden="false" customHeight="true" outlineLevel="0" collapsed="false">
      <c r="A1047" s="6"/>
      <c r="B1047" s="6"/>
      <c r="C1047" s="6"/>
      <c r="D1047" s="6"/>
      <c r="E1047" s="6"/>
      <c r="F1047" s="6"/>
      <c r="G1047" s="6"/>
      <c r="H1047" s="6"/>
      <c r="I1047" s="6"/>
      <c r="J1047" s="6"/>
      <c r="K1047" s="18"/>
      <c r="L1047" s="19" t="str">
        <f aca="false">IF(A1047="","",G1047*K1047)</f>
        <v/>
      </c>
      <c r="M1047" s="20"/>
      <c r="N1047" s="6"/>
      <c r="O1047" s="6"/>
      <c r="P1047" s="5" t="str">
        <f aca="false">IF(A1047="","",H1047/90)</f>
        <v/>
      </c>
      <c r="Q1047" s="5" t="str">
        <f aca="false">IF(A1047="","",IFERROR(INDEX(Parâmetros!$C$6:$C$10,MATCH(F1047,Parâmetros!$B$6:$B$10,0)),""))</f>
        <v/>
      </c>
      <c r="R1047" s="5" t="str">
        <f aca="false">IF(OR(A1047="",P1047="",Q1047=""),"",P1047*Q1047)</f>
        <v/>
      </c>
      <c r="S1047" s="5" t="str">
        <f aca="false">IF(R1047="","",MAX(0,R1047-G1047))</f>
        <v/>
      </c>
      <c r="T1047" s="21" t="str">
        <f aca="false">IF(S1047="","",S1047*K1047)</f>
        <v/>
      </c>
      <c r="U1047" s="5" t="str">
        <f aca="false">IF(A1047="","",IF(J1047&gt;Parâmetros!$C$14,"SIM","NAO"))</f>
        <v/>
      </c>
      <c r="V1047" s="5" t="str">
        <f aca="false">IF(B1047="","",TRIM(LEFT(B1047,IFERROR(FIND(" ",B1047)-1,LEN(B1047)))))</f>
        <v/>
      </c>
      <c r="W1047" s="22"/>
      <c r="X1047" s="5" t="str">
        <f aca="false">IF(A1047="","",IF(W1047&lt;&gt;"",W1047,V1047))</f>
        <v/>
      </c>
      <c r="Y1047" s="5" t="str">
        <f aca="false">IF(A1047="","",IF(COUNTIFS($X$2:$X$2001,X1047,$D$2:$D$2001,"&lt;&gt;"&amp;D1047,$C$2:$C$2001,C1047)&gt;0,"SIM","NAO"))</f>
        <v/>
      </c>
      <c r="Z1047" s="5" t="str">
        <f aca="false">IF(A1047="","",IF(J1047="","",IFERROR(360/J1047,"")))</f>
        <v/>
      </c>
      <c r="AA1047" s="5" t="str">
        <f aca="false">IF(A1047="","",IF(H1047=0,"Parado (sem venda 90d)",IF(Z1047&gt;12,"Alto (&gt;12x/ano)",IF(Z1047&gt;=4,"Medio (4-12x/ano)","Baixo (&lt;4x/ano)"))))</f>
        <v/>
      </c>
    </row>
    <row r="1048" customFormat="false" ht="15" hidden="false" customHeight="true" outlineLevel="0" collapsed="false">
      <c r="A1048" s="6"/>
      <c r="B1048" s="6"/>
      <c r="C1048" s="6"/>
      <c r="D1048" s="6"/>
      <c r="E1048" s="6"/>
      <c r="F1048" s="6"/>
      <c r="G1048" s="6"/>
      <c r="H1048" s="6"/>
      <c r="I1048" s="6"/>
      <c r="J1048" s="6"/>
      <c r="K1048" s="18"/>
      <c r="L1048" s="19" t="str">
        <f aca="false">IF(A1048="","",G1048*K1048)</f>
        <v/>
      </c>
      <c r="M1048" s="20"/>
      <c r="N1048" s="6"/>
      <c r="O1048" s="6"/>
      <c r="P1048" s="5" t="str">
        <f aca="false">IF(A1048="","",H1048/90)</f>
        <v/>
      </c>
      <c r="Q1048" s="5" t="str">
        <f aca="false">IF(A1048="","",IFERROR(INDEX(Parâmetros!$C$6:$C$10,MATCH(F1048,Parâmetros!$B$6:$B$10,0)),""))</f>
        <v/>
      </c>
      <c r="R1048" s="5" t="str">
        <f aca="false">IF(OR(A1048="",P1048="",Q1048=""),"",P1048*Q1048)</f>
        <v/>
      </c>
      <c r="S1048" s="5" t="str">
        <f aca="false">IF(R1048="","",MAX(0,R1048-G1048))</f>
        <v/>
      </c>
      <c r="T1048" s="21" t="str">
        <f aca="false">IF(S1048="","",S1048*K1048)</f>
        <v/>
      </c>
      <c r="U1048" s="5" t="str">
        <f aca="false">IF(A1048="","",IF(J1048&gt;Parâmetros!$C$14,"SIM","NAO"))</f>
        <v/>
      </c>
      <c r="V1048" s="5" t="str">
        <f aca="false">IF(B1048="","",TRIM(LEFT(B1048,IFERROR(FIND(" ",B1048)-1,LEN(B1048)))))</f>
        <v/>
      </c>
      <c r="W1048" s="22"/>
      <c r="X1048" s="5" t="str">
        <f aca="false">IF(A1048="","",IF(W1048&lt;&gt;"",W1048,V1048))</f>
        <v/>
      </c>
      <c r="Y1048" s="5" t="str">
        <f aca="false">IF(A1048="","",IF(COUNTIFS($X$2:$X$2001,X1048,$D$2:$D$2001,"&lt;&gt;"&amp;D1048,$C$2:$C$2001,C1048)&gt;0,"SIM","NAO"))</f>
        <v/>
      </c>
      <c r="Z1048" s="5" t="str">
        <f aca="false">IF(A1048="","",IF(J1048="","",IFERROR(360/J1048,"")))</f>
        <v/>
      </c>
      <c r="AA1048" s="5" t="str">
        <f aca="false">IF(A1048="","",IF(H1048=0,"Parado (sem venda 90d)",IF(Z1048&gt;12,"Alto (&gt;12x/ano)",IF(Z1048&gt;=4,"Medio (4-12x/ano)","Baixo (&lt;4x/ano)"))))</f>
        <v/>
      </c>
    </row>
    <row r="1049" customFormat="false" ht="15" hidden="false" customHeight="true" outlineLevel="0" collapsed="false">
      <c r="A1049" s="6"/>
      <c r="B1049" s="6"/>
      <c r="C1049" s="6"/>
      <c r="D1049" s="6"/>
      <c r="E1049" s="6"/>
      <c r="F1049" s="6"/>
      <c r="G1049" s="6"/>
      <c r="H1049" s="6"/>
      <c r="I1049" s="6"/>
      <c r="J1049" s="6"/>
      <c r="K1049" s="18"/>
      <c r="L1049" s="19" t="str">
        <f aca="false">IF(A1049="","",G1049*K1049)</f>
        <v/>
      </c>
      <c r="M1049" s="20"/>
      <c r="N1049" s="6"/>
      <c r="O1049" s="6"/>
      <c r="P1049" s="5" t="str">
        <f aca="false">IF(A1049="","",H1049/90)</f>
        <v/>
      </c>
      <c r="Q1049" s="5" t="str">
        <f aca="false">IF(A1049="","",IFERROR(INDEX(Parâmetros!$C$6:$C$10,MATCH(F1049,Parâmetros!$B$6:$B$10,0)),""))</f>
        <v/>
      </c>
      <c r="R1049" s="5" t="str">
        <f aca="false">IF(OR(A1049="",P1049="",Q1049=""),"",P1049*Q1049)</f>
        <v/>
      </c>
      <c r="S1049" s="5" t="str">
        <f aca="false">IF(R1049="","",MAX(0,R1049-G1049))</f>
        <v/>
      </c>
      <c r="T1049" s="21" t="str">
        <f aca="false">IF(S1049="","",S1049*K1049)</f>
        <v/>
      </c>
      <c r="U1049" s="5" t="str">
        <f aca="false">IF(A1049="","",IF(J1049&gt;Parâmetros!$C$14,"SIM","NAO"))</f>
        <v/>
      </c>
      <c r="V1049" s="5" t="str">
        <f aca="false">IF(B1049="","",TRIM(LEFT(B1049,IFERROR(FIND(" ",B1049)-1,LEN(B1049)))))</f>
        <v/>
      </c>
      <c r="W1049" s="22"/>
      <c r="X1049" s="5" t="str">
        <f aca="false">IF(A1049="","",IF(W1049&lt;&gt;"",W1049,V1049))</f>
        <v/>
      </c>
      <c r="Y1049" s="5" t="str">
        <f aca="false">IF(A1049="","",IF(COUNTIFS($X$2:$X$2001,X1049,$D$2:$D$2001,"&lt;&gt;"&amp;D1049,$C$2:$C$2001,C1049)&gt;0,"SIM","NAO"))</f>
        <v/>
      </c>
      <c r="Z1049" s="5" t="str">
        <f aca="false">IF(A1049="","",IF(J1049="","",IFERROR(360/J1049,"")))</f>
        <v/>
      </c>
      <c r="AA1049" s="5" t="str">
        <f aca="false">IF(A1049="","",IF(H1049=0,"Parado (sem venda 90d)",IF(Z1049&gt;12,"Alto (&gt;12x/ano)",IF(Z1049&gt;=4,"Medio (4-12x/ano)","Baixo (&lt;4x/ano)"))))</f>
        <v/>
      </c>
    </row>
    <row r="1050" customFormat="false" ht="15" hidden="false" customHeight="true" outlineLevel="0" collapsed="false">
      <c r="A1050" s="6"/>
      <c r="B1050" s="6"/>
      <c r="C1050" s="6"/>
      <c r="D1050" s="6"/>
      <c r="E1050" s="6"/>
      <c r="F1050" s="6"/>
      <c r="G1050" s="6"/>
      <c r="H1050" s="6"/>
      <c r="I1050" s="6"/>
      <c r="J1050" s="6"/>
      <c r="K1050" s="18"/>
      <c r="L1050" s="19" t="str">
        <f aca="false">IF(A1050="","",G1050*K1050)</f>
        <v/>
      </c>
      <c r="M1050" s="20"/>
      <c r="N1050" s="6"/>
      <c r="O1050" s="6"/>
      <c r="P1050" s="5" t="str">
        <f aca="false">IF(A1050="","",H1050/90)</f>
        <v/>
      </c>
      <c r="Q1050" s="5" t="str">
        <f aca="false">IF(A1050="","",IFERROR(INDEX(Parâmetros!$C$6:$C$10,MATCH(F1050,Parâmetros!$B$6:$B$10,0)),""))</f>
        <v/>
      </c>
      <c r="R1050" s="5" t="str">
        <f aca="false">IF(OR(A1050="",P1050="",Q1050=""),"",P1050*Q1050)</f>
        <v/>
      </c>
      <c r="S1050" s="5" t="str">
        <f aca="false">IF(R1050="","",MAX(0,R1050-G1050))</f>
        <v/>
      </c>
      <c r="T1050" s="21" t="str">
        <f aca="false">IF(S1050="","",S1050*K1050)</f>
        <v/>
      </c>
      <c r="U1050" s="5" t="str">
        <f aca="false">IF(A1050="","",IF(J1050&gt;Parâmetros!$C$14,"SIM","NAO"))</f>
        <v/>
      </c>
      <c r="V1050" s="5" t="str">
        <f aca="false">IF(B1050="","",TRIM(LEFT(B1050,IFERROR(FIND(" ",B1050)-1,LEN(B1050)))))</f>
        <v/>
      </c>
      <c r="W1050" s="22"/>
      <c r="X1050" s="5" t="str">
        <f aca="false">IF(A1050="","",IF(W1050&lt;&gt;"",W1050,V1050))</f>
        <v/>
      </c>
      <c r="Y1050" s="5" t="str">
        <f aca="false">IF(A1050="","",IF(COUNTIFS($X$2:$X$2001,X1050,$D$2:$D$2001,"&lt;&gt;"&amp;D1050,$C$2:$C$2001,C1050)&gt;0,"SIM","NAO"))</f>
        <v/>
      </c>
      <c r="Z1050" s="5" t="str">
        <f aca="false">IF(A1050="","",IF(J1050="","",IFERROR(360/J1050,"")))</f>
        <v/>
      </c>
      <c r="AA1050" s="5" t="str">
        <f aca="false">IF(A1050="","",IF(H1050=0,"Parado (sem venda 90d)",IF(Z1050&gt;12,"Alto (&gt;12x/ano)",IF(Z1050&gt;=4,"Medio (4-12x/ano)","Baixo (&lt;4x/ano)"))))</f>
        <v/>
      </c>
    </row>
    <row r="1051" customFormat="false" ht="15" hidden="false" customHeight="true" outlineLevel="0" collapsed="false">
      <c r="A1051" s="6"/>
      <c r="B1051" s="6"/>
      <c r="C1051" s="6"/>
      <c r="D1051" s="6"/>
      <c r="E1051" s="6"/>
      <c r="F1051" s="6"/>
      <c r="G1051" s="6"/>
      <c r="H1051" s="6"/>
      <c r="I1051" s="6"/>
      <c r="J1051" s="6"/>
      <c r="K1051" s="18"/>
      <c r="L1051" s="19" t="str">
        <f aca="false">IF(A1051="","",G1051*K1051)</f>
        <v/>
      </c>
      <c r="M1051" s="20"/>
      <c r="N1051" s="6"/>
      <c r="O1051" s="6"/>
      <c r="P1051" s="5" t="str">
        <f aca="false">IF(A1051="","",H1051/90)</f>
        <v/>
      </c>
      <c r="Q1051" s="5" t="str">
        <f aca="false">IF(A1051="","",IFERROR(INDEX(Parâmetros!$C$6:$C$10,MATCH(F1051,Parâmetros!$B$6:$B$10,0)),""))</f>
        <v/>
      </c>
      <c r="R1051" s="5" t="str">
        <f aca="false">IF(OR(A1051="",P1051="",Q1051=""),"",P1051*Q1051)</f>
        <v/>
      </c>
      <c r="S1051" s="5" t="str">
        <f aca="false">IF(R1051="","",MAX(0,R1051-G1051))</f>
        <v/>
      </c>
      <c r="T1051" s="21" t="str">
        <f aca="false">IF(S1051="","",S1051*K1051)</f>
        <v/>
      </c>
      <c r="U1051" s="5" t="str">
        <f aca="false">IF(A1051="","",IF(J1051&gt;Parâmetros!$C$14,"SIM","NAO"))</f>
        <v/>
      </c>
      <c r="V1051" s="5" t="str">
        <f aca="false">IF(B1051="","",TRIM(LEFT(B1051,IFERROR(FIND(" ",B1051)-1,LEN(B1051)))))</f>
        <v/>
      </c>
      <c r="W1051" s="22"/>
      <c r="X1051" s="5" t="str">
        <f aca="false">IF(A1051="","",IF(W1051&lt;&gt;"",W1051,V1051))</f>
        <v/>
      </c>
      <c r="Y1051" s="5" t="str">
        <f aca="false">IF(A1051="","",IF(COUNTIFS($X$2:$X$2001,X1051,$D$2:$D$2001,"&lt;&gt;"&amp;D1051,$C$2:$C$2001,C1051)&gt;0,"SIM","NAO"))</f>
        <v/>
      </c>
      <c r="Z1051" s="5" t="str">
        <f aca="false">IF(A1051="","",IF(J1051="","",IFERROR(360/J1051,"")))</f>
        <v/>
      </c>
      <c r="AA1051" s="5" t="str">
        <f aca="false">IF(A1051="","",IF(H1051=0,"Parado (sem venda 90d)",IF(Z1051&gt;12,"Alto (&gt;12x/ano)",IF(Z1051&gt;=4,"Medio (4-12x/ano)","Baixo (&lt;4x/ano)"))))</f>
        <v/>
      </c>
    </row>
    <row r="1052" customFormat="false" ht="15" hidden="false" customHeight="true" outlineLevel="0" collapsed="false">
      <c r="A1052" s="6"/>
      <c r="B1052" s="6"/>
      <c r="C1052" s="6"/>
      <c r="D1052" s="6"/>
      <c r="E1052" s="6"/>
      <c r="F1052" s="6"/>
      <c r="G1052" s="6"/>
      <c r="H1052" s="6"/>
      <c r="I1052" s="6"/>
      <c r="J1052" s="6"/>
      <c r="K1052" s="18"/>
      <c r="L1052" s="19" t="str">
        <f aca="false">IF(A1052="","",G1052*K1052)</f>
        <v/>
      </c>
      <c r="M1052" s="20"/>
      <c r="N1052" s="6"/>
      <c r="O1052" s="6"/>
      <c r="P1052" s="5" t="str">
        <f aca="false">IF(A1052="","",H1052/90)</f>
        <v/>
      </c>
      <c r="Q1052" s="5" t="str">
        <f aca="false">IF(A1052="","",IFERROR(INDEX(Parâmetros!$C$6:$C$10,MATCH(F1052,Parâmetros!$B$6:$B$10,0)),""))</f>
        <v/>
      </c>
      <c r="R1052" s="5" t="str">
        <f aca="false">IF(OR(A1052="",P1052="",Q1052=""),"",P1052*Q1052)</f>
        <v/>
      </c>
      <c r="S1052" s="5" t="str">
        <f aca="false">IF(R1052="","",MAX(0,R1052-G1052))</f>
        <v/>
      </c>
      <c r="T1052" s="21" t="str">
        <f aca="false">IF(S1052="","",S1052*K1052)</f>
        <v/>
      </c>
      <c r="U1052" s="5" t="str">
        <f aca="false">IF(A1052="","",IF(J1052&gt;Parâmetros!$C$14,"SIM","NAO"))</f>
        <v/>
      </c>
      <c r="V1052" s="5" t="str">
        <f aca="false">IF(B1052="","",TRIM(LEFT(B1052,IFERROR(FIND(" ",B1052)-1,LEN(B1052)))))</f>
        <v/>
      </c>
      <c r="W1052" s="22"/>
      <c r="X1052" s="5" t="str">
        <f aca="false">IF(A1052="","",IF(W1052&lt;&gt;"",W1052,V1052))</f>
        <v/>
      </c>
      <c r="Y1052" s="5" t="str">
        <f aca="false">IF(A1052="","",IF(COUNTIFS($X$2:$X$2001,X1052,$D$2:$D$2001,"&lt;&gt;"&amp;D1052,$C$2:$C$2001,C1052)&gt;0,"SIM","NAO"))</f>
        <v/>
      </c>
      <c r="Z1052" s="5" t="str">
        <f aca="false">IF(A1052="","",IF(J1052="","",IFERROR(360/J1052,"")))</f>
        <v/>
      </c>
      <c r="AA1052" s="5" t="str">
        <f aca="false">IF(A1052="","",IF(H1052=0,"Parado (sem venda 90d)",IF(Z1052&gt;12,"Alto (&gt;12x/ano)",IF(Z1052&gt;=4,"Medio (4-12x/ano)","Baixo (&lt;4x/ano)"))))</f>
        <v/>
      </c>
    </row>
    <row r="1053" customFormat="false" ht="15" hidden="false" customHeight="true" outlineLevel="0" collapsed="false">
      <c r="A1053" s="6"/>
      <c r="B1053" s="6"/>
      <c r="C1053" s="6"/>
      <c r="D1053" s="6"/>
      <c r="E1053" s="6"/>
      <c r="F1053" s="6"/>
      <c r="G1053" s="6"/>
      <c r="H1053" s="6"/>
      <c r="I1053" s="6"/>
      <c r="J1053" s="6"/>
      <c r="K1053" s="18"/>
      <c r="L1053" s="19" t="str">
        <f aca="false">IF(A1053="","",G1053*K1053)</f>
        <v/>
      </c>
      <c r="M1053" s="20"/>
      <c r="N1053" s="6"/>
      <c r="O1053" s="6"/>
      <c r="P1053" s="5" t="str">
        <f aca="false">IF(A1053="","",H1053/90)</f>
        <v/>
      </c>
      <c r="Q1053" s="5" t="str">
        <f aca="false">IF(A1053="","",IFERROR(INDEX(Parâmetros!$C$6:$C$10,MATCH(F1053,Parâmetros!$B$6:$B$10,0)),""))</f>
        <v/>
      </c>
      <c r="R1053" s="5" t="str">
        <f aca="false">IF(OR(A1053="",P1053="",Q1053=""),"",P1053*Q1053)</f>
        <v/>
      </c>
      <c r="S1053" s="5" t="str">
        <f aca="false">IF(R1053="","",MAX(0,R1053-G1053))</f>
        <v/>
      </c>
      <c r="T1053" s="21" t="str">
        <f aca="false">IF(S1053="","",S1053*K1053)</f>
        <v/>
      </c>
      <c r="U1053" s="5" t="str">
        <f aca="false">IF(A1053="","",IF(J1053&gt;Parâmetros!$C$14,"SIM","NAO"))</f>
        <v/>
      </c>
      <c r="V1053" s="5" t="str">
        <f aca="false">IF(B1053="","",TRIM(LEFT(B1053,IFERROR(FIND(" ",B1053)-1,LEN(B1053)))))</f>
        <v/>
      </c>
      <c r="W1053" s="22"/>
      <c r="X1053" s="5" t="str">
        <f aca="false">IF(A1053="","",IF(W1053&lt;&gt;"",W1053,V1053))</f>
        <v/>
      </c>
      <c r="Y1053" s="5" t="str">
        <f aca="false">IF(A1053="","",IF(COUNTIFS($X$2:$X$2001,X1053,$D$2:$D$2001,"&lt;&gt;"&amp;D1053,$C$2:$C$2001,C1053)&gt;0,"SIM","NAO"))</f>
        <v/>
      </c>
      <c r="Z1053" s="5" t="str">
        <f aca="false">IF(A1053="","",IF(J1053="","",IFERROR(360/J1053,"")))</f>
        <v/>
      </c>
      <c r="AA1053" s="5" t="str">
        <f aca="false">IF(A1053="","",IF(H1053=0,"Parado (sem venda 90d)",IF(Z1053&gt;12,"Alto (&gt;12x/ano)",IF(Z1053&gt;=4,"Medio (4-12x/ano)","Baixo (&lt;4x/ano)"))))</f>
        <v/>
      </c>
    </row>
    <row r="1054" customFormat="false" ht="15" hidden="false" customHeight="true" outlineLevel="0" collapsed="false">
      <c r="A1054" s="6"/>
      <c r="B1054" s="6"/>
      <c r="C1054" s="6"/>
      <c r="D1054" s="6"/>
      <c r="E1054" s="6"/>
      <c r="F1054" s="6"/>
      <c r="G1054" s="6"/>
      <c r="H1054" s="6"/>
      <c r="I1054" s="6"/>
      <c r="J1054" s="6"/>
      <c r="K1054" s="18"/>
      <c r="L1054" s="19" t="str">
        <f aca="false">IF(A1054="","",G1054*K1054)</f>
        <v/>
      </c>
      <c r="M1054" s="20"/>
      <c r="N1054" s="6"/>
      <c r="O1054" s="6"/>
      <c r="P1054" s="5" t="str">
        <f aca="false">IF(A1054="","",H1054/90)</f>
        <v/>
      </c>
      <c r="Q1054" s="5" t="str">
        <f aca="false">IF(A1054="","",IFERROR(INDEX(Parâmetros!$C$6:$C$10,MATCH(F1054,Parâmetros!$B$6:$B$10,0)),""))</f>
        <v/>
      </c>
      <c r="R1054" s="5" t="str">
        <f aca="false">IF(OR(A1054="",P1054="",Q1054=""),"",P1054*Q1054)</f>
        <v/>
      </c>
      <c r="S1054" s="5" t="str">
        <f aca="false">IF(R1054="","",MAX(0,R1054-G1054))</f>
        <v/>
      </c>
      <c r="T1054" s="21" t="str">
        <f aca="false">IF(S1054="","",S1054*K1054)</f>
        <v/>
      </c>
      <c r="U1054" s="5" t="str">
        <f aca="false">IF(A1054="","",IF(J1054&gt;Parâmetros!$C$14,"SIM","NAO"))</f>
        <v/>
      </c>
      <c r="V1054" s="5" t="str">
        <f aca="false">IF(B1054="","",TRIM(LEFT(B1054,IFERROR(FIND(" ",B1054)-1,LEN(B1054)))))</f>
        <v/>
      </c>
      <c r="W1054" s="22"/>
      <c r="X1054" s="5" t="str">
        <f aca="false">IF(A1054="","",IF(W1054&lt;&gt;"",W1054,V1054))</f>
        <v/>
      </c>
      <c r="Y1054" s="5" t="str">
        <f aca="false">IF(A1054="","",IF(COUNTIFS($X$2:$X$2001,X1054,$D$2:$D$2001,"&lt;&gt;"&amp;D1054,$C$2:$C$2001,C1054)&gt;0,"SIM","NAO"))</f>
        <v/>
      </c>
      <c r="Z1054" s="5" t="str">
        <f aca="false">IF(A1054="","",IF(J1054="","",IFERROR(360/J1054,"")))</f>
        <v/>
      </c>
      <c r="AA1054" s="5" t="str">
        <f aca="false">IF(A1054="","",IF(H1054=0,"Parado (sem venda 90d)",IF(Z1054&gt;12,"Alto (&gt;12x/ano)",IF(Z1054&gt;=4,"Medio (4-12x/ano)","Baixo (&lt;4x/ano)"))))</f>
        <v/>
      </c>
    </row>
    <row r="1055" customFormat="false" ht="15" hidden="false" customHeight="true" outlineLevel="0" collapsed="false">
      <c r="A1055" s="6"/>
      <c r="B1055" s="6"/>
      <c r="C1055" s="6"/>
      <c r="D1055" s="6"/>
      <c r="E1055" s="6"/>
      <c r="F1055" s="6"/>
      <c r="G1055" s="6"/>
      <c r="H1055" s="6"/>
      <c r="I1055" s="6"/>
      <c r="J1055" s="6"/>
      <c r="K1055" s="18"/>
      <c r="L1055" s="19" t="str">
        <f aca="false">IF(A1055="","",G1055*K1055)</f>
        <v/>
      </c>
      <c r="M1055" s="20"/>
      <c r="N1055" s="6"/>
      <c r="O1055" s="6"/>
      <c r="P1055" s="5" t="str">
        <f aca="false">IF(A1055="","",H1055/90)</f>
        <v/>
      </c>
      <c r="Q1055" s="5" t="str">
        <f aca="false">IF(A1055="","",IFERROR(INDEX(Parâmetros!$C$6:$C$10,MATCH(F1055,Parâmetros!$B$6:$B$10,0)),""))</f>
        <v/>
      </c>
      <c r="R1055" s="5" t="str">
        <f aca="false">IF(OR(A1055="",P1055="",Q1055=""),"",P1055*Q1055)</f>
        <v/>
      </c>
      <c r="S1055" s="5" t="str">
        <f aca="false">IF(R1055="","",MAX(0,R1055-G1055))</f>
        <v/>
      </c>
      <c r="T1055" s="21" t="str">
        <f aca="false">IF(S1055="","",S1055*K1055)</f>
        <v/>
      </c>
      <c r="U1055" s="5" t="str">
        <f aca="false">IF(A1055="","",IF(J1055&gt;Parâmetros!$C$14,"SIM","NAO"))</f>
        <v/>
      </c>
      <c r="V1055" s="5" t="str">
        <f aca="false">IF(B1055="","",TRIM(LEFT(B1055,IFERROR(FIND(" ",B1055)-1,LEN(B1055)))))</f>
        <v/>
      </c>
      <c r="W1055" s="22"/>
      <c r="X1055" s="5" t="str">
        <f aca="false">IF(A1055="","",IF(W1055&lt;&gt;"",W1055,V1055))</f>
        <v/>
      </c>
      <c r="Y1055" s="5" t="str">
        <f aca="false">IF(A1055="","",IF(COUNTIFS($X$2:$X$2001,X1055,$D$2:$D$2001,"&lt;&gt;"&amp;D1055,$C$2:$C$2001,C1055)&gt;0,"SIM","NAO"))</f>
        <v/>
      </c>
      <c r="Z1055" s="5" t="str">
        <f aca="false">IF(A1055="","",IF(J1055="","",IFERROR(360/J1055,"")))</f>
        <v/>
      </c>
      <c r="AA1055" s="5" t="str">
        <f aca="false">IF(A1055="","",IF(H1055=0,"Parado (sem venda 90d)",IF(Z1055&gt;12,"Alto (&gt;12x/ano)",IF(Z1055&gt;=4,"Medio (4-12x/ano)","Baixo (&lt;4x/ano)"))))</f>
        <v/>
      </c>
    </row>
    <row r="1056" customFormat="false" ht="15" hidden="false" customHeight="true" outlineLevel="0" collapsed="false">
      <c r="A1056" s="6"/>
      <c r="B1056" s="6"/>
      <c r="C1056" s="6"/>
      <c r="D1056" s="6"/>
      <c r="E1056" s="6"/>
      <c r="F1056" s="6"/>
      <c r="G1056" s="6"/>
      <c r="H1056" s="6"/>
      <c r="I1056" s="6"/>
      <c r="J1056" s="6"/>
      <c r="K1056" s="18"/>
      <c r="L1056" s="19" t="str">
        <f aca="false">IF(A1056="","",G1056*K1056)</f>
        <v/>
      </c>
      <c r="M1056" s="20"/>
      <c r="N1056" s="6"/>
      <c r="O1056" s="6"/>
      <c r="P1056" s="5" t="str">
        <f aca="false">IF(A1056="","",H1056/90)</f>
        <v/>
      </c>
      <c r="Q1056" s="5" t="str">
        <f aca="false">IF(A1056="","",IFERROR(INDEX(Parâmetros!$C$6:$C$10,MATCH(F1056,Parâmetros!$B$6:$B$10,0)),""))</f>
        <v/>
      </c>
      <c r="R1056" s="5" t="str">
        <f aca="false">IF(OR(A1056="",P1056="",Q1056=""),"",P1056*Q1056)</f>
        <v/>
      </c>
      <c r="S1056" s="5" t="str">
        <f aca="false">IF(R1056="","",MAX(0,R1056-G1056))</f>
        <v/>
      </c>
      <c r="T1056" s="21" t="str">
        <f aca="false">IF(S1056="","",S1056*K1056)</f>
        <v/>
      </c>
      <c r="U1056" s="5" t="str">
        <f aca="false">IF(A1056="","",IF(J1056&gt;Parâmetros!$C$14,"SIM","NAO"))</f>
        <v/>
      </c>
      <c r="V1056" s="5" t="str">
        <f aca="false">IF(B1056="","",TRIM(LEFT(B1056,IFERROR(FIND(" ",B1056)-1,LEN(B1056)))))</f>
        <v/>
      </c>
      <c r="W1056" s="22"/>
      <c r="X1056" s="5" t="str">
        <f aca="false">IF(A1056="","",IF(W1056&lt;&gt;"",W1056,V1056))</f>
        <v/>
      </c>
      <c r="Y1056" s="5" t="str">
        <f aca="false">IF(A1056="","",IF(COUNTIFS($X$2:$X$2001,X1056,$D$2:$D$2001,"&lt;&gt;"&amp;D1056,$C$2:$C$2001,C1056)&gt;0,"SIM","NAO"))</f>
        <v/>
      </c>
      <c r="Z1056" s="5" t="str">
        <f aca="false">IF(A1056="","",IF(J1056="","",IFERROR(360/J1056,"")))</f>
        <v/>
      </c>
      <c r="AA1056" s="5" t="str">
        <f aca="false">IF(A1056="","",IF(H1056=0,"Parado (sem venda 90d)",IF(Z1056&gt;12,"Alto (&gt;12x/ano)",IF(Z1056&gt;=4,"Medio (4-12x/ano)","Baixo (&lt;4x/ano)"))))</f>
        <v/>
      </c>
    </row>
    <row r="1057" customFormat="false" ht="15" hidden="false" customHeight="true" outlineLevel="0" collapsed="false">
      <c r="A1057" s="6"/>
      <c r="B1057" s="6"/>
      <c r="C1057" s="6"/>
      <c r="D1057" s="6"/>
      <c r="E1057" s="6"/>
      <c r="F1057" s="6"/>
      <c r="G1057" s="6"/>
      <c r="H1057" s="6"/>
      <c r="I1057" s="6"/>
      <c r="J1057" s="6"/>
      <c r="K1057" s="18"/>
      <c r="L1057" s="19" t="str">
        <f aca="false">IF(A1057="","",G1057*K1057)</f>
        <v/>
      </c>
      <c r="M1057" s="20"/>
      <c r="N1057" s="6"/>
      <c r="O1057" s="6"/>
      <c r="P1057" s="5" t="str">
        <f aca="false">IF(A1057="","",H1057/90)</f>
        <v/>
      </c>
      <c r="Q1057" s="5" t="str">
        <f aca="false">IF(A1057="","",IFERROR(INDEX(Parâmetros!$C$6:$C$10,MATCH(F1057,Parâmetros!$B$6:$B$10,0)),""))</f>
        <v/>
      </c>
      <c r="R1057" s="5" t="str">
        <f aca="false">IF(OR(A1057="",P1057="",Q1057=""),"",P1057*Q1057)</f>
        <v/>
      </c>
      <c r="S1057" s="5" t="str">
        <f aca="false">IF(R1057="","",MAX(0,R1057-G1057))</f>
        <v/>
      </c>
      <c r="T1057" s="21" t="str">
        <f aca="false">IF(S1057="","",S1057*K1057)</f>
        <v/>
      </c>
      <c r="U1057" s="5" t="str">
        <f aca="false">IF(A1057="","",IF(J1057&gt;Parâmetros!$C$14,"SIM","NAO"))</f>
        <v/>
      </c>
      <c r="V1057" s="5" t="str">
        <f aca="false">IF(B1057="","",TRIM(LEFT(B1057,IFERROR(FIND(" ",B1057)-1,LEN(B1057)))))</f>
        <v/>
      </c>
      <c r="W1057" s="22"/>
      <c r="X1057" s="5" t="str">
        <f aca="false">IF(A1057="","",IF(W1057&lt;&gt;"",W1057,V1057))</f>
        <v/>
      </c>
      <c r="Y1057" s="5" t="str">
        <f aca="false">IF(A1057="","",IF(COUNTIFS($X$2:$X$2001,X1057,$D$2:$D$2001,"&lt;&gt;"&amp;D1057,$C$2:$C$2001,C1057)&gt;0,"SIM","NAO"))</f>
        <v/>
      </c>
      <c r="Z1057" s="5" t="str">
        <f aca="false">IF(A1057="","",IF(J1057="","",IFERROR(360/J1057,"")))</f>
        <v/>
      </c>
      <c r="AA1057" s="5" t="str">
        <f aca="false">IF(A1057="","",IF(H1057=0,"Parado (sem venda 90d)",IF(Z1057&gt;12,"Alto (&gt;12x/ano)",IF(Z1057&gt;=4,"Medio (4-12x/ano)","Baixo (&lt;4x/ano)"))))</f>
        <v/>
      </c>
    </row>
    <row r="1058" customFormat="false" ht="15" hidden="false" customHeight="true" outlineLevel="0" collapsed="false">
      <c r="A1058" s="6"/>
      <c r="B1058" s="6"/>
      <c r="C1058" s="6"/>
      <c r="D1058" s="6"/>
      <c r="E1058" s="6"/>
      <c r="F1058" s="6"/>
      <c r="G1058" s="6"/>
      <c r="H1058" s="6"/>
      <c r="I1058" s="6"/>
      <c r="J1058" s="6"/>
      <c r="K1058" s="18"/>
      <c r="L1058" s="19" t="str">
        <f aca="false">IF(A1058="","",G1058*K1058)</f>
        <v/>
      </c>
      <c r="M1058" s="20"/>
      <c r="N1058" s="6"/>
      <c r="O1058" s="6"/>
      <c r="P1058" s="5" t="str">
        <f aca="false">IF(A1058="","",H1058/90)</f>
        <v/>
      </c>
      <c r="Q1058" s="5" t="str">
        <f aca="false">IF(A1058="","",IFERROR(INDEX(Parâmetros!$C$6:$C$10,MATCH(F1058,Parâmetros!$B$6:$B$10,0)),""))</f>
        <v/>
      </c>
      <c r="R1058" s="5" t="str">
        <f aca="false">IF(OR(A1058="",P1058="",Q1058=""),"",P1058*Q1058)</f>
        <v/>
      </c>
      <c r="S1058" s="5" t="str">
        <f aca="false">IF(R1058="","",MAX(0,R1058-G1058))</f>
        <v/>
      </c>
      <c r="T1058" s="21" t="str">
        <f aca="false">IF(S1058="","",S1058*K1058)</f>
        <v/>
      </c>
      <c r="U1058" s="5" t="str">
        <f aca="false">IF(A1058="","",IF(J1058&gt;Parâmetros!$C$14,"SIM","NAO"))</f>
        <v/>
      </c>
      <c r="V1058" s="5" t="str">
        <f aca="false">IF(B1058="","",TRIM(LEFT(B1058,IFERROR(FIND(" ",B1058)-1,LEN(B1058)))))</f>
        <v/>
      </c>
      <c r="W1058" s="22"/>
      <c r="X1058" s="5" t="str">
        <f aca="false">IF(A1058="","",IF(W1058&lt;&gt;"",W1058,V1058))</f>
        <v/>
      </c>
      <c r="Y1058" s="5" t="str">
        <f aca="false">IF(A1058="","",IF(COUNTIFS($X$2:$X$2001,X1058,$D$2:$D$2001,"&lt;&gt;"&amp;D1058,$C$2:$C$2001,C1058)&gt;0,"SIM","NAO"))</f>
        <v/>
      </c>
      <c r="Z1058" s="5" t="str">
        <f aca="false">IF(A1058="","",IF(J1058="","",IFERROR(360/J1058,"")))</f>
        <v/>
      </c>
      <c r="AA1058" s="5" t="str">
        <f aca="false">IF(A1058="","",IF(H1058=0,"Parado (sem venda 90d)",IF(Z1058&gt;12,"Alto (&gt;12x/ano)",IF(Z1058&gt;=4,"Medio (4-12x/ano)","Baixo (&lt;4x/ano)"))))</f>
        <v/>
      </c>
    </row>
    <row r="1059" customFormat="false" ht="15" hidden="false" customHeight="true" outlineLevel="0" collapsed="false">
      <c r="A1059" s="6"/>
      <c r="B1059" s="6"/>
      <c r="C1059" s="6"/>
      <c r="D1059" s="6"/>
      <c r="E1059" s="6"/>
      <c r="F1059" s="6"/>
      <c r="G1059" s="6"/>
      <c r="H1059" s="6"/>
      <c r="I1059" s="6"/>
      <c r="J1059" s="6"/>
      <c r="K1059" s="18"/>
      <c r="L1059" s="19" t="str">
        <f aca="false">IF(A1059="","",G1059*K1059)</f>
        <v/>
      </c>
      <c r="M1059" s="20"/>
      <c r="N1059" s="6"/>
      <c r="O1059" s="6"/>
      <c r="P1059" s="5" t="str">
        <f aca="false">IF(A1059="","",H1059/90)</f>
        <v/>
      </c>
      <c r="Q1059" s="5" t="str">
        <f aca="false">IF(A1059="","",IFERROR(INDEX(Parâmetros!$C$6:$C$10,MATCH(F1059,Parâmetros!$B$6:$B$10,0)),""))</f>
        <v/>
      </c>
      <c r="R1059" s="5" t="str">
        <f aca="false">IF(OR(A1059="",P1059="",Q1059=""),"",P1059*Q1059)</f>
        <v/>
      </c>
      <c r="S1059" s="5" t="str">
        <f aca="false">IF(R1059="","",MAX(0,R1059-G1059))</f>
        <v/>
      </c>
      <c r="T1059" s="21" t="str">
        <f aca="false">IF(S1059="","",S1059*K1059)</f>
        <v/>
      </c>
      <c r="U1059" s="5" t="str">
        <f aca="false">IF(A1059="","",IF(J1059&gt;Parâmetros!$C$14,"SIM","NAO"))</f>
        <v/>
      </c>
      <c r="V1059" s="5" t="str">
        <f aca="false">IF(B1059="","",TRIM(LEFT(B1059,IFERROR(FIND(" ",B1059)-1,LEN(B1059)))))</f>
        <v/>
      </c>
      <c r="W1059" s="22"/>
      <c r="X1059" s="5" t="str">
        <f aca="false">IF(A1059="","",IF(W1059&lt;&gt;"",W1059,V1059))</f>
        <v/>
      </c>
      <c r="Y1059" s="5" t="str">
        <f aca="false">IF(A1059="","",IF(COUNTIFS($X$2:$X$2001,X1059,$D$2:$D$2001,"&lt;&gt;"&amp;D1059,$C$2:$C$2001,C1059)&gt;0,"SIM","NAO"))</f>
        <v/>
      </c>
      <c r="Z1059" s="5" t="str">
        <f aca="false">IF(A1059="","",IF(J1059="","",IFERROR(360/J1059,"")))</f>
        <v/>
      </c>
      <c r="AA1059" s="5" t="str">
        <f aca="false">IF(A1059="","",IF(H1059=0,"Parado (sem venda 90d)",IF(Z1059&gt;12,"Alto (&gt;12x/ano)",IF(Z1059&gt;=4,"Medio (4-12x/ano)","Baixo (&lt;4x/ano)"))))</f>
        <v/>
      </c>
    </row>
    <row r="1060" customFormat="false" ht="15" hidden="false" customHeight="true" outlineLevel="0" collapsed="false">
      <c r="A1060" s="6"/>
      <c r="B1060" s="6"/>
      <c r="C1060" s="6"/>
      <c r="D1060" s="6"/>
      <c r="E1060" s="6"/>
      <c r="F1060" s="6"/>
      <c r="G1060" s="6"/>
      <c r="H1060" s="6"/>
      <c r="I1060" s="6"/>
      <c r="J1060" s="6"/>
      <c r="K1060" s="18"/>
      <c r="L1060" s="19" t="str">
        <f aca="false">IF(A1060="","",G1060*K1060)</f>
        <v/>
      </c>
      <c r="M1060" s="20"/>
      <c r="N1060" s="6"/>
      <c r="O1060" s="6"/>
      <c r="P1060" s="5" t="str">
        <f aca="false">IF(A1060="","",H1060/90)</f>
        <v/>
      </c>
      <c r="Q1060" s="5" t="str">
        <f aca="false">IF(A1060="","",IFERROR(INDEX(Parâmetros!$C$6:$C$10,MATCH(F1060,Parâmetros!$B$6:$B$10,0)),""))</f>
        <v/>
      </c>
      <c r="R1060" s="5" t="str">
        <f aca="false">IF(OR(A1060="",P1060="",Q1060=""),"",P1060*Q1060)</f>
        <v/>
      </c>
      <c r="S1060" s="5" t="str">
        <f aca="false">IF(R1060="","",MAX(0,R1060-G1060))</f>
        <v/>
      </c>
      <c r="T1060" s="21" t="str">
        <f aca="false">IF(S1060="","",S1060*K1060)</f>
        <v/>
      </c>
      <c r="U1060" s="5" t="str">
        <f aca="false">IF(A1060="","",IF(J1060&gt;Parâmetros!$C$14,"SIM","NAO"))</f>
        <v/>
      </c>
      <c r="V1060" s="5" t="str">
        <f aca="false">IF(B1060="","",TRIM(LEFT(B1060,IFERROR(FIND(" ",B1060)-1,LEN(B1060)))))</f>
        <v/>
      </c>
      <c r="W1060" s="22"/>
      <c r="X1060" s="5" t="str">
        <f aca="false">IF(A1060="","",IF(W1060&lt;&gt;"",W1060,V1060))</f>
        <v/>
      </c>
      <c r="Y1060" s="5" t="str">
        <f aca="false">IF(A1060="","",IF(COUNTIFS($X$2:$X$2001,X1060,$D$2:$D$2001,"&lt;&gt;"&amp;D1060,$C$2:$C$2001,C1060)&gt;0,"SIM","NAO"))</f>
        <v/>
      </c>
      <c r="Z1060" s="5" t="str">
        <f aca="false">IF(A1060="","",IF(J1060="","",IFERROR(360/J1060,"")))</f>
        <v/>
      </c>
      <c r="AA1060" s="5" t="str">
        <f aca="false">IF(A1060="","",IF(H1060=0,"Parado (sem venda 90d)",IF(Z1060&gt;12,"Alto (&gt;12x/ano)",IF(Z1060&gt;=4,"Medio (4-12x/ano)","Baixo (&lt;4x/ano)"))))</f>
        <v/>
      </c>
    </row>
    <row r="1061" customFormat="false" ht="15" hidden="false" customHeight="true" outlineLevel="0" collapsed="false">
      <c r="A1061" s="6"/>
      <c r="B1061" s="6"/>
      <c r="C1061" s="6"/>
      <c r="D1061" s="6"/>
      <c r="E1061" s="6"/>
      <c r="F1061" s="6"/>
      <c r="G1061" s="6"/>
      <c r="H1061" s="6"/>
      <c r="I1061" s="6"/>
      <c r="J1061" s="6"/>
      <c r="K1061" s="18"/>
      <c r="L1061" s="19" t="str">
        <f aca="false">IF(A1061="","",G1061*K1061)</f>
        <v/>
      </c>
      <c r="M1061" s="20"/>
      <c r="N1061" s="6"/>
      <c r="O1061" s="6"/>
      <c r="P1061" s="5" t="str">
        <f aca="false">IF(A1061="","",H1061/90)</f>
        <v/>
      </c>
      <c r="Q1061" s="5" t="str">
        <f aca="false">IF(A1061="","",IFERROR(INDEX(Parâmetros!$C$6:$C$10,MATCH(F1061,Parâmetros!$B$6:$B$10,0)),""))</f>
        <v/>
      </c>
      <c r="R1061" s="5" t="str">
        <f aca="false">IF(OR(A1061="",P1061="",Q1061=""),"",P1061*Q1061)</f>
        <v/>
      </c>
      <c r="S1061" s="5" t="str">
        <f aca="false">IF(R1061="","",MAX(0,R1061-G1061))</f>
        <v/>
      </c>
      <c r="T1061" s="21" t="str">
        <f aca="false">IF(S1061="","",S1061*K1061)</f>
        <v/>
      </c>
      <c r="U1061" s="5" t="str">
        <f aca="false">IF(A1061="","",IF(J1061&gt;Parâmetros!$C$14,"SIM","NAO"))</f>
        <v/>
      </c>
      <c r="V1061" s="5" t="str">
        <f aca="false">IF(B1061="","",TRIM(LEFT(B1061,IFERROR(FIND(" ",B1061)-1,LEN(B1061)))))</f>
        <v/>
      </c>
      <c r="W1061" s="22"/>
      <c r="X1061" s="5" t="str">
        <f aca="false">IF(A1061="","",IF(W1061&lt;&gt;"",W1061,V1061))</f>
        <v/>
      </c>
      <c r="Y1061" s="5" t="str">
        <f aca="false">IF(A1061="","",IF(COUNTIFS($X$2:$X$2001,X1061,$D$2:$D$2001,"&lt;&gt;"&amp;D1061,$C$2:$C$2001,C1061)&gt;0,"SIM","NAO"))</f>
        <v/>
      </c>
      <c r="Z1061" s="5" t="str">
        <f aca="false">IF(A1061="","",IF(J1061="","",IFERROR(360/J1061,"")))</f>
        <v/>
      </c>
      <c r="AA1061" s="5" t="str">
        <f aca="false">IF(A1061="","",IF(H1061=0,"Parado (sem venda 90d)",IF(Z1061&gt;12,"Alto (&gt;12x/ano)",IF(Z1061&gt;=4,"Medio (4-12x/ano)","Baixo (&lt;4x/ano)"))))</f>
        <v/>
      </c>
    </row>
    <row r="1062" customFormat="false" ht="15" hidden="false" customHeight="true" outlineLevel="0" collapsed="false">
      <c r="A1062" s="6"/>
      <c r="B1062" s="6"/>
      <c r="C1062" s="6"/>
      <c r="D1062" s="6"/>
      <c r="E1062" s="6"/>
      <c r="F1062" s="6"/>
      <c r="G1062" s="6"/>
      <c r="H1062" s="6"/>
      <c r="I1062" s="6"/>
      <c r="J1062" s="6"/>
      <c r="K1062" s="18"/>
      <c r="L1062" s="19" t="str">
        <f aca="false">IF(A1062="","",G1062*K1062)</f>
        <v/>
      </c>
      <c r="M1062" s="20"/>
      <c r="N1062" s="6"/>
      <c r="O1062" s="6"/>
      <c r="P1062" s="5" t="str">
        <f aca="false">IF(A1062="","",H1062/90)</f>
        <v/>
      </c>
      <c r="Q1062" s="5" t="str">
        <f aca="false">IF(A1062="","",IFERROR(INDEX(Parâmetros!$C$6:$C$10,MATCH(F1062,Parâmetros!$B$6:$B$10,0)),""))</f>
        <v/>
      </c>
      <c r="R1062" s="5" t="str">
        <f aca="false">IF(OR(A1062="",P1062="",Q1062=""),"",P1062*Q1062)</f>
        <v/>
      </c>
      <c r="S1062" s="5" t="str">
        <f aca="false">IF(R1062="","",MAX(0,R1062-G1062))</f>
        <v/>
      </c>
      <c r="T1062" s="21" t="str">
        <f aca="false">IF(S1062="","",S1062*K1062)</f>
        <v/>
      </c>
      <c r="U1062" s="5" t="str">
        <f aca="false">IF(A1062="","",IF(J1062&gt;Parâmetros!$C$14,"SIM","NAO"))</f>
        <v/>
      </c>
      <c r="V1062" s="5" t="str">
        <f aca="false">IF(B1062="","",TRIM(LEFT(B1062,IFERROR(FIND(" ",B1062)-1,LEN(B1062)))))</f>
        <v/>
      </c>
      <c r="W1062" s="22"/>
      <c r="X1062" s="5" t="str">
        <f aca="false">IF(A1062="","",IF(W1062&lt;&gt;"",W1062,V1062))</f>
        <v/>
      </c>
      <c r="Y1062" s="5" t="str">
        <f aca="false">IF(A1062="","",IF(COUNTIFS($X$2:$X$2001,X1062,$D$2:$D$2001,"&lt;&gt;"&amp;D1062,$C$2:$C$2001,C1062)&gt;0,"SIM","NAO"))</f>
        <v/>
      </c>
      <c r="Z1062" s="5" t="str">
        <f aca="false">IF(A1062="","",IF(J1062="","",IFERROR(360/J1062,"")))</f>
        <v/>
      </c>
      <c r="AA1062" s="5" t="str">
        <f aca="false">IF(A1062="","",IF(H1062=0,"Parado (sem venda 90d)",IF(Z1062&gt;12,"Alto (&gt;12x/ano)",IF(Z1062&gt;=4,"Medio (4-12x/ano)","Baixo (&lt;4x/ano)"))))</f>
        <v/>
      </c>
    </row>
    <row r="1063" customFormat="false" ht="15" hidden="false" customHeight="true" outlineLevel="0" collapsed="false">
      <c r="A1063" s="6"/>
      <c r="B1063" s="6"/>
      <c r="C1063" s="6"/>
      <c r="D1063" s="6"/>
      <c r="E1063" s="6"/>
      <c r="F1063" s="6"/>
      <c r="G1063" s="6"/>
      <c r="H1063" s="6"/>
      <c r="I1063" s="6"/>
      <c r="J1063" s="6"/>
      <c r="K1063" s="18"/>
      <c r="L1063" s="19" t="str">
        <f aca="false">IF(A1063="","",G1063*K1063)</f>
        <v/>
      </c>
      <c r="M1063" s="20"/>
      <c r="N1063" s="6"/>
      <c r="O1063" s="6"/>
      <c r="P1063" s="5" t="str">
        <f aca="false">IF(A1063="","",H1063/90)</f>
        <v/>
      </c>
      <c r="Q1063" s="5" t="str">
        <f aca="false">IF(A1063="","",IFERROR(INDEX(Parâmetros!$C$6:$C$10,MATCH(F1063,Parâmetros!$B$6:$B$10,0)),""))</f>
        <v/>
      </c>
      <c r="R1063" s="5" t="str">
        <f aca="false">IF(OR(A1063="",P1063="",Q1063=""),"",P1063*Q1063)</f>
        <v/>
      </c>
      <c r="S1063" s="5" t="str">
        <f aca="false">IF(R1063="","",MAX(0,R1063-G1063))</f>
        <v/>
      </c>
      <c r="T1063" s="21" t="str">
        <f aca="false">IF(S1063="","",S1063*K1063)</f>
        <v/>
      </c>
      <c r="U1063" s="5" t="str">
        <f aca="false">IF(A1063="","",IF(J1063&gt;Parâmetros!$C$14,"SIM","NAO"))</f>
        <v/>
      </c>
      <c r="V1063" s="5" t="str">
        <f aca="false">IF(B1063="","",TRIM(LEFT(B1063,IFERROR(FIND(" ",B1063)-1,LEN(B1063)))))</f>
        <v/>
      </c>
      <c r="W1063" s="22"/>
      <c r="X1063" s="5" t="str">
        <f aca="false">IF(A1063="","",IF(W1063&lt;&gt;"",W1063,V1063))</f>
        <v/>
      </c>
      <c r="Y1063" s="5" t="str">
        <f aca="false">IF(A1063="","",IF(COUNTIFS($X$2:$X$2001,X1063,$D$2:$D$2001,"&lt;&gt;"&amp;D1063,$C$2:$C$2001,C1063)&gt;0,"SIM","NAO"))</f>
        <v/>
      </c>
      <c r="Z1063" s="5" t="str">
        <f aca="false">IF(A1063="","",IF(J1063="","",IFERROR(360/J1063,"")))</f>
        <v/>
      </c>
      <c r="AA1063" s="5" t="str">
        <f aca="false">IF(A1063="","",IF(H1063=0,"Parado (sem venda 90d)",IF(Z1063&gt;12,"Alto (&gt;12x/ano)",IF(Z1063&gt;=4,"Medio (4-12x/ano)","Baixo (&lt;4x/ano)"))))</f>
        <v/>
      </c>
    </row>
    <row r="1064" customFormat="false" ht="15" hidden="false" customHeight="true" outlineLevel="0" collapsed="false">
      <c r="A1064" s="6"/>
      <c r="B1064" s="6"/>
      <c r="C1064" s="6"/>
      <c r="D1064" s="6"/>
      <c r="E1064" s="6"/>
      <c r="F1064" s="6"/>
      <c r="G1064" s="6"/>
      <c r="H1064" s="6"/>
      <c r="I1064" s="6"/>
      <c r="J1064" s="6"/>
      <c r="K1064" s="18"/>
      <c r="L1064" s="19" t="str">
        <f aca="false">IF(A1064="","",G1064*K1064)</f>
        <v/>
      </c>
      <c r="M1064" s="20"/>
      <c r="N1064" s="6"/>
      <c r="O1064" s="6"/>
      <c r="P1064" s="5" t="str">
        <f aca="false">IF(A1064="","",H1064/90)</f>
        <v/>
      </c>
      <c r="Q1064" s="5" t="str">
        <f aca="false">IF(A1064="","",IFERROR(INDEX(Parâmetros!$C$6:$C$10,MATCH(F1064,Parâmetros!$B$6:$B$10,0)),""))</f>
        <v/>
      </c>
      <c r="R1064" s="5" t="str">
        <f aca="false">IF(OR(A1064="",P1064="",Q1064=""),"",P1064*Q1064)</f>
        <v/>
      </c>
      <c r="S1064" s="5" t="str">
        <f aca="false">IF(R1064="","",MAX(0,R1064-G1064))</f>
        <v/>
      </c>
      <c r="T1064" s="21" t="str">
        <f aca="false">IF(S1064="","",S1064*K1064)</f>
        <v/>
      </c>
      <c r="U1064" s="5" t="str">
        <f aca="false">IF(A1064="","",IF(J1064&gt;Parâmetros!$C$14,"SIM","NAO"))</f>
        <v/>
      </c>
      <c r="V1064" s="5" t="str">
        <f aca="false">IF(B1064="","",TRIM(LEFT(B1064,IFERROR(FIND(" ",B1064)-1,LEN(B1064)))))</f>
        <v/>
      </c>
      <c r="W1064" s="22"/>
      <c r="X1064" s="5" t="str">
        <f aca="false">IF(A1064="","",IF(W1064&lt;&gt;"",W1064,V1064))</f>
        <v/>
      </c>
      <c r="Y1064" s="5" t="str">
        <f aca="false">IF(A1064="","",IF(COUNTIFS($X$2:$X$2001,X1064,$D$2:$D$2001,"&lt;&gt;"&amp;D1064,$C$2:$C$2001,C1064)&gt;0,"SIM","NAO"))</f>
        <v/>
      </c>
      <c r="Z1064" s="5" t="str">
        <f aca="false">IF(A1064="","",IF(J1064="","",IFERROR(360/J1064,"")))</f>
        <v/>
      </c>
      <c r="AA1064" s="5" t="str">
        <f aca="false">IF(A1064="","",IF(H1064=0,"Parado (sem venda 90d)",IF(Z1064&gt;12,"Alto (&gt;12x/ano)",IF(Z1064&gt;=4,"Medio (4-12x/ano)","Baixo (&lt;4x/ano)"))))</f>
        <v/>
      </c>
    </row>
    <row r="1065" customFormat="false" ht="15" hidden="false" customHeight="true" outlineLevel="0" collapsed="false">
      <c r="A1065" s="6"/>
      <c r="B1065" s="6"/>
      <c r="C1065" s="6"/>
      <c r="D1065" s="6"/>
      <c r="E1065" s="6"/>
      <c r="F1065" s="6"/>
      <c r="G1065" s="6"/>
      <c r="H1065" s="6"/>
      <c r="I1065" s="6"/>
      <c r="J1065" s="6"/>
      <c r="K1065" s="18"/>
      <c r="L1065" s="19" t="str">
        <f aca="false">IF(A1065="","",G1065*K1065)</f>
        <v/>
      </c>
      <c r="M1065" s="20"/>
      <c r="N1065" s="6"/>
      <c r="O1065" s="6"/>
      <c r="P1065" s="5" t="str">
        <f aca="false">IF(A1065="","",H1065/90)</f>
        <v/>
      </c>
      <c r="Q1065" s="5" t="str">
        <f aca="false">IF(A1065="","",IFERROR(INDEX(Parâmetros!$C$6:$C$10,MATCH(F1065,Parâmetros!$B$6:$B$10,0)),""))</f>
        <v/>
      </c>
      <c r="R1065" s="5" t="str">
        <f aca="false">IF(OR(A1065="",P1065="",Q1065=""),"",P1065*Q1065)</f>
        <v/>
      </c>
      <c r="S1065" s="5" t="str">
        <f aca="false">IF(R1065="","",MAX(0,R1065-G1065))</f>
        <v/>
      </c>
      <c r="T1065" s="21" t="str">
        <f aca="false">IF(S1065="","",S1065*K1065)</f>
        <v/>
      </c>
      <c r="U1065" s="5" t="str">
        <f aca="false">IF(A1065="","",IF(J1065&gt;Parâmetros!$C$14,"SIM","NAO"))</f>
        <v/>
      </c>
      <c r="V1065" s="5" t="str">
        <f aca="false">IF(B1065="","",TRIM(LEFT(B1065,IFERROR(FIND(" ",B1065)-1,LEN(B1065)))))</f>
        <v/>
      </c>
      <c r="W1065" s="22"/>
      <c r="X1065" s="5" t="str">
        <f aca="false">IF(A1065="","",IF(W1065&lt;&gt;"",W1065,V1065))</f>
        <v/>
      </c>
      <c r="Y1065" s="5" t="str">
        <f aca="false">IF(A1065="","",IF(COUNTIFS($X$2:$X$2001,X1065,$D$2:$D$2001,"&lt;&gt;"&amp;D1065,$C$2:$C$2001,C1065)&gt;0,"SIM","NAO"))</f>
        <v/>
      </c>
      <c r="Z1065" s="5" t="str">
        <f aca="false">IF(A1065="","",IF(J1065="","",IFERROR(360/J1065,"")))</f>
        <v/>
      </c>
      <c r="AA1065" s="5" t="str">
        <f aca="false">IF(A1065="","",IF(H1065=0,"Parado (sem venda 90d)",IF(Z1065&gt;12,"Alto (&gt;12x/ano)",IF(Z1065&gt;=4,"Medio (4-12x/ano)","Baixo (&lt;4x/ano)"))))</f>
        <v/>
      </c>
    </row>
    <row r="1066" customFormat="false" ht="15" hidden="false" customHeight="true" outlineLevel="0" collapsed="false">
      <c r="A1066" s="6"/>
      <c r="B1066" s="6"/>
      <c r="C1066" s="6"/>
      <c r="D1066" s="6"/>
      <c r="E1066" s="6"/>
      <c r="F1066" s="6"/>
      <c r="G1066" s="6"/>
      <c r="H1066" s="6"/>
      <c r="I1066" s="6"/>
      <c r="J1066" s="6"/>
      <c r="K1066" s="18"/>
      <c r="L1066" s="19" t="str">
        <f aca="false">IF(A1066="","",G1066*K1066)</f>
        <v/>
      </c>
      <c r="M1066" s="20"/>
      <c r="N1066" s="6"/>
      <c r="O1066" s="6"/>
      <c r="P1066" s="5" t="str">
        <f aca="false">IF(A1066="","",H1066/90)</f>
        <v/>
      </c>
      <c r="Q1066" s="5" t="str">
        <f aca="false">IF(A1066="","",IFERROR(INDEX(Parâmetros!$C$6:$C$10,MATCH(F1066,Parâmetros!$B$6:$B$10,0)),""))</f>
        <v/>
      </c>
      <c r="R1066" s="5" t="str">
        <f aca="false">IF(OR(A1066="",P1066="",Q1066=""),"",P1066*Q1066)</f>
        <v/>
      </c>
      <c r="S1066" s="5" t="str">
        <f aca="false">IF(R1066="","",MAX(0,R1066-G1066))</f>
        <v/>
      </c>
      <c r="T1066" s="21" t="str">
        <f aca="false">IF(S1066="","",S1066*K1066)</f>
        <v/>
      </c>
      <c r="U1066" s="5" t="str">
        <f aca="false">IF(A1066="","",IF(J1066&gt;Parâmetros!$C$14,"SIM","NAO"))</f>
        <v/>
      </c>
      <c r="V1066" s="5" t="str">
        <f aca="false">IF(B1066="","",TRIM(LEFT(B1066,IFERROR(FIND(" ",B1066)-1,LEN(B1066)))))</f>
        <v/>
      </c>
      <c r="W1066" s="22"/>
      <c r="X1066" s="5" t="str">
        <f aca="false">IF(A1066="","",IF(W1066&lt;&gt;"",W1066,V1066))</f>
        <v/>
      </c>
      <c r="Y1066" s="5" t="str">
        <f aca="false">IF(A1066="","",IF(COUNTIFS($X$2:$X$2001,X1066,$D$2:$D$2001,"&lt;&gt;"&amp;D1066,$C$2:$C$2001,C1066)&gt;0,"SIM","NAO"))</f>
        <v/>
      </c>
      <c r="Z1066" s="5" t="str">
        <f aca="false">IF(A1066="","",IF(J1066="","",IFERROR(360/J1066,"")))</f>
        <v/>
      </c>
      <c r="AA1066" s="5" t="str">
        <f aca="false">IF(A1066="","",IF(H1066=0,"Parado (sem venda 90d)",IF(Z1066&gt;12,"Alto (&gt;12x/ano)",IF(Z1066&gt;=4,"Medio (4-12x/ano)","Baixo (&lt;4x/ano)"))))</f>
        <v/>
      </c>
    </row>
    <row r="1067" customFormat="false" ht="15" hidden="false" customHeight="true" outlineLevel="0" collapsed="false">
      <c r="A1067" s="6"/>
      <c r="B1067" s="6"/>
      <c r="C1067" s="6"/>
      <c r="D1067" s="6"/>
      <c r="E1067" s="6"/>
      <c r="F1067" s="6"/>
      <c r="G1067" s="6"/>
      <c r="H1067" s="6"/>
      <c r="I1067" s="6"/>
      <c r="J1067" s="6"/>
      <c r="K1067" s="18"/>
      <c r="L1067" s="19" t="str">
        <f aca="false">IF(A1067="","",G1067*K1067)</f>
        <v/>
      </c>
      <c r="M1067" s="20"/>
      <c r="N1067" s="6"/>
      <c r="O1067" s="6"/>
      <c r="P1067" s="5" t="str">
        <f aca="false">IF(A1067="","",H1067/90)</f>
        <v/>
      </c>
      <c r="Q1067" s="5" t="str">
        <f aca="false">IF(A1067="","",IFERROR(INDEX(Parâmetros!$C$6:$C$10,MATCH(F1067,Parâmetros!$B$6:$B$10,0)),""))</f>
        <v/>
      </c>
      <c r="R1067" s="5" t="str">
        <f aca="false">IF(OR(A1067="",P1067="",Q1067=""),"",P1067*Q1067)</f>
        <v/>
      </c>
      <c r="S1067" s="5" t="str">
        <f aca="false">IF(R1067="","",MAX(0,R1067-G1067))</f>
        <v/>
      </c>
      <c r="T1067" s="21" t="str">
        <f aca="false">IF(S1067="","",S1067*K1067)</f>
        <v/>
      </c>
      <c r="U1067" s="5" t="str">
        <f aca="false">IF(A1067="","",IF(J1067&gt;Parâmetros!$C$14,"SIM","NAO"))</f>
        <v/>
      </c>
      <c r="V1067" s="5" t="str">
        <f aca="false">IF(B1067="","",TRIM(LEFT(B1067,IFERROR(FIND(" ",B1067)-1,LEN(B1067)))))</f>
        <v/>
      </c>
      <c r="W1067" s="22"/>
      <c r="X1067" s="5" t="str">
        <f aca="false">IF(A1067="","",IF(W1067&lt;&gt;"",W1067,V1067))</f>
        <v/>
      </c>
      <c r="Y1067" s="5" t="str">
        <f aca="false">IF(A1067="","",IF(COUNTIFS($X$2:$X$2001,X1067,$D$2:$D$2001,"&lt;&gt;"&amp;D1067,$C$2:$C$2001,C1067)&gt;0,"SIM","NAO"))</f>
        <v/>
      </c>
      <c r="Z1067" s="5" t="str">
        <f aca="false">IF(A1067="","",IF(J1067="","",IFERROR(360/J1067,"")))</f>
        <v/>
      </c>
      <c r="AA1067" s="5" t="str">
        <f aca="false">IF(A1067="","",IF(H1067=0,"Parado (sem venda 90d)",IF(Z1067&gt;12,"Alto (&gt;12x/ano)",IF(Z1067&gt;=4,"Medio (4-12x/ano)","Baixo (&lt;4x/ano)"))))</f>
        <v/>
      </c>
    </row>
    <row r="1068" customFormat="false" ht="15" hidden="false" customHeight="true" outlineLevel="0" collapsed="false">
      <c r="A1068" s="6"/>
      <c r="B1068" s="6"/>
      <c r="C1068" s="6"/>
      <c r="D1068" s="6"/>
      <c r="E1068" s="6"/>
      <c r="F1068" s="6"/>
      <c r="G1068" s="6"/>
      <c r="H1068" s="6"/>
      <c r="I1068" s="6"/>
      <c r="J1068" s="6"/>
      <c r="K1068" s="18"/>
      <c r="L1068" s="19" t="str">
        <f aca="false">IF(A1068="","",G1068*K1068)</f>
        <v/>
      </c>
      <c r="M1068" s="20"/>
      <c r="N1068" s="6"/>
      <c r="O1068" s="6"/>
      <c r="P1068" s="5" t="str">
        <f aca="false">IF(A1068="","",H1068/90)</f>
        <v/>
      </c>
      <c r="Q1068" s="5" t="str">
        <f aca="false">IF(A1068="","",IFERROR(INDEX(Parâmetros!$C$6:$C$10,MATCH(F1068,Parâmetros!$B$6:$B$10,0)),""))</f>
        <v/>
      </c>
      <c r="R1068" s="5" t="str">
        <f aca="false">IF(OR(A1068="",P1068="",Q1068=""),"",P1068*Q1068)</f>
        <v/>
      </c>
      <c r="S1068" s="5" t="str">
        <f aca="false">IF(R1068="","",MAX(0,R1068-G1068))</f>
        <v/>
      </c>
      <c r="T1068" s="21" t="str">
        <f aca="false">IF(S1068="","",S1068*K1068)</f>
        <v/>
      </c>
      <c r="U1068" s="5" t="str">
        <f aca="false">IF(A1068="","",IF(J1068&gt;Parâmetros!$C$14,"SIM","NAO"))</f>
        <v/>
      </c>
      <c r="V1068" s="5" t="str">
        <f aca="false">IF(B1068="","",TRIM(LEFT(B1068,IFERROR(FIND(" ",B1068)-1,LEN(B1068)))))</f>
        <v/>
      </c>
      <c r="W1068" s="22"/>
      <c r="X1068" s="5" t="str">
        <f aca="false">IF(A1068="","",IF(W1068&lt;&gt;"",W1068,V1068))</f>
        <v/>
      </c>
      <c r="Y1068" s="5" t="str">
        <f aca="false">IF(A1068="","",IF(COUNTIFS($X$2:$X$2001,X1068,$D$2:$D$2001,"&lt;&gt;"&amp;D1068,$C$2:$C$2001,C1068)&gt;0,"SIM","NAO"))</f>
        <v/>
      </c>
      <c r="Z1068" s="5" t="str">
        <f aca="false">IF(A1068="","",IF(J1068="","",IFERROR(360/J1068,"")))</f>
        <v/>
      </c>
      <c r="AA1068" s="5" t="str">
        <f aca="false">IF(A1068="","",IF(H1068=0,"Parado (sem venda 90d)",IF(Z1068&gt;12,"Alto (&gt;12x/ano)",IF(Z1068&gt;=4,"Medio (4-12x/ano)","Baixo (&lt;4x/ano)"))))</f>
        <v/>
      </c>
    </row>
    <row r="1069" customFormat="false" ht="15" hidden="false" customHeight="true" outlineLevel="0" collapsed="false">
      <c r="A1069" s="6"/>
      <c r="B1069" s="6"/>
      <c r="C1069" s="6"/>
      <c r="D1069" s="6"/>
      <c r="E1069" s="6"/>
      <c r="F1069" s="6"/>
      <c r="G1069" s="6"/>
      <c r="H1069" s="6"/>
      <c r="I1069" s="6"/>
      <c r="J1069" s="6"/>
      <c r="K1069" s="18"/>
      <c r="L1069" s="19" t="str">
        <f aca="false">IF(A1069="","",G1069*K1069)</f>
        <v/>
      </c>
      <c r="M1069" s="20"/>
      <c r="N1069" s="6"/>
      <c r="O1069" s="6"/>
      <c r="P1069" s="5" t="str">
        <f aca="false">IF(A1069="","",H1069/90)</f>
        <v/>
      </c>
      <c r="Q1069" s="5" t="str">
        <f aca="false">IF(A1069="","",IFERROR(INDEX(Parâmetros!$C$6:$C$10,MATCH(F1069,Parâmetros!$B$6:$B$10,0)),""))</f>
        <v/>
      </c>
      <c r="R1069" s="5" t="str">
        <f aca="false">IF(OR(A1069="",P1069="",Q1069=""),"",P1069*Q1069)</f>
        <v/>
      </c>
      <c r="S1069" s="5" t="str">
        <f aca="false">IF(R1069="","",MAX(0,R1069-G1069))</f>
        <v/>
      </c>
      <c r="T1069" s="21" t="str">
        <f aca="false">IF(S1069="","",S1069*K1069)</f>
        <v/>
      </c>
      <c r="U1069" s="5" t="str">
        <f aca="false">IF(A1069="","",IF(J1069&gt;Parâmetros!$C$14,"SIM","NAO"))</f>
        <v/>
      </c>
      <c r="V1069" s="5" t="str">
        <f aca="false">IF(B1069="","",TRIM(LEFT(B1069,IFERROR(FIND(" ",B1069)-1,LEN(B1069)))))</f>
        <v/>
      </c>
      <c r="W1069" s="22"/>
      <c r="X1069" s="5" t="str">
        <f aca="false">IF(A1069="","",IF(W1069&lt;&gt;"",W1069,V1069))</f>
        <v/>
      </c>
      <c r="Y1069" s="5" t="str">
        <f aca="false">IF(A1069="","",IF(COUNTIFS($X$2:$X$2001,X1069,$D$2:$D$2001,"&lt;&gt;"&amp;D1069,$C$2:$C$2001,C1069)&gt;0,"SIM","NAO"))</f>
        <v/>
      </c>
      <c r="Z1069" s="5" t="str">
        <f aca="false">IF(A1069="","",IF(J1069="","",IFERROR(360/J1069,"")))</f>
        <v/>
      </c>
      <c r="AA1069" s="5" t="str">
        <f aca="false">IF(A1069="","",IF(H1069=0,"Parado (sem venda 90d)",IF(Z1069&gt;12,"Alto (&gt;12x/ano)",IF(Z1069&gt;=4,"Medio (4-12x/ano)","Baixo (&lt;4x/ano)"))))</f>
        <v/>
      </c>
    </row>
    <row r="1070" customFormat="false" ht="15" hidden="false" customHeight="true" outlineLevel="0" collapsed="false">
      <c r="A1070" s="6"/>
      <c r="B1070" s="6"/>
      <c r="C1070" s="6"/>
      <c r="D1070" s="6"/>
      <c r="E1070" s="6"/>
      <c r="F1070" s="6"/>
      <c r="G1070" s="6"/>
      <c r="H1070" s="6"/>
      <c r="I1070" s="6"/>
      <c r="J1070" s="6"/>
      <c r="K1070" s="18"/>
      <c r="L1070" s="19" t="str">
        <f aca="false">IF(A1070="","",G1070*K1070)</f>
        <v/>
      </c>
      <c r="M1070" s="20"/>
      <c r="N1070" s="6"/>
      <c r="O1070" s="6"/>
      <c r="P1070" s="5" t="str">
        <f aca="false">IF(A1070="","",H1070/90)</f>
        <v/>
      </c>
      <c r="Q1070" s="5" t="str">
        <f aca="false">IF(A1070="","",IFERROR(INDEX(Parâmetros!$C$6:$C$10,MATCH(F1070,Parâmetros!$B$6:$B$10,0)),""))</f>
        <v/>
      </c>
      <c r="R1070" s="5" t="str">
        <f aca="false">IF(OR(A1070="",P1070="",Q1070=""),"",P1070*Q1070)</f>
        <v/>
      </c>
      <c r="S1070" s="5" t="str">
        <f aca="false">IF(R1070="","",MAX(0,R1070-G1070))</f>
        <v/>
      </c>
      <c r="T1070" s="21" t="str">
        <f aca="false">IF(S1070="","",S1070*K1070)</f>
        <v/>
      </c>
      <c r="U1070" s="5" t="str">
        <f aca="false">IF(A1070="","",IF(J1070&gt;Parâmetros!$C$14,"SIM","NAO"))</f>
        <v/>
      </c>
      <c r="V1070" s="5" t="str">
        <f aca="false">IF(B1070="","",TRIM(LEFT(B1070,IFERROR(FIND(" ",B1070)-1,LEN(B1070)))))</f>
        <v/>
      </c>
      <c r="W1070" s="22"/>
      <c r="X1070" s="5" t="str">
        <f aca="false">IF(A1070="","",IF(W1070&lt;&gt;"",W1070,V1070))</f>
        <v/>
      </c>
      <c r="Y1070" s="5" t="str">
        <f aca="false">IF(A1070="","",IF(COUNTIFS($X$2:$X$2001,X1070,$D$2:$D$2001,"&lt;&gt;"&amp;D1070,$C$2:$C$2001,C1070)&gt;0,"SIM","NAO"))</f>
        <v/>
      </c>
      <c r="Z1070" s="5" t="str">
        <f aca="false">IF(A1070="","",IF(J1070="","",IFERROR(360/J1070,"")))</f>
        <v/>
      </c>
      <c r="AA1070" s="5" t="str">
        <f aca="false">IF(A1070="","",IF(H1070=0,"Parado (sem venda 90d)",IF(Z1070&gt;12,"Alto (&gt;12x/ano)",IF(Z1070&gt;=4,"Medio (4-12x/ano)","Baixo (&lt;4x/ano)"))))</f>
        <v/>
      </c>
    </row>
    <row r="1071" customFormat="false" ht="15" hidden="false" customHeight="true" outlineLevel="0" collapsed="false">
      <c r="A1071" s="6"/>
      <c r="B1071" s="6"/>
      <c r="C1071" s="6"/>
      <c r="D1071" s="6"/>
      <c r="E1071" s="6"/>
      <c r="F1071" s="6"/>
      <c r="G1071" s="6"/>
      <c r="H1071" s="6"/>
      <c r="I1071" s="6"/>
      <c r="J1071" s="6"/>
      <c r="K1071" s="18"/>
      <c r="L1071" s="19" t="str">
        <f aca="false">IF(A1071="","",G1071*K1071)</f>
        <v/>
      </c>
      <c r="M1071" s="20"/>
      <c r="N1071" s="6"/>
      <c r="O1071" s="6"/>
      <c r="P1071" s="5" t="str">
        <f aca="false">IF(A1071="","",H1071/90)</f>
        <v/>
      </c>
      <c r="Q1071" s="5" t="str">
        <f aca="false">IF(A1071="","",IFERROR(INDEX(Parâmetros!$C$6:$C$10,MATCH(F1071,Parâmetros!$B$6:$B$10,0)),""))</f>
        <v/>
      </c>
      <c r="R1071" s="5" t="str">
        <f aca="false">IF(OR(A1071="",P1071="",Q1071=""),"",P1071*Q1071)</f>
        <v/>
      </c>
      <c r="S1071" s="5" t="str">
        <f aca="false">IF(R1071="","",MAX(0,R1071-G1071))</f>
        <v/>
      </c>
      <c r="T1071" s="21" t="str">
        <f aca="false">IF(S1071="","",S1071*K1071)</f>
        <v/>
      </c>
      <c r="U1071" s="5" t="str">
        <f aca="false">IF(A1071="","",IF(J1071&gt;Parâmetros!$C$14,"SIM","NAO"))</f>
        <v/>
      </c>
      <c r="V1071" s="5" t="str">
        <f aca="false">IF(B1071="","",TRIM(LEFT(B1071,IFERROR(FIND(" ",B1071)-1,LEN(B1071)))))</f>
        <v/>
      </c>
      <c r="W1071" s="22"/>
      <c r="X1071" s="5" t="str">
        <f aca="false">IF(A1071="","",IF(W1071&lt;&gt;"",W1071,V1071))</f>
        <v/>
      </c>
      <c r="Y1071" s="5" t="str">
        <f aca="false">IF(A1071="","",IF(COUNTIFS($X$2:$X$2001,X1071,$D$2:$D$2001,"&lt;&gt;"&amp;D1071,$C$2:$C$2001,C1071)&gt;0,"SIM","NAO"))</f>
        <v/>
      </c>
      <c r="Z1071" s="5" t="str">
        <f aca="false">IF(A1071="","",IF(J1071="","",IFERROR(360/J1071,"")))</f>
        <v/>
      </c>
      <c r="AA1071" s="5" t="str">
        <f aca="false">IF(A1071="","",IF(H1071=0,"Parado (sem venda 90d)",IF(Z1071&gt;12,"Alto (&gt;12x/ano)",IF(Z1071&gt;=4,"Medio (4-12x/ano)","Baixo (&lt;4x/ano)"))))</f>
        <v/>
      </c>
    </row>
    <row r="1072" customFormat="false" ht="15" hidden="false" customHeight="true" outlineLevel="0" collapsed="false">
      <c r="A1072" s="6"/>
      <c r="B1072" s="6"/>
      <c r="C1072" s="6"/>
      <c r="D1072" s="6"/>
      <c r="E1072" s="6"/>
      <c r="F1072" s="6"/>
      <c r="G1072" s="6"/>
      <c r="H1072" s="6"/>
      <c r="I1072" s="6"/>
      <c r="J1072" s="6"/>
      <c r="K1072" s="18"/>
      <c r="L1072" s="19" t="str">
        <f aca="false">IF(A1072="","",G1072*K1072)</f>
        <v/>
      </c>
      <c r="M1072" s="20"/>
      <c r="N1072" s="6"/>
      <c r="O1072" s="6"/>
      <c r="P1072" s="5" t="str">
        <f aca="false">IF(A1072="","",H1072/90)</f>
        <v/>
      </c>
      <c r="Q1072" s="5" t="str">
        <f aca="false">IF(A1072="","",IFERROR(INDEX(Parâmetros!$C$6:$C$10,MATCH(F1072,Parâmetros!$B$6:$B$10,0)),""))</f>
        <v/>
      </c>
      <c r="R1072" s="5" t="str">
        <f aca="false">IF(OR(A1072="",P1072="",Q1072=""),"",P1072*Q1072)</f>
        <v/>
      </c>
      <c r="S1072" s="5" t="str">
        <f aca="false">IF(R1072="","",MAX(0,R1072-G1072))</f>
        <v/>
      </c>
      <c r="T1072" s="21" t="str">
        <f aca="false">IF(S1072="","",S1072*K1072)</f>
        <v/>
      </c>
      <c r="U1072" s="5" t="str">
        <f aca="false">IF(A1072="","",IF(J1072&gt;Parâmetros!$C$14,"SIM","NAO"))</f>
        <v/>
      </c>
      <c r="V1072" s="5" t="str">
        <f aca="false">IF(B1072="","",TRIM(LEFT(B1072,IFERROR(FIND(" ",B1072)-1,LEN(B1072)))))</f>
        <v/>
      </c>
      <c r="W1072" s="22"/>
      <c r="X1072" s="5" t="str">
        <f aca="false">IF(A1072="","",IF(W1072&lt;&gt;"",W1072,V1072))</f>
        <v/>
      </c>
      <c r="Y1072" s="5" t="str">
        <f aca="false">IF(A1072="","",IF(COUNTIFS($X$2:$X$2001,X1072,$D$2:$D$2001,"&lt;&gt;"&amp;D1072,$C$2:$C$2001,C1072)&gt;0,"SIM","NAO"))</f>
        <v/>
      </c>
      <c r="Z1072" s="5" t="str">
        <f aca="false">IF(A1072="","",IF(J1072="","",IFERROR(360/J1072,"")))</f>
        <v/>
      </c>
      <c r="AA1072" s="5" t="str">
        <f aca="false">IF(A1072="","",IF(H1072=0,"Parado (sem venda 90d)",IF(Z1072&gt;12,"Alto (&gt;12x/ano)",IF(Z1072&gt;=4,"Medio (4-12x/ano)","Baixo (&lt;4x/ano)"))))</f>
        <v/>
      </c>
    </row>
    <row r="1073" customFormat="false" ht="15" hidden="false" customHeight="true" outlineLevel="0" collapsed="false">
      <c r="A1073" s="6"/>
      <c r="B1073" s="6"/>
      <c r="C1073" s="6"/>
      <c r="D1073" s="6"/>
      <c r="E1073" s="6"/>
      <c r="F1073" s="6"/>
      <c r="G1073" s="6"/>
      <c r="H1073" s="6"/>
      <c r="I1073" s="6"/>
      <c r="J1073" s="6"/>
      <c r="K1073" s="18"/>
      <c r="L1073" s="19" t="str">
        <f aca="false">IF(A1073="","",G1073*K1073)</f>
        <v/>
      </c>
      <c r="M1073" s="20"/>
      <c r="N1073" s="6"/>
      <c r="O1073" s="6"/>
      <c r="P1073" s="5" t="str">
        <f aca="false">IF(A1073="","",H1073/90)</f>
        <v/>
      </c>
      <c r="Q1073" s="5" t="str">
        <f aca="false">IF(A1073="","",IFERROR(INDEX(Parâmetros!$C$6:$C$10,MATCH(F1073,Parâmetros!$B$6:$B$10,0)),""))</f>
        <v/>
      </c>
      <c r="R1073" s="5" t="str">
        <f aca="false">IF(OR(A1073="",P1073="",Q1073=""),"",P1073*Q1073)</f>
        <v/>
      </c>
      <c r="S1073" s="5" t="str">
        <f aca="false">IF(R1073="","",MAX(0,R1073-G1073))</f>
        <v/>
      </c>
      <c r="T1073" s="21" t="str">
        <f aca="false">IF(S1073="","",S1073*K1073)</f>
        <v/>
      </c>
      <c r="U1073" s="5" t="str">
        <f aca="false">IF(A1073="","",IF(J1073&gt;Parâmetros!$C$14,"SIM","NAO"))</f>
        <v/>
      </c>
      <c r="V1073" s="5" t="str">
        <f aca="false">IF(B1073="","",TRIM(LEFT(B1073,IFERROR(FIND(" ",B1073)-1,LEN(B1073)))))</f>
        <v/>
      </c>
      <c r="W1073" s="22"/>
      <c r="X1073" s="5" t="str">
        <f aca="false">IF(A1073="","",IF(W1073&lt;&gt;"",W1073,V1073))</f>
        <v/>
      </c>
      <c r="Y1073" s="5" t="str">
        <f aca="false">IF(A1073="","",IF(COUNTIFS($X$2:$X$2001,X1073,$D$2:$D$2001,"&lt;&gt;"&amp;D1073,$C$2:$C$2001,C1073)&gt;0,"SIM","NAO"))</f>
        <v/>
      </c>
      <c r="Z1073" s="5" t="str">
        <f aca="false">IF(A1073="","",IF(J1073="","",IFERROR(360/J1073,"")))</f>
        <v/>
      </c>
      <c r="AA1073" s="5" t="str">
        <f aca="false">IF(A1073="","",IF(H1073=0,"Parado (sem venda 90d)",IF(Z1073&gt;12,"Alto (&gt;12x/ano)",IF(Z1073&gt;=4,"Medio (4-12x/ano)","Baixo (&lt;4x/ano)"))))</f>
        <v/>
      </c>
    </row>
    <row r="1074" customFormat="false" ht="15" hidden="false" customHeight="true" outlineLevel="0" collapsed="false">
      <c r="A1074" s="6"/>
      <c r="B1074" s="6"/>
      <c r="C1074" s="6"/>
      <c r="D1074" s="6"/>
      <c r="E1074" s="6"/>
      <c r="F1074" s="6"/>
      <c r="G1074" s="6"/>
      <c r="H1074" s="6"/>
      <c r="I1074" s="6"/>
      <c r="J1074" s="6"/>
      <c r="K1074" s="18"/>
      <c r="L1074" s="19" t="str">
        <f aca="false">IF(A1074="","",G1074*K1074)</f>
        <v/>
      </c>
      <c r="M1074" s="20"/>
      <c r="N1074" s="6"/>
      <c r="O1074" s="6"/>
      <c r="P1074" s="5" t="str">
        <f aca="false">IF(A1074="","",H1074/90)</f>
        <v/>
      </c>
      <c r="Q1074" s="5" t="str">
        <f aca="false">IF(A1074="","",IFERROR(INDEX(Parâmetros!$C$6:$C$10,MATCH(F1074,Parâmetros!$B$6:$B$10,0)),""))</f>
        <v/>
      </c>
      <c r="R1074" s="5" t="str">
        <f aca="false">IF(OR(A1074="",P1074="",Q1074=""),"",P1074*Q1074)</f>
        <v/>
      </c>
      <c r="S1074" s="5" t="str">
        <f aca="false">IF(R1074="","",MAX(0,R1074-G1074))</f>
        <v/>
      </c>
      <c r="T1074" s="21" t="str">
        <f aca="false">IF(S1074="","",S1074*K1074)</f>
        <v/>
      </c>
      <c r="U1074" s="5" t="str">
        <f aca="false">IF(A1074="","",IF(J1074&gt;Parâmetros!$C$14,"SIM","NAO"))</f>
        <v/>
      </c>
      <c r="V1074" s="5" t="str">
        <f aca="false">IF(B1074="","",TRIM(LEFT(B1074,IFERROR(FIND(" ",B1074)-1,LEN(B1074)))))</f>
        <v/>
      </c>
      <c r="W1074" s="22"/>
      <c r="X1074" s="5" t="str">
        <f aca="false">IF(A1074="","",IF(W1074&lt;&gt;"",W1074,V1074))</f>
        <v/>
      </c>
      <c r="Y1074" s="5" t="str">
        <f aca="false">IF(A1074="","",IF(COUNTIFS($X$2:$X$2001,X1074,$D$2:$D$2001,"&lt;&gt;"&amp;D1074,$C$2:$C$2001,C1074)&gt;0,"SIM","NAO"))</f>
        <v/>
      </c>
      <c r="Z1074" s="5" t="str">
        <f aca="false">IF(A1074="","",IF(J1074="","",IFERROR(360/J1074,"")))</f>
        <v/>
      </c>
      <c r="AA1074" s="5" t="str">
        <f aca="false">IF(A1074="","",IF(H1074=0,"Parado (sem venda 90d)",IF(Z1074&gt;12,"Alto (&gt;12x/ano)",IF(Z1074&gt;=4,"Medio (4-12x/ano)","Baixo (&lt;4x/ano)"))))</f>
        <v/>
      </c>
    </row>
    <row r="1075" customFormat="false" ht="15" hidden="false" customHeight="true" outlineLevel="0" collapsed="false">
      <c r="A1075" s="6"/>
      <c r="B1075" s="6"/>
      <c r="C1075" s="6"/>
      <c r="D1075" s="6"/>
      <c r="E1075" s="6"/>
      <c r="F1075" s="6"/>
      <c r="G1075" s="6"/>
      <c r="H1075" s="6"/>
      <c r="I1075" s="6"/>
      <c r="J1075" s="6"/>
      <c r="K1075" s="18"/>
      <c r="L1075" s="19" t="str">
        <f aca="false">IF(A1075="","",G1075*K1075)</f>
        <v/>
      </c>
      <c r="M1075" s="20"/>
      <c r="N1075" s="6"/>
      <c r="O1075" s="6"/>
      <c r="P1075" s="5" t="str">
        <f aca="false">IF(A1075="","",H1075/90)</f>
        <v/>
      </c>
      <c r="Q1075" s="5" t="str">
        <f aca="false">IF(A1075="","",IFERROR(INDEX(Parâmetros!$C$6:$C$10,MATCH(F1075,Parâmetros!$B$6:$B$10,0)),""))</f>
        <v/>
      </c>
      <c r="R1075" s="5" t="str">
        <f aca="false">IF(OR(A1075="",P1075="",Q1075=""),"",P1075*Q1075)</f>
        <v/>
      </c>
      <c r="S1075" s="5" t="str">
        <f aca="false">IF(R1075="","",MAX(0,R1075-G1075))</f>
        <v/>
      </c>
      <c r="T1075" s="21" t="str">
        <f aca="false">IF(S1075="","",S1075*K1075)</f>
        <v/>
      </c>
      <c r="U1075" s="5" t="str">
        <f aca="false">IF(A1075="","",IF(J1075&gt;Parâmetros!$C$14,"SIM","NAO"))</f>
        <v/>
      </c>
      <c r="V1075" s="5" t="str">
        <f aca="false">IF(B1075="","",TRIM(LEFT(B1075,IFERROR(FIND(" ",B1075)-1,LEN(B1075)))))</f>
        <v/>
      </c>
      <c r="W1075" s="22"/>
      <c r="X1075" s="5" t="str">
        <f aca="false">IF(A1075="","",IF(W1075&lt;&gt;"",W1075,V1075))</f>
        <v/>
      </c>
      <c r="Y1075" s="5" t="str">
        <f aca="false">IF(A1075="","",IF(COUNTIFS($X$2:$X$2001,X1075,$D$2:$D$2001,"&lt;&gt;"&amp;D1075,$C$2:$C$2001,C1075)&gt;0,"SIM","NAO"))</f>
        <v/>
      </c>
      <c r="Z1075" s="5" t="str">
        <f aca="false">IF(A1075="","",IF(J1075="","",IFERROR(360/J1075,"")))</f>
        <v/>
      </c>
      <c r="AA1075" s="5" t="str">
        <f aca="false">IF(A1075="","",IF(H1075=0,"Parado (sem venda 90d)",IF(Z1075&gt;12,"Alto (&gt;12x/ano)",IF(Z1075&gt;=4,"Medio (4-12x/ano)","Baixo (&lt;4x/ano)"))))</f>
        <v/>
      </c>
    </row>
    <row r="1076" customFormat="false" ht="15" hidden="false" customHeight="true" outlineLevel="0" collapsed="false">
      <c r="A1076" s="6"/>
      <c r="B1076" s="6"/>
      <c r="C1076" s="6"/>
      <c r="D1076" s="6"/>
      <c r="E1076" s="6"/>
      <c r="F1076" s="6"/>
      <c r="G1076" s="6"/>
      <c r="H1076" s="6"/>
      <c r="I1076" s="6"/>
      <c r="J1076" s="6"/>
      <c r="K1076" s="18"/>
      <c r="L1076" s="19" t="str">
        <f aca="false">IF(A1076="","",G1076*K1076)</f>
        <v/>
      </c>
      <c r="M1076" s="20"/>
      <c r="N1076" s="6"/>
      <c r="O1076" s="6"/>
      <c r="P1076" s="5" t="str">
        <f aca="false">IF(A1076="","",H1076/90)</f>
        <v/>
      </c>
      <c r="Q1076" s="5" t="str">
        <f aca="false">IF(A1076="","",IFERROR(INDEX(Parâmetros!$C$6:$C$10,MATCH(F1076,Parâmetros!$B$6:$B$10,0)),""))</f>
        <v/>
      </c>
      <c r="R1076" s="5" t="str">
        <f aca="false">IF(OR(A1076="",P1076="",Q1076=""),"",P1076*Q1076)</f>
        <v/>
      </c>
      <c r="S1076" s="5" t="str">
        <f aca="false">IF(R1076="","",MAX(0,R1076-G1076))</f>
        <v/>
      </c>
      <c r="T1076" s="21" t="str">
        <f aca="false">IF(S1076="","",S1076*K1076)</f>
        <v/>
      </c>
      <c r="U1076" s="5" t="str">
        <f aca="false">IF(A1076="","",IF(J1076&gt;Parâmetros!$C$14,"SIM","NAO"))</f>
        <v/>
      </c>
      <c r="V1076" s="5" t="str">
        <f aca="false">IF(B1076="","",TRIM(LEFT(B1076,IFERROR(FIND(" ",B1076)-1,LEN(B1076)))))</f>
        <v/>
      </c>
      <c r="W1076" s="22"/>
      <c r="X1076" s="5" t="str">
        <f aca="false">IF(A1076="","",IF(W1076&lt;&gt;"",W1076,V1076))</f>
        <v/>
      </c>
      <c r="Y1076" s="5" t="str">
        <f aca="false">IF(A1076="","",IF(COUNTIFS($X$2:$X$2001,X1076,$D$2:$D$2001,"&lt;&gt;"&amp;D1076,$C$2:$C$2001,C1076)&gt;0,"SIM","NAO"))</f>
        <v/>
      </c>
      <c r="Z1076" s="5" t="str">
        <f aca="false">IF(A1076="","",IF(J1076="","",IFERROR(360/J1076,"")))</f>
        <v/>
      </c>
      <c r="AA1076" s="5" t="str">
        <f aca="false">IF(A1076="","",IF(H1076=0,"Parado (sem venda 90d)",IF(Z1076&gt;12,"Alto (&gt;12x/ano)",IF(Z1076&gt;=4,"Medio (4-12x/ano)","Baixo (&lt;4x/ano)"))))</f>
        <v/>
      </c>
    </row>
    <row r="1077" customFormat="false" ht="15" hidden="false" customHeight="true" outlineLevel="0" collapsed="false">
      <c r="A1077" s="6"/>
      <c r="B1077" s="6"/>
      <c r="C1077" s="6"/>
      <c r="D1077" s="6"/>
      <c r="E1077" s="6"/>
      <c r="F1077" s="6"/>
      <c r="G1077" s="6"/>
      <c r="H1077" s="6"/>
      <c r="I1077" s="6"/>
      <c r="J1077" s="6"/>
      <c r="K1077" s="18"/>
      <c r="L1077" s="19" t="str">
        <f aca="false">IF(A1077="","",G1077*K1077)</f>
        <v/>
      </c>
      <c r="M1077" s="20"/>
      <c r="N1077" s="6"/>
      <c r="O1077" s="6"/>
      <c r="P1077" s="5" t="str">
        <f aca="false">IF(A1077="","",H1077/90)</f>
        <v/>
      </c>
      <c r="Q1077" s="5" t="str">
        <f aca="false">IF(A1077="","",IFERROR(INDEX(Parâmetros!$C$6:$C$10,MATCH(F1077,Parâmetros!$B$6:$B$10,0)),""))</f>
        <v/>
      </c>
      <c r="R1077" s="5" t="str">
        <f aca="false">IF(OR(A1077="",P1077="",Q1077=""),"",P1077*Q1077)</f>
        <v/>
      </c>
      <c r="S1077" s="5" t="str">
        <f aca="false">IF(R1077="","",MAX(0,R1077-G1077))</f>
        <v/>
      </c>
      <c r="T1077" s="21" t="str">
        <f aca="false">IF(S1077="","",S1077*K1077)</f>
        <v/>
      </c>
      <c r="U1077" s="5" t="str">
        <f aca="false">IF(A1077="","",IF(J1077&gt;Parâmetros!$C$14,"SIM","NAO"))</f>
        <v/>
      </c>
      <c r="V1077" s="5" t="str">
        <f aca="false">IF(B1077="","",TRIM(LEFT(B1077,IFERROR(FIND(" ",B1077)-1,LEN(B1077)))))</f>
        <v/>
      </c>
      <c r="W1077" s="22"/>
      <c r="X1077" s="5" t="str">
        <f aca="false">IF(A1077="","",IF(W1077&lt;&gt;"",W1077,V1077))</f>
        <v/>
      </c>
      <c r="Y1077" s="5" t="str">
        <f aca="false">IF(A1077="","",IF(COUNTIFS($X$2:$X$2001,X1077,$D$2:$D$2001,"&lt;&gt;"&amp;D1077,$C$2:$C$2001,C1077)&gt;0,"SIM","NAO"))</f>
        <v/>
      </c>
      <c r="Z1077" s="5" t="str">
        <f aca="false">IF(A1077="","",IF(J1077="","",IFERROR(360/J1077,"")))</f>
        <v/>
      </c>
      <c r="AA1077" s="5" t="str">
        <f aca="false">IF(A1077="","",IF(H1077=0,"Parado (sem venda 90d)",IF(Z1077&gt;12,"Alto (&gt;12x/ano)",IF(Z1077&gt;=4,"Medio (4-12x/ano)","Baixo (&lt;4x/ano)"))))</f>
        <v/>
      </c>
    </row>
    <row r="1078" customFormat="false" ht="15" hidden="false" customHeight="true" outlineLevel="0" collapsed="false">
      <c r="A1078" s="6"/>
      <c r="B1078" s="6"/>
      <c r="C1078" s="6"/>
      <c r="D1078" s="6"/>
      <c r="E1078" s="6"/>
      <c r="F1078" s="6"/>
      <c r="G1078" s="6"/>
      <c r="H1078" s="6"/>
      <c r="I1078" s="6"/>
      <c r="J1078" s="6"/>
      <c r="K1078" s="18"/>
      <c r="L1078" s="19" t="str">
        <f aca="false">IF(A1078="","",G1078*K1078)</f>
        <v/>
      </c>
      <c r="M1078" s="20"/>
      <c r="N1078" s="6"/>
      <c r="O1078" s="6"/>
      <c r="P1078" s="5" t="str">
        <f aca="false">IF(A1078="","",H1078/90)</f>
        <v/>
      </c>
      <c r="Q1078" s="5" t="str">
        <f aca="false">IF(A1078="","",IFERROR(INDEX(Parâmetros!$C$6:$C$10,MATCH(F1078,Parâmetros!$B$6:$B$10,0)),""))</f>
        <v/>
      </c>
      <c r="R1078" s="5" t="str">
        <f aca="false">IF(OR(A1078="",P1078="",Q1078=""),"",P1078*Q1078)</f>
        <v/>
      </c>
      <c r="S1078" s="5" t="str">
        <f aca="false">IF(R1078="","",MAX(0,R1078-G1078))</f>
        <v/>
      </c>
      <c r="T1078" s="21" t="str">
        <f aca="false">IF(S1078="","",S1078*K1078)</f>
        <v/>
      </c>
      <c r="U1078" s="5" t="str">
        <f aca="false">IF(A1078="","",IF(J1078&gt;Parâmetros!$C$14,"SIM","NAO"))</f>
        <v/>
      </c>
      <c r="V1078" s="5" t="str">
        <f aca="false">IF(B1078="","",TRIM(LEFT(B1078,IFERROR(FIND(" ",B1078)-1,LEN(B1078)))))</f>
        <v/>
      </c>
      <c r="W1078" s="22"/>
      <c r="X1078" s="5" t="str">
        <f aca="false">IF(A1078="","",IF(W1078&lt;&gt;"",W1078,V1078))</f>
        <v/>
      </c>
      <c r="Y1078" s="5" t="str">
        <f aca="false">IF(A1078="","",IF(COUNTIFS($X$2:$X$2001,X1078,$D$2:$D$2001,"&lt;&gt;"&amp;D1078,$C$2:$C$2001,C1078)&gt;0,"SIM","NAO"))</f>
        <v/>
      </c>
      <c r="Z1078" s="5" t="str">
        <f aca="false">IF(A1078="","",IF(J1078="","",IFERROR(360/J1078,"")))</f>
        <v/>
      </c>
      <c r="AA1078" s="5" t="str">
        <f aca="false">IF(A1078="","",IF(H1078=0,"Parado (sem venda 90d)",IF(Z1078&gt;12,"Alto (&gt;12x/ano)",IF(Z1078&gt;=4,"Medio (4-12x/ano)","Baixo (&lt;4x/ano)"))))</f>
        <v/>
      </c>
    </row>
    <row r="1079" customFormat="false" ht="15" hidden="false" customHeight="true" outlineLevel="0" collapsed="false">
      <c r="A1079" s="6"/>
      <c r="B1079" s="6"/>
      <c r="C1079" s="6"/>
      <c r="D1079" s="6"/>
      <c r="E1079" s="6"/>
      <c r="F1079" s="6"/>
      <c r="G1079" s="6"/>
      <c r="H1079" s="6"/>
      <c r="I1079" s="6"/>
      <c r="J1079" s="6"/>
      <c r="K1079" s="18"/>
      <c r="L1079" s="19" t="str">
        <f aca="false">IF(A1079="","",G1079*K1079)</f>
        <v/>
      </c>
      <c r="M1079" s="20"/>
      <c r="N1079" s="6"/>
      <c r="O1079" s="6"/>
      <c r="P1079" s="5" t="str">
        <f aca="false">IF(A1079="","",H1079/90)</f>
        <v/>
      </c>
      <c r="Q1079" s="5" t="str">
        <f aca="false">IF(A1079="","",IFERROR(INDEX(Parâmetros!$C$6:$C$10,MATCH(F1079,Parâmetros!$B$6:$B$10,0)),""))</f>
        <v/>
      </c>
      <c r="R1079" s="5" t="str">
        <f aca="false">IF(OR(A1079="",P1079="",Q1079=""),"",P1079*Q1079)</f>
        <v/>
      </c>
      <c r="S1079" s="5" t="str">
        <f aca="false">IF(R1079="","",MAX(0,R1079-G1079))</f>
        <v/>
      </c>
      <c r="T1079" s="21" t="str">
        <f aca="false">IF(S1079="","",S1079*K1079)</f>
        <v/>
      </c>
      <c r="U1079" s="5" t="str">
        <f aca="false">IF(A1079="","",IF(J1079&gt;Parâmetros!$C$14,"SIM","NAO"))</f>
        <v/>
      </c>
      <c r="V1079" s="5" t="str">
        <f aca="false">IF(B1079="","",TRIM(LEFT(B1079,IFERROR(FIND(" ",B1079)-1,LEN(B1079)))))</f>
        <v/>
      </c>
      <c r="W1079" s="22"/>
      <c r="X1079" s="5" t="str">
        <f aca="false">IF(A1079="","",IF(W1079&lt;&gt;"",W1079,V1079))</f>
        <v/>
      </c>
      <c r="Y1079" s="5" t="str">
        <f aca="false">IF(A1079="","",IF(COUNTIFS($X$2:$X$2001,X1079,$D$2:$D$2001,"&lt;&gt;"&amp;D1079,$C$2:$C$2001,C1079)&gt;0,"SIM","NAO"))</f>
        <v/>
      </c>
      <c r="Z1079" s="5" t="str">
        <f aca="false">IF(A1079="","",IF(J1079="","",IFERROR(360/J1079,"")))</f>
        <v/>
      </c>
      <c r="AA1079" s="5" t="str">
        <f aca="false">IF(A1079="","",IF(H1079=0,"Parado (sem venda 90d)",IF(Z1079&gt;12,"Alto (&gt;12x/ano)",IF(Z1079&gt;=4,"Medio (4-12x/ano)","Baixo (&lt;4x/ano)"))))</f>
        <v/>
      </c>
    </row>
    <row r="1080" customFormat="false" ht="15" hidden="false" customHeight="true" outlineLevel="0" collapsed="false">
      <c r="A1080" s="6"/>
      <c r="B1080" s="6"/>
      <c r="C1080" s="6"/>
      <c r="D1080" s="6"/>
      <c r="E1080" s="6"/>
      <c r="F1080" s="6"/>
      <c r="G1080" s="6"/>
      <c r="H1080" s="6"/>
      <c r="I1080" s="6"/>
      <c r="J1080" s="6"/>
      <c r="K1080" s="18"/>
      <c r="L1080" s="19" t="str">
        <f aca="false">IF(A1080="","",G1080*K1080)</f>
        <v/>
      </c>
      <c r="M1080" s="20"/>
      <c r="N1080" s="6"/>
      <c r="O1080" s="6"/>
      <c r="P1080" s="5" t="str">
        <f aca="false">IF(A1080="","",H1080/90)</f>
        <v/>
      </c>
      <c r="Q1080" s="5" t="str">
        <f aca="false">IF(A1080="","",IFERROR(INDEX(Parâmetros!$C$6:$C$10,MATCH(F1080,Parâmetros!$B$6:$B$10,0)),""))</f>
        <v/>
      </c>
      <c r="R1080" s="5" t="str">
        <f aca="false">IF(OR(A1080="",P1080="",Q1080=""),"",P1080*Q1080)</f>
        <v/>
      </c>
      <c r="S1080" s="5" t="str">
        <f aca="false">IF(R1080="","",MAX(0,R1080-G1080))</f>
        <v/>
      </c>
      <c r="T1080" s="21" t="str">
        <f aca="false">IF(S1080="","",S1080*K1080)</f>
        <v/>
      </c>
      <c r="U1080" s="5" t="str">
        <f aca="false">IF(A1080="","",IF(J1080&gt;Parâmetros!$C$14,"SIM","NAO"))</f>
        <v/>
      </c>
      <c r="V1080" s="5" t="str">
        <f aca="false">IF(B1080="","",TRIM(LEFT(B1080,IFERROR(FIND(" ",B1080)-1,LEN(B1080)))))</f>
        <v/>
      </c>
      <c r="W1080" s="22"/>
      <c r="X1080" s="5" t="str">
        <f aca="false">IF(A1080="","",IF(W1080&lt;&gt;"",W1080,V1080))</f>
        <v/>
      </c>
      <c r="Y1080" s="5" t="str">
        <f aca="false">IF(A1080="","",IF(COUNTIFS($X$2:$X$2001,X1080,$D$2:$D$2001,"&lt;&gt;"&amp;D1080,$C$2:$C$2001,C1080)&gt;0,"SIM","NAO"))</f>
        <v/>
      </c>
      <c r="Z1080" s="5" t="str">
        <f aca="false">IF(A1080="","",IF(J1080="","",IFERROR(360/J1080,"")))</f>
        <v/>
      </c>
      <c r="AA1080" s="5" t="str">
        <f aca="false">IF(A1080="","",IF(H1080=0,"Parado (sem venda 90d)",IF(Z1080&gt;12,"Alto (&gt;12x/ano)",IF(Z1080&gt;=4,"Medio (4-12x/ano)","Baixo (&lt;4x/ano)"))))</f>
        <v/>
      </c>
    </row>
    <row r="1081" customFormat="false" ht="15" hidden="false" customHeight="true" outlineLevel="0" collapsed="false">
      <c r="A1081" s="6"/>
      <c r="B1081" s="6"/>
      <c r="C1081" s="6"/>
      <c r="D1081" s="6"/>
      <c r="E1081" s="6"/>
      <c r="F1081" s="6"/>
      <c r="G1081" s="6"/>
      <c r="H1081" s="6"/>
      <c r="I1081" s="6"/>
      <c r="J1081" s="6"/>
      <c r="K1081" s="18"/>
      <c r="L1081" s="19" t="str">
        <f aca="false">IF(A1081="","",G1081*K1081)</f>
        <v/>
      </c>
      <c r="M1081" s="20"/>
      <c r="N1081" s="6"/>
      <c r="O1081" s="6"/>
      <c r="P1081" s="5" t="str">
        <f aca="false">IF(A1081="","",H1081/90)</f>
        <v/>
      </c>
      <c r="Q1081" s="5" t="str">
        <f aca="false">IF(A1081="","",IFERROR(INDEX(Parâmetros!$C$6:$C$10,MATCH(F1081,Parâmetros!$B$6:$B$10,0)),""))</f>
        <v/>
      </c>
      <c r="R1081" s="5" t="str">
        <f aca="false">IF(OR(A1081="",P1081="",Q1081=""),"",P1081*Q1081)</f>
        <v/>
      </c>
      <c r="S1081" s="5" t="str">
        <f aca="false">IF(R1081="","",MAX(0,R1081-G1081))</f>
        <v/>
      </c>
      <c r="T1081" s="21" t="str">
        <f aca="false">IF(S1081="","",S1081*K1081)</f>
        <v/>
      </c>
      <c r="U1081" s="5" t="str">
        <f aca="false">IF(A1081="","",IF(J1081&gt;Parâmetros!$C$14,"SIM","NAO"))</f>
        <v/>
      </c>
      <c r="V1081" s="5" t="str">
        <f aca="false">IF(B1081="","",TRIM(LEFT(B1081,IFERROR(FIND(" ",B1081)-1,LEN(B1081)))))</f>
        <v/>
      </c>
      <c r="W1081" s="22"/>
      <c r="X1081" s="5" t="str">
        <f aca="false">IF(A1081="","",IF(W1081&lt;&gt;"",W1081,V1081))</f>
        <v/>
      </c>
      <c r="Y1081" s="5" t="str">
        <f aca="false">IF(A1081="","",IF(COUNTIFS($X$2:$X$2001,X1081,$D$2:$D$2001,"&lt;&gt;"&amp;D1081,$C$2:$C$2001,C1081)&gt;0,"SIM","NAO"))</f>
        <v/>
      </c>
      <c r="Z1081" s="5" t="str">
        <f aca="false">IF(A1081="","",IF(J1081="","",IFERROR(360/J1081,"")))</f>
        <v/>
      </c>
      <c r="AA1081" s="5" t="str">
        <f aca="false">IF(A1081="","",IF(H1081=0,"Parado (sem venda 90d)",IF(Z1081&gt;12,"Alto (&gt;12x/ano)",IF(Z1081&gt;=4,"Medio (4-12x/ano)","Baixo (&lt;4x/ano)"))))</f>
        <v/>
      </c>
    </row>
    <row r="1082" customFormat="false" ht="15" hidden="false" customHeight="true" outlineLevel="0" collapsed="false">
      <c r="A1082" s="6"/>
      <c r="B1082" s="6"/>
      <c r="C1082" s="6"/>
      <c r="D1082" s="6"/>
      <c r="E1082" s="6"/>
      <c r="F1082" s="6"/>
      <c r="G1082" s="6"/>
      <c r="H1082" s="6"/>
      <c r="I1082" s="6"/>
      <c r="J1082" s="6"/>
      <c r="K1082" s="18"/>
      <c r="L1082" s="19" t="str">
        <f aca="false">IF(A1082="","",G1082*K1082)</f>
        <v/>
      </c>
      <c r="M1082" s="20"/>
      <c r="N1082" s="6"/>
      <c r="O1082" s="6"/>
      <c r="P1082" s="5" t="str">
        <f aca="false">IF(A1082="","",H1082/90)</f>
        <v/>
      </c>
      <c r="Q1082" s="5" t="str">
        <f aca="false">IF(A1082="","",IFERROR(INDEX(Parâmetros!$C$6:$C$10,MATCH(F1082,Parâmetros!$B$6:$B$10,0)),""))</f>
        <v/>
      </c>
      <c r="R1082" s="5" t="str">
        <f aca="false">IF(OR(A1082="",P1082="",Q1082=""),"",P1082*Q1082)</f>
        <v/>
      </c>
      <c r="S1082" s="5" t="str">
        <f aca="false">IF(R1082="","",MAX(0,R1082-G1082))</f>
        <v/>
      </c>
      <c r="T1082" s="21" t="str">
        <f aca="false">IF(S1082="","",S1082*K1082)</f>
        <v/>
      </c>
      <c r="U1082" s="5" t="str">
        <f aca="false">IF(A1082="","",IF(J1082&gt;Parâmetros!$C$14,"SIM","NAO"))</f>
        <v/>
      </c>
      <c r="V1082" s="5" t="str">
        <f aca="false">IF(B1082="","",TRIM(LEFT(B1082,IFERROR(FIND(" ",B1082)-1,LEN(B1082)))))</f>
        <v/>
      </c>
      <c r="W1082" s="22"/>
      <c r="X1082" s="5" t="str">
        <f aca="false">IF(A1082="","",IF(W1082&lt;&gt;"",W1082,V1082))</f>
        <v/>
      </c>
      <c r="Y1082" s="5" t="str">
        <f aca="false">IF(A1082="","",IF(COUNTIFS($X$2:$X$2001,X1082,$D$2:$D$2001,"&lt;&gt;"&amp;D1082,$C$2:$C$2001,C1082)&gt;0,"SIM","NAO"))</f>
        <v/>
      </c>
      <c r="Z1082" s="5" t="str">
        <f aca="false">IF(A1082="","",IF(J1082="","",IFERROR(360/J1082,"")))</f>
        <v/>
      </c>
      <c r="AA1082" s="5" t="str">
        <f aca="false">IF(A1082="","",IF(H1082=0,"Parado (sem venda 90d)",IF(Z1082&gt;12,"Alto (&gt;12x/ano)",IF(Z1082&gt;=4,"Medio (4-12x/ano)","Baixo (&lt;4x/ano)"))))</f>
        <v/>
      </c>
    </row>
    <row r="1083" customFormat="false" ht="15" hidden="false" customHeight="true" outlineLevel="0" collapsed="false">
      <c r="A1083" s="6"/>
      <c r="B1083" s="6"/>
      <c r="C1083" s="6"/>
      <c r="D1083" s="6"/>
      <c r="E1083" s="6"/>
      <c r="F1083" s="6"/>
      <c r="G1083" s="6"/>
      <c r="H1083" s="6"/>
      <c r="I1083" s="6"/>
      <c r="J1083" s="6"/>
      <c r="K1083" s="18"/>
      <c r="L1083" s="19" t="str">
        <f aca="false">IF(A1083="","",G1083*K1083)</f>
        <v/>
      </c>
      <c r="M1083" s="20"/>
      <c r="N1083" s="6"/>
      <c r="O1083" s="6"/>
      <c r="P1083" s="5" t="str">
        <f aca="false">IF(A1083="","",H1083/90)</f>
        <v/>
      </c>
      <c r="Q1083" s="5" t="str">
        <f aca="false">IF(A1083="","",IFERROR(INDEX(Parâmetros!$C$6:$C$10,MATCH(F1083,Parâmetros!$B$6:$B$10,0)),""))</f>
        <v/>
      </c>
      <c r="R1083" s="5" t="str">
        <f aca="false">IF(OR(A1083="",P1083="",Q1083=""),"",P1083*Q1083)</f>
        <v/>
      </c>
      <c r="S1083" s="5" t="str">
        <f aca="false">IF(R1083="","",MAX(0,R1083-G1083))</f>
        <v/>
      </c>
      <c r="T1083" s="21" t="str">
        <f aca="false">IF(S1083="","",S1083*K1083)</f>
        <v/>
      </c>
      <c r="U1083" s="5" t="str">
        <f aca="false">IF(A1083="","",IF(J1083&gt;Parâmetros!$C$14,"SIM","NAO"))</f>
        <v/>
      </c>
      <c r="V1083" s="5" t="str">
        <f aca="false">IF(B1083="","",TRIM(LEFT(B1083,IFERROR(FIND(" ",B1083)-1,LEN(B1083)))))</f>
        <v/>
      </c>
      <c r="W1083" s="22"/>
      <c r="X1083" s="5" t="str">
        <f aca="false">IF(A1083="","",IF(W1083&lt;&gt;"",W1083,V1083))</f>
        <v/>
      </c>
      <c r="Y1083" s="5" t="str">
        <f aca="false">IF(A1083="","",IF(COUNTIFS($X$2:$X$2001,X1083,$D$2:$D$2001,"&lt;&gt;"&amp;D1083,$C$2:$C$2001,C1083)&gt;0,"SIM","NAO"))</f>
        <v/>
      </c>
      <c r="Z1083" s="5" t="str">
        <f aca="false">IF(A1083="","",IF(J1083="","",IFERROR(360/J1083,"")))</f>
        <v/>
      </c>
      <c r="AA1083" s="5" t="str">
        <f aca="false">IF(A1083="","",IF(H1083=0,"Parado (sem venda 90d)",IF(Z1083&gt;12,"Alto (&gt;12x/ano)",IF(Z1083&gt;=4,"Medio (4-12x/ano)","Baixo (&lt;4x/ano)"))))</f>
        <v/>
      </c>
    </row>
    <row r="1084" customFormat="false" ht="15" hidden="false" customHeight="true" outlineLevel="0" collapsed="false">
      <c r="A1084" s="6"/>
      <c r="B1084" s="6"/>
      <c r="C1084" s="6"/>
      <c r="D1084" s="6"/>
      <c r="E1084" s="6"/>
      <c r="F1084" s="6"/>
      <c r="G1084" s="6"/>
      <c r="H1084" s="6"/>
      <c r="I1084" s="6"/>
      <c r="J1084" s="6"/>
      <c r="K1084" s="18"/>
      <c r="L1084" s="19" t="str">
        <f aca="false">IF(A1084="","",G1084*K1084)</f>
        <v/>
      </c>
      <c r="M1084" s="20"/>
      <c r="N1084" s="6"/>
      <c r="O1084" s="6"/>
      <c r="P1084" s="5" t="str">
        <f aca="false">IF(A1084="","",H1084/90)</f>
        <v/>
      </c>
      <c r="Q1084" s="5" t="str">
        <f aca="false">IF(A1084="","",IFERROR(INDEX(Parâmetros!$C$6:$C$10,MATCH(F1084,Parâmetros!$B$6:$B$10,0)),""))</f>
        <v/>
      </c>
      <c r="R1084" s="5" t="str">
        <f aca="false">IF(OR(A1084="",P1084="",Q1084=""),"",P1084*Q1084)</f>
        <v/>
      </c>
      <c r="S1084" s="5" t="str">
        <f aca="false">IF(R1084="","",MAX(0,R1084-G1084))</f>
        <v/>
      </c>
      <c r="T1084" s="21" t="str">
        <f aca="false">IF(S1084="","",S1084*K1084)</f>
        <v/>
      </c>
      <c r="U1084" s="5" t="str">
        <f aca="false">IF(A1084="","",IF(J1084&gt;Parâmetros!$C$14,"SIM","NAO"))</f>
        <v/>
      </c>
      <c r="V1084" s="5" t="str">
        <f aca="false">IF(B1084="","",TRIM(LEFT(B1084,IFERROR(FIND(" ",B1084)-1,LEN(B1084)))))</f>
        <v/>
      </c>
      <c r="W1084" s="22"/>
      <c r="X1084" s="5" t="str">
        <f aca="false">IF(A1084="","",IF(W1084&lt;&gt;"",W1084,V1084))</f>
        <v/>
      </c>
      <c r="Y1084" s="5" t="str">
        <f aca="false">IF(A1084="","",IF(COUNTIFS($X$2:$X$2001,X1084,$D$2:$D$2001,"&lt;&gt;"&amp;D1084,$C$2:$C$2001,C1084)&gt;0,"SIM","NAO"))</f>
        <v/>
      </c>
      <c r="Z1084" s="5" t="str">
        <f aca="false">IF(A1084="","",IF(J1084="","",IFERROR(360/J1084,"")))</f>
        <v/>
      </c>
      <c r="AA1084" s="5" t="str">
        <f aca="false">IF(A1084="","",IF(H1084=0,"Parado (sem venda 90d)",IF(Z1084&gt;12,"Alto (&gt;12x/ano)",IF(Z1084&gt;=4,"Medio (4-12x/ano)","Baixo (&lt;4x/ano)"))))</f>
        <v/>
      </c>
    </row>
    <row r="1085" customFormat="false" ht="15" hidden="false" customHeight="true" outlineLevel="0" collapsed="false">
      <c r="A1085" s="6"/>
      <c r="B1085" s="6"/>
      <c r="C1085" s="6"/>
      <c r="D1085" s="6"/>
      <c r="E1085" s="6"/>
      <c r="F1085" s="6"/>
      <c r="G1085" s="6"/>
      <c r="H1085" s="6"/>
      <c r="I1085" s="6"/>
      <c r="J1085" s="6"/>
      <c r="K1085" s="18"/>
      <c r="L1085" s="19" t="str">
        <f aca="false">IF(A1085="","",G1085*K1085)</f>
        <v/>
      </c>
      <c r="M1085" s="20"/>
      <c r="N1085" s="6"/>
      <c r="O1085" s="6"/>
      <c r="P1085" s="5" t="str">
        <f aca="false">IF(A1085="","",H1085/90)</f>
        <v/>
      </c>
      <c r="Q1085" s="5" t="str">
        <f aca="false">IF(A1085="","",IFERROR(INDEX(Parâmetros!$C$6:$C$10,MATCH(F1085,Parâmetros!$B$6:$B$10,0)),""))</f>
        <v/>
      </c>
      <c r="R1085" s="5" t="str">
        <f aca="false">IF(OR(A1085="",P1085="",Q1085=""),"",P1085*Q1085)</f>
        <v/>
      </c>
      <c r="S1085" s="5" t="str">
        <f aca="false">IF(R1085="","",MAX(0,R1085-G1085))</f>
        <v/>
      </c>
      <c r="T1085" s="21" t="str">
        <f aca="false">IF(S1085="","",S1085*K1085)</f>
        <v/>
      </c>
      <c r="U1085" s="5" t="str">
        <f aca="false">IF(A1085="","",IF(J1085&gt;Parâmetros!$C$14,"SIM","NAO"))</f>
        <v/>
      </c>
      <c r="V1085" s="5" t="str">
        <f aca="false">IF(B1085="","",TRIM(LEFT(B1085,IFERROR(FIND(" ",B1085)-1,LEN(B1085)))))</f>
        <v/>
      </c>
      <c r="W1085" s="22"/>
      <c r="X1085" s="5" t="str">
        <f aca="false">IF(A1085="","",IF(W1085&lt;&gt;"",W1085,V1085))</f>
        <v/>
      </c>
      <c r="Y1085" s="5" t="str">
        <f aca="false">IF(A1085="","",IF(COUNTIFS($X$2:$X$2001,X1085,$D$2:$D$2001,"&lt;&gt;"&amp;D1085,$C$2:$C$2001,C1085)&gt;0,"SIM","NAO"))</f>
        <v/>
      </c>
      <c r="Z1085" s="5" t="str">
        <f aca="false">IF(A1085="","",IF(J1085="","",IFERROR(360/J1085,"")))</f>
        <v/>
      </c>
      <c r="AA1085" s="5" t="str">
        <f aca="false">IF(A1085="","",IF(H1085=0,"Parado (sem venda 90d)",IF(Z1085&gt;12,"Alto (&gt;12x/ano)",IF(Z1085&gt;=4,"Medio (4-12x/ano)","Baixo (&lt;4x/ano)"))))</f>
        <v/>
      </c>
    </row>
    <row r="1086" customFormat="false" ht="15" hidden="false" customHeight="true" outlineLevel="0" collapsed="false">
      <c r="A1086" s="6"/>
      <c r="B1086" s="6"/>
      <c r="C1086" s="6"/>
      <c r="D1086" s="6"/>
      <c r="E1086" s="6"/>
      <c r="F1086" s="6"/>
      <c r="G1086" s="6"/>
      <c r="H1086" s="6"/>
      <c r="I1086" s="6"/>
      <c r="J1086" s="6"/>
      <c r="K1086" s="18"/>
      <c r="L1086" s="19" t="str">
        <f aca="false">IF(A1086="","",G1086*K1086)</f>
        <v/>
      </c>
      <c r="M1086" s="20"/>
      <c r="N1086" s="6"/>
      <c r="O1086" s="6"/>
      <c r="P1086" s="5" t="str">
        <f aca="false">IF(A1086="","",H1086/90)</f>
        <v/>
      </c>
      <c r="Q1086" s="5" t="str">
        <f aca="false">IF(A1086="","",IFERROR(INDEX(Parâmetros!$C$6:$C$10,MATCH(F1086,Parâmetros!$B$6:$B$10,0)),""))</f>
        <v/>
      </c>
      <c r="R1086" s="5" t="str">
        <f aca="false">IF(OR(A1086="",P1086="",Q1086=""),"",P1086*Q1086)</f>
        <v/>
      </c>
      <c r="S1086" s="5" t="str">
        <f aca="false">IF(R1086="","",MAX(0,R1086-G1086))</f>
        <v/>
      </c>
      <c r="T1086" s="21" t="str">
        <f aca="false">IF(S1086="","",S1086*K1086)</f>
        <v/>
      </c>
      <c r="U1086" s="5" t="str">
        <f aca="false">IF(A1086="","",IF(J1086&gt;Parâmetros!$C$14,"SIM","NAO"))</f>
        <v/>
      </c>
      <c r="V1086" s="5" t="str">
        <f aca="false">IF(B1086="","",TRIM(LEFT(B1086,IFERROR(FIND(" ",B1086)-1,LEN(B1086)))))</f>
        <v/>
      </c>
      <c r="W1086" s="22"/>
      <c r="X1086" s="5" t="str">
        <f aca="false">IF(A1086="","",IF(W1086&lt;&gt;"",W1086,V1086))</f>
        <v/>
      </c>
      <c r="Y1086" s="5" t="str">
        <f aca="false">IF(A1086="","",IF(COUNTIFS($X$2:$X$2001,X1086,$D$2:$D$2001,"&lt;&gt;"&amp;D1086,$C$2:$C$2001,C1086)&gt;0,"SIM","NAO"))</f>
        <v/>
      </c>
      <c r="Z1086" s="5" t="str">
        <f aca="false">IF(A1086="","",IF(J1086="","",IFERROR(360/J1086,"")))</f>
        <v/>
      </c>
      <c r="AA1086" s="5" t="str">
        <f aca="false">IF(A1086="","",IF(H1086=0,"Parado (sem venda 90d)",IF(Z1086&gt;12,"Alto (&gt;12x/ano)",IF(Z1086&gt;=4,"Medio (4-12x/ano)","Baixo (&lt;4x/ano)"))))</f>
        <v/>
      </c>
    </row>
    <row r="1087" customFormat="false" ht="15" hidden="false" customHeight="true" outlineLevel="0" collapsed="false">
      <c r="A1087" s="6"/>
      <c r="B1087" s="6"/>
      <c r="C1087" s="6"/>
      <c r="D1087" s="6"/>
      <c r="E1087" s="6"/>
      <c r="F1087" s="6"/>
      <c r="G1087" s="6"/>
      <c r="H1087" s="6"/>
      <c r="I1087" s="6"/>
      <c r="J1087" s="6"/>
      <c r="K1087" s="18"/>
      <c r="L1087" s="19" t="str">
        <f aca="false">IF(A1087="","",G1087*K1087)</f>
        <v/>
      </c>
      <c r="M1087" s="20"/>
      <c r="N1087" s="6"/>
      <c r="O1087" s="6"/>
      <c r="P1087" s="5" t="str">
        <f aca="false">IF(A1087="","",H1087/90)</f>
        <v/>
      </c>
      <c r="Q1087" s="5" t="str">
        <f aca="false">IF(A1087="","",IFERROR(INDEX(Parâmetros!$C$6:$C$10,MATCH(F1087,Parâmetros!$B$6:$B$10,0)),""))</f>
        <v/>
      </c>
      <c r="R1087" s="5" t="str">
        <f aca="false">IF(OR(A1087="",P1087="",Q1087=""),"",P1087*Q1087)</f>
        <v/>
      </c>
      <c r="S1087" s="5" t="str">
        <f aca="false">IF(R1087="","",MAX(0,R1087-G1087))</f>
        <v/>
      </c>
      <c r="T1087" s="21" t="str">
        <f aca="false">IF(S1087="","",S1087*K1087)</f>
        <v/>
      </c>
      <c r="U1087" s="5" t="str">
        <f aca="false">IF(A1087="","",IF(J1087&gt;Parâmetros!$C$14,"SIM","NAO"))</f>
        <v/>
      </c>
      <c r="V1087" s="5" t="str">
        <f aca="false">IF(B1087="","",TRIM(LEFT(B1087,IFERROR(FIND(" ",B1087)-1,LEN(B1087)))))</f>
        <v/>
      </c>
      <c r="W1087" s="22"/>
      <c r="X1087" s="5" t="str">
        <f aca="false">IF(A1087="","",IF(W1087&lt;&gt;"",W1087,V1087))</f>
        <v/>
      </c>
      <c r="Y1087" s="5" t="str">
        <f aca="false">IF(A1087="","",IF(COUNTIFS($X$2:$X$2001,X1087,$D$2:$D$2001,"&lt;&gt;"&amp;D1087,$C$2:$C$2001,C1087)&gt;0,"SIM","NAO"))</f>
        <v/>
      </c>
      <c r="Z1087" s="5" t="str">
        <f aca="false">IF(A1087="","",IF(J1087="","",IFERROR(360/J1087,"")))</f>
        <v/>
      </c>
      <c r="AA1087" s="5" t="str">
        <f aca="false">IF(A1087="","",IF(H1087=0,"Parado (sem venda 90d)",IF(Z1087&gt;12,"Alto (&gt;12x/ano)",IF(Z1087&gt;=4,"Medio (4-12x/ano)","Baixo (&lt;4x/ano)"))))</f>
        <v/>
      </c>
    </row>
    <row r="1088" customFormat="false" ht="15" hidden="false" customHeight="true" outlineLevel="0" collapsed="false">
      <c r="A1088" s="6"/>
      <c r="B1088" s="6"/>
      <c r="C1088" s="6"/>
      <c r="D1088" s="6"/>
      <c r="E1088" s="6"/>
      <c r="F1088" s="6"/>
      <c r="G1088" s="6"/>
      <c r="H1088" s="6"/>
      <c r="I1088" s="6"/>
      <c r="J1088" s="6"/>
      <c r="K1088" s="18"/>
      <c r="L1088" s="19" t="str">
        <f aca="false">IF(A1088="","",G1088*K1088)</f>
        <v/>
      </c>
      <c r="M1088" s="20"/>
      <c r="N1088" s="6"/>
      <c r="O1088" s="6"/>
      <c r="P1088" s="5" t="str">
        <f aca="false">IF(A1088="","",H1088/90)</f>
        <v/>
      </c>
      <c r="Q1088" s="5" t="str">
        <f aca="false">IF(A1088="","",IFERROR(INDEX(Parâmetros!$C$6:$C$10,MATCH(F1088,Parâmetros!$B$6:$B$10,0)),""))</f>
        <v/>
      </c>
      <c r="R1088" s="5" t="str">
        <f aca="false">IF(OR(A1088="",P1088="",Q1088=""),"",P1088*Q1088)</f>
        <v/>
      </c>
      <c r="S1088" s="5" t="str">
        <f aca="false">IF(R1088="","",MAX(0,R1088-G1088))</f>
        <v/>
      </c>
      <c r="T1088" s="21" t="str">
        <f aca="false">IF(S1088="","",S1088*K1088)</f>
        <v/>
      </c>
      <c r="U1088" s="5" t="str">
        <f aca="false">IF(A1088="","",IF(J1088&gt;Parâmetros!$C$14,"SIM","NAO"))</f>
        <v/>
      </c>
      <c r="V1088" s="5" t="str">
        <f aca="false">IF(B1088="","",TRIM(LEFT(B1088,IFERROR(FIND(" ",B1088)-1,LEN(B1088)))))</f>
        <v/>
      </c>
      <c r="W1088" s="22"/>
      <c r="X1088" s="5" t="str">
        <f aca="false">IF(A1088="","",IF(W1088&lt;&gt;"",W1088,V1088))</f>
        <v/>
      </c>
      <c r="Y1088" s="5" t="str">
        <f aca="false">IF(A1088="","",IF(COUNTIFS($X$2:$X$2001,X1088,$D$2:$D$2001,"&lt;&gt;"&amp;D1088,$C$2:$C$2001,C1088)&gt;0,"SIM","NAO"))</f>
        <v/>
      </c>
      <c r="Z1088" s="5" t="str">
        <f aca="false">IF(A1088="","",IF(J1088="","",IFERROR(360/J1088,"")))</f>
        <v/>
      </c>
      <c r="AA1088" s="5" t="str">
        <f aca="false">IF(A1088="","",IF(H1088=0,"Parado (sem venda 90d)",IF(Z1088&gt;12,"Alto (&gt;12x/ano)",IF(Z1088&gt;=4,"Medio (4-12x/ano)","Baixo (&lt;4x/ano)"))))</f>
        <v/>
      </c>
    </row>
    <row r="1089" customFormat="false" ht="15" hidden="false" customHeight="true" outlineLevel="0" collapsed="false">
      <c r="A1089" s="6"/>
      <c r="B1089" s="6"/>
      <c r="C1089" s="6"/>
      <c r="D1089" s="6"/>
      <c r="E1089" s="6"/>
      <c r="F1089" s="6"/>
      <c r="G1089" s="6"/>
      <c r="H1089" s="6"/>
      <c r="I1089" s="6"/>
      <c r="J1089" s="6"/>
      <c r="K1089" s="18"/>
      <c r="L1089" s="19" t="str">
        <f aca="false">IF(A1089="","",G1089*K1089)</f>
        <v/>
      </c>
      <c r="M1089" s="20"/>
      <c r="N1089" s="6"/>
      <c r="O1089" s="6"/>
      <c r="P1089" s="5" t="str">
        <f aca="false">IF(A1089="","",H1089/90)</f>
        <v/>
      </c>
      <c r="Q1089" s="5" t="str">
        <f aca="false">IF(A1089="","",IFERROR(INDEX(Parâmetros!$C$6:$C$10,MATCH(F1089,Parâmetros!$B$6:$B$10,0)),""))</f>
        <v/>
      </c>
      <c r="R1089" s="5" t="str">
        <f aca="false">IF(OR(A1089="",P1089="",Q1089=""),"",P1089*Q1089)</f>
        <v/>
      </c>
      <c r="S1089" s="5" t="str">
        <f aca="false">IF(R1089="","",MAX(0,R1089-G1089))</f>
        <v/>
      </c>
      <c r="T1089" s="21" t="str">
        <f aca="false">IF(S1089="","",S1089*K1089)</f>
        <v/>
      </c>
      <c r="U1089" s="5" t="str">
        <f aca="false">IF(A1089="","",IF(J1089&gt;Parâmetros!$C$14,"SIM","NAO"))</f>
        <v/>
      </c>
      <c r="V1089" s="5" t="str">
        <f aca="false">IF(B1089="","",TRIM(LEFT(B1089,IFERROR(FIND(" ",B1089)-1,LEN(B1089)))))</f>
        <v/>
      </c>
      <c r="W1089" s="22"/>
      <c r="X1089" s="5" t="str">
        <f aca="false">IF(A1089="","",IF(W1089&lt;&gt;"",W1089,V1089))</f>
        <v/>
      </c>
      <c r="Y1089" s="5" t="str">
        <f aca="false">IF(A1089="","",IF(COUNTIFS($X$2:$X$2001,X1089,$D$2:$D$2001,"&lt;&gt;"&amp;D1089,$C$2:$C$2001,C1089)&gt;0,"SIM","NAO"))</f>
        <v/>
      </c>
      <c r="Z1089" s="5" t="str">
        <f aca="false">IF(A1089="","",IF(J1089="","",IFERROR(360/J1089,"")))</f>
        <v/>
      </c>
      <c r="AA1089" s="5" t="str">
        <f aca="false">IF(A1089="","",IF(H1089=0,"Parado (sem venda 90d)",IF(Z1089&gt;12,"Alto (&gt;12x/ano)",IF(Z1089&gt;=4,"Medio (4-12x/ano)","Baixo (&lt;4x/ano)"))))</f>
        <v/>
      </c>
    </row>
    <row r="1090" customFormat="false" ht="15" hidden="false" customHeight="true" outlineLevel="0" collapsed="false">
      <c r="A1090" s="6"/>
      <c r="B1090" s="6"/>
      <c r="C1090" s="6"/>
      <c r="D1090" s="6"/>
      <c r="E1090" s="6"/>
      <c r="F1090" s="6"/>
      <c r="G1090" s="6"/>
      <c r="H1090" s="6"/>
      <c r="I1090" s="6"/>
      <c r="J1090" s="6"/>
      <c r="K1090" s="18"/>
      <c r="L1090" s="19" t="str">
        <f aca="false">IF(A1090="","",G1090*K1090)</f>
        <v/>
      </c>
      <c r="M1090" s="20"/>
      <c r="N1090" s="6"/>
      <c r="O1090" s="6"/>
      <c r="P1090" s="5" t="str">
        <f aca="false">IF(A1090="","",H1090/90)</f>
        <v/>
      </c>
      <c r="Q1090" s="5" t="str">
        <f aca="false">IF(A1090="","",IFERROR(INDEX(Parâmetros!$C$6:$C$10,MATCH(F1090,Parâmetros!$B$6:$B$10,0)),""))</f>
        <v/>
      </c>
      <c r="R1090" s="5" t="str">
        <f aca="false">IF(OR(A1090="",P1090="",Q1090=""),"",P1090*Q1090)</f>
        <v/>
      </c>
      <c r="S1090" s="5" t="str">
        <f aca="false">IF(R1090="","",MAX(0,R1090-G1090))</f>
        <v/>
      </c>
      <c r="T1090" s="21" t="str">
        <f aca="false">IF(S1090="","",S1090*K1090)</f>
        <v/>
      </c>
      <c r="U1090" s="5" t="str">
        <f aca="false">IF(A1090="","",IF(J1090&gt;Parâmetros!$C$14,"SIM","NAO"))</f>
        <v/>
      </c>
      <c r="V1090" s="5" t="str">
        <f aca="false">IF(B1090="","",TRIM(LEFT(B1090,IFERROR(FIND(" ",B1090)-1,LEN(B1090)))))</f>
        <v/>
      </c>
      <c r="W1090" s="22"/>
      <c r="X1090" s="5" t="str">
        <f aca="false">IF(A1090="","",IF(W1090&lt;&gt;"",W1090,V1090))</f>
        <v/>
      </c>
      <c r="Y1090" s="5" t="str">
        <f aca="false">IF(A1090="","",IF(COUNTIFS($X$2:$X$2001,X1090,$D$2:$D$2001,"&lt;&gt;"&amp;D1090,$C$2:$C$2001,C1090)&gt;0,"SIM","NAO"))</f>
        <v/>
      </c>
      <c r="Z1090" s="5" t="str">
        <f aca="false">IF(A1090="","",IF(J1090="","",IFERROR(360/J1090,"")))</f>
        <v/>
      </c>
      <c r="AA1090" s="5" t="str">
        <f aca="false">IF(A1090="","",IF(H1090=0,"Parado (sem venda 90d)",IF(Z1090&gt;12,"Alto (&gt;12x/ano)",IF(Z1090&gt;=4,"Medio (4-12x/ano)","Baixo (&lt;4x/ano)"))))</f>
        <v/>
      </c>
    </row>
    <row r="1091" customFormat="false" ht="15" hidden="false" customHeight="true" outlineLevel="0" collapsed="false">
      <c r="A1091" s="6"/>
      <c r="B1091" s="6"/>
      <c r="C1091" s="6"/>
      <c r="D1091" s="6"/>
      <c r="E1091" s="6"/>
      <c r="F1091" s="6"/>
      <c r="G1091" s="6"/>
      <c r="H1091" s="6"/>
      <c r="I1091" s="6"/>
      <c r="J1091" s="6"/>
      <c r="K1091" s="18"/>
      <c r="L1091" s="19" t="str">
        <f aca="false">IF(A1091="","",G1091*K1091)</f>
        <v/>
      </c>
      <c r="M1091" s="20"/>
      <c r="N1091" s="6"/>
      <c r="O1091" s="6"/>
      <c r="P1091" s="5" t="str">
        <f aca="false">IF(A1091="","",H1091/90)</f>
        <v/>
      </c>
      <c r="Q1091" s="5" t="str">
        <f aca="false">IF(A1091="","",IFERROR(INDEX(Parâmetros!$C$6:$C$10,MATCH(F1091,Parâmetros!$B$6:$B$10,0)),""))</f>
        <v/>
      </c>
      <c r="R1091" s="5" t="str">
        <f aca="false">IF(OR(A1091="",P1091="",Q1091=""),"",P1091*Q1091)</f>
        <v/>
      </c>
      <c r="S1091" s="5" t="str">
        <f aca="false">IF(R1091="","",MAX(0,R1091-G1091))</f>
        <v/>
      </c>
      <c r="T1091" s="21" t="str">
        <f aca="false">IF(S1091="","",S1091*K1091)</f>
        <v/>
      </c>
      <c r="U1091" s="5" t="str">
        <f aca="false">IF(A1091="","",IF(J1091&gt;Parâmetros!$C$14,"SIM","NAO"))</f>
        <v/>
      </c>
      <c r="V1091" s="5" t="str">
        <f aca="false">IF(B1091="","",TRIM(LEFT(B1091,IFERROR(FIND(" ",B1091)-1,LEN(B1091)))))</f>
        <v/>
      </c>
      <c r="W1091" s="22"/>
      <c r="X1091" s="5" t="str">
        <f aca="false">IF(A1091="","",IF(W1091&lt;&gt;"",W1091,V1091))</f>
        <v/>
      </c>
      <c r="Y1091" s="5" t="str">
        <f aca="false">IF(A1091="","",IF(COUNTIFS($X$2:$X$2001,X1091,$D$2:$D$2001,"&lt;&gt;"&amp;D1091,$C$2:$C$2001,C1091)&gt;0,"SIM","NAO"))</f>
        <v/>
      </c>
      <c r="Z1091" s="5" t="str">
        <f aca="false">IF(A1091="","",IF(J1091="","",IFERROR(360/J1091,"")))</f>
        <v/>
      </c>
      <c r="AA1091" s="5" t="str">
        <f aca="false">IF(A1091="","",IF(H1091=0,"Parado (sem venda 90d)",IF(Z1091&gt;12,"Alto (&gt;12x/ano)",IF(Z1091&gt;=4,"Medio (4-12x/ano)","Baixo (&lt;4x/ano)"))))</f>
        <v/>
      </c>
    </row>
    <row r="1092" customFormat="false" ht="15" hidden="false" customHeight="true" outlineLevel="0" collapsed="false">
      <c r="A1092" s="6"/>
      <c r="B1092" s="6"/>
      <c r="C1092" s="6"/>
      <c r="D1092" s="6"/>
      <c r="E1092" s="6"/>
      <c r="F1092" s="6"/>
      <c r="G1092" s="6"/>
      <c r="H1092" s="6"/>
      <c r="I1092" s="6"/>
      <c r="J1092" s="6"/>
      <c r="K1092" s="18"/>
      <c r="L1092" s="19" t="str">
        <f aca="false">IF(A1092="","",G1092*K1092)</f>
        <v/>
      </c>
      <c r="M1092" s="20"/>
      <c r="N1092" s="6"/>
      <c r="O1092" s="6"/>
      <c r="P1092" s="5" t="str">
        <f aca="false">IF(A1092="","",H1092/90)</f>
        <v/>
      </c>
      <c r="Q1092" s="5" t="str">
        <f aca="false">IF(A1092="","",IFERROR(INDEX(Parâmetros!$C$6:$C$10,MATCH(F1092,Parâmetros!$B$6:$B$10,0)),""))</f>
        <v/>
      </c>
      <c r="R1092" s="5" t="str">
        <f aca="false">IF(OR(A1092="",P1092="",Q1092=""),"",P1092*Q1092)</f>
        <v/>
      </c>
      <c r="S1092" s="5" t="str">
        <f aca="false">IF(R1092="","",MAX(0,R1092-G1092))</f>
        <v/>
      </c>
      <c r="T1092" s="21" t="str">
        <f aca="false">IF(S1092="","",S1092*K1092)</f>
        <v/>
      </c>
      <c r="U1092" s="5" t="str">
        <f aca="false">IF(A1092="","",IF(J1092&gt;Parâmetros!$C$14,"SIM","NAO"))</f>
        <v/>
      </c>
      <c r="V1092" s="5" t="str">
        <f aca="false">IF(B1092="","",TRIM(LEFT(B1092,IFERROR(FIND(" ",B1092)-1,LEN(B1092)))))</f>
        <v/>
      </c>
      <c r="W1092" s="22"/>
      <c r="X1092" s="5" t="str">
        <f aca="false">IF(A1092="","",IF(W1092&lt;&gt;"",W1092,V1092))</f>
        <v/>
      </c>
      <c r="Y1092" s="5" t="str">
        <f aca="false">IF(A1092="","",IF(COUNTIFS($X$2:$X$2001,X1092,$D$2:$D$2001,"&lt;&gt;"&amp;D1092,$C$2:$C$2001,C1092)&gt;0,"SIM","NAO"))</f>
        <v/>
      </c>
      <c r="Z1092" s="5" t="str">
        <f aca="false">IF(A1092="","",IF(J1092="","",IFERROR(360/J1092,"")))</f>
        <v/>
      </c>
      <c r="AA1092" s="5" t="str">
        <f aca="false">IF(A1092="","",IF(H1092=0,"Parado (sem venda 90d)",IF(Z1092&gt;12,"Alto (&gt;12x/ano)",IF(Z1092&gt;=4,"Medio (4-12x/ano)","Baixo (&lt;4x/ano)"))))</f>
        <v/>
      </c>
    </row>
    <row r="1093" customFormat="false" ht="15" hidden="false" customHeight="true" outlineLevel="0" collapsed="false">
      <c r="A1093" s="6"/>
      <c r="B1093" s="6"/>
      <c r="C1093" s="6"/>
      <c r="D1093" s="6"/>
      <c r="E1093" s="6"/>
      <c r="F1093" s="6"/>
      <c r="G1093" s="6"/>
      <c r="H1093" s="6"/>
      <c r="I1093" s="6"/>
      <c r="J1093" s="6"/>
      <c r="K1093" s="18"/>
      <c r="L1093" s="19" t="str">
        <f aca="false">IF(A1093="","",G1093*K1093)</f>
        <v/>
      </c>
      <c r="M1093" s="20"/>
      <c r="N1093" s="6"/>
      <c r="O1093" s="6"/>
      <c r="P1093" s="5" t="str">
        <f aca="false">IF(A1093="","",H1093/90)</f>
        <v/>
      </c>
      <c r="Q1093" s="5" t="str">
        <f aca="false">IF(A1093="","",IFERROR(INDEX(Parâmetros!$C$6:$C$10,MATCH(F1093,Parâmetros!$B$6:$B$10,0)),""))</f>
        <v/>
      </c>
      <c r="R1093" s="5" t="str">
        <f aca="false">IF(OR(A1093="",P1093="",Q1093=""),"",P1093*Q1093)</f>
        <v/>
      </c>
      <c r="S1093" s="5" t="str">
        <f aca="false">IF(R1093="","",MAX(0,R1093-G1093))</f>
        <v/>
      </c>
      <c r="T1093" s="21" t="str">
        <f aca="false">IF(S1093="","",S1093*K1093)</f>
        <v/>
      </c>
      <c r="U1093" s="5" t="str">
        <f aca="false">IF(A1093="","",IF(J1093&gt;Parâmetros!$C$14,"SIM","NAO"))</f>
        <v/>
      </c>
      <c r="V1093" s="5" t="str">
        <f aca="false">IF(B1093="","",TRIM(LEFT(B1093,IFERROR(FIND(" ",B1093)-1,LEN(B1093)))))</f>
        <v/>
      </c>
      <c r="W1093" s="22"/>
      <c r="X1093" s="5" t="str">
        <f aca="false">IF(A1093="","",IF(W1093&lt;&gt;"",W1093,V1093))</f>
        <v/>
      </c>
      <c r="Y1093" s="5" t="str">
        <f aca="false">IF(A1093="","",IF(COUNTIFS($X$2:$X$2001,X1093,$D$2:$D$2001,"&lt;&gt;"&amp;D1093,$C$2:$C$2001,C1093)&gt;0,"SIM","NAO"))</f>
        <v/>
      </c>
      <c r="Z1093" s="5" t="str">
        <f aca="false">IF(A1093="","",IF(J1093="","",IFERROR(360/J1093,"")))</f>
        <v/>
      </c>
      <c r="AA1093" s="5" t="str">
        <f aca="false">IF(A1093="","",IF(H1093=0,"Parado (sem venda 90d)",IF(Z1093&gt;12,"Alto (&gt;12x/ano)",IF(Z1093&gt;=4,"Medio (4-12x/ano)","Baixo (&lt;4x/ano)"))))</f>
        <v/>
      </c>
    </row>
    <row r="1094" customFormat="false" ht="15" hidden="false" customHeight="true" outlineLevel="0" collapsed="false">
      <c r="A1094" s="6"/>
      <c r="B1094" s="6"/>
      <c r="C1094" s="6"/>
      <c r="D1094" s="6"/>
      <c r="E1094" s="6"/>
      <c r="F1094" s="6"/>
      <c r="G1094" s="6"/>
      <c r="H1094" s="6"/>
      <c r="I1094" s="6"/>
      <c r="J1094" s="6"/>
      <c r="K1094" s="18"/>
      <c r="L1094" s="19" t="str">
        <f aca="false">IF(A1094="","",G1094*K1094)</f>
        <v/>
      </c>
      <c r="M1094" s="20"/>
      <c r="N1094" s="6"/>
      <c r="O1094" s="6"/>
      <c r="P1094" s="5" t="str">
        <f aca="false">IF(A1094="","",H1094/90)</f>
        <v/>
      </c>
      <c r="Q1094" s="5" t="str">
        <f aca="false">IF(A1094="","",IFERROR(INDEX(Parâmetros!$C$6:$C$10,MATCH(F1094,Parâmetros!$B$6:$B$10,0)),""))</f>
        <v/>
      </c>
      <c r="R1094" s="5" t="str">
        <f aca="false">IF(OR(A1094="",P1094="",Q1094=""),"",P1094*Q1094)</f>
        <v/>
      </c>
      <c r="S1094" s="5" t="str">
        <f aca="false">IF(R1094="","",MAX(0,R1094-G1094))</f>
        <v/>
      </c>
      <c r="T1094" s="21" t="str">
        <f aca="false">IF(S1094="","",S1094*K1094)</f>
        <v/>
      </c>
      <c r="U1094" s="5" t="str">
        <f aca="false">IF(A1094="","",IF(J1094&gt;Parâmetros!$C$14,"SIM","NAO"))</f>
        <v/>
      </c>
      <c r="V1094" s="5" t="str">
        <f aca="false">IF(B1094="","",TRIM(LEFT(B1094,IFERROR(FIND(" ",B1094)-1,LEN(B1094)))))</f>
        <v/>
      </c>
      <c r="W1094" s="22"/>
      <c r="X1094" s="5" t="str">
        <f aca="false">IF(A1094="","",IF(W1094&lt;&gt;"",W1094,V1094))</f>
        <v/>
      </c>
      <c r="Y1094" s="5" t="str">
        <f aca="false">IF(A1094="","",IF(COUNTIFS($X$2:$X$2001,X1094,$D$2:$D$2001,"&lt;&gt;"&amp;D1094,$C$2:$C$2001,C1094)&gt;0,"SIM","NAO"))</f>
        <v/>
      </c>
      <c r="Z1094" s="5" t="str">
        <f aca="false">IF(A1094="","",IF(J1094="","",IFERROR(360/J1094,"")))</f>
        <v/>
      </c>
      <c r="AA1094" s="5" t="str">
        <f aca="false">IF(A1094="","",IF(H1094=0,"Parado (sem venda 90d)",IF(Z1094&gt;12,"Alto (&gt;12x/ano)",IF(Z1094&gt;=4,"Medio (4-12x/ano)","Baixo (&lt;4x/ano)"))))</f>
        <v/>
      </c>
    </row>
    <row r="1095" customFormat="false" ht="15" hidden="false" customHeight="true" outlineLevel="0" collapsed="false">
      <c r="A1095" s="6"/>
      <c r="B1095" s="6"/>
      <c r="C1095" s="6"/>
      <c r="D1095" s="6"/>
      <c r="E1095" s="6"/>
      <c r="F1095" s="6"/>
      <c r="G1095" s="6"/>
      <c r="H1095" s="6"/>
      <c r="I1095" s="6"/>
      <c r="J1095" s="6"/>
      <c r="K1095" s="18"/>
      <c r="L1095" s="19" t="str">
        <f aca="false">IF(A1095="","",G1095*K1095)</f>
        <v/>
      </c>
      <c r="M1095" s="20"/>
      <c r="N1095" s="6"/>
      <c r="O1095" s="6"/>
      <c r="P1095" s="5" t="str">
        <f aca="false">IF(A1095="","",H1095/90)</f>
        <v/>
      </c>
      <c r="Q1095" s="5" t="str">
        <f aca="false">IF(A1095="","",IFERROR(INDEX(Parâmetros!$C$6:$C$10,MATCH(F1095,Parâmetros!$B$6:$B$10,0)),""))</f>
        <v/>
      </c>
      <c r="R1095" s="5" t="str">
        <f aca="false">IF(OR(A1095="",P1095="",Q1095=""),"",P1095*Q1095)</f>
        <v/>
      </c>
      <c r="S1095" s="5" t="str">
        <f aca="false">IF(R1095="","",MAX(0,R1095-G1095))</f>
        <v/>
      </c>
      <c r="T1095" s="21" t="str">
        <f aca="false">IF(S1095="","",S1095*K1095)</f>
        <v/>
      </c>
      <c r="U1095" s="5" t="str">
        <f aca="false">IF(A1095="","",IF(J1095&gt;Parâmetros!$C$14,"SIM","NAO"))</f>
        <v/>
      </c>
      <c r="V1095" s="5" t="str">
        <f aca="false">IF(B1095="","",TRIM(LEFT(B1095,IFERROR(FIND(" ",B1095)-1,LEN(B1095)))))</f>
        <v/>
      </c>
      <c r="W1095" s="22"/>
      <c r="X1095" s="5" t="str">
        <f aca="false">IF(A1095="","",IF(W1095&lt;&gt;"",W1095,V1095))</f>
        <v/>
      </c>
      <c r="Y1095" s="5" t="str">
        <f aca="false">IF(A1095="","",IF(COUNTIFS($X$2:$X$2001,X1095,$D$2:$D$2001,"&lt;&gt;"&amp;D1095,$C$2:$C$2001,C1095)&gt;0,"SIM","NAO"))</f>
        <v/>
      </c>
      <c r="Z1095" s="5" t="str">
        <f aca="false">IF(A1095="","",IF(J1095="","",IFERROR(360/J1095,"")))</f>
        <v/>
      </c>
      <c r="AA1095" s="5" t="str">
        <f aca="false">IF(A1095="","",IF(H1095=0,"Parado (sem venda 90d)",IF(Z1095&gt;12,"Alto (&gt;12x/ano)",IF(Z1095&gt;=4,"Medio (4-12x/ano)","Baixo (&lt;4x/ano)"))))</f>
        <v/>
      </c>
    </row>
    <row r="1096" customFormat="false" ht="15" hidden="false" customHeight="true" outlineLevel="0" collapsed="false">
      <c r="A1096" s="6"/>
      <c r="B1096" s="6"/>
      <c r="C1096" s="6"/>
      <c r="D1096" s="6"/>
      <c r="E1096" s="6"/>
      <c r="F1096" s="6"/>
      <c r="G1096" s="6"/>
      <c r="H1096" s="6"/>
      <c r="I1096" s="6"/>
      <c r="J1096" s="6"/>
      <c r="K1096" s="18"/>
      <c r="L1096" s="19" t="str">
        <f aca="false">IF(A1096="","",G1096*K1096)</f>
        <v/>
      </c>
      <c r="M1096" s="20"/>
      <c r="N1096" s="6"/>
      <c r="O1096" s="6"/>
      <c r="P1096" s="5" t="str">
        <f aca="false">IF(A1096="","",H1096/90)</f>
        <v/>
      </c>
      <c r="Q1096" s="5" t="str">
        <f aca="false">IF(A1096="","",IFERROR(INDEX(Parâmetros!$C$6:$C$10,MATCH(F1096,Parâmetros!$B$6:$B$10,0)),""))</f>
        <v/>
      </c>
      <c r="R1096" s="5" t="str">
        <f aca="false">IF(OR(A1096="",P1096="",Q1096=""),"",P1096*Q1096)</f>
        <v/>
      </c>
      <c r="S1096" s="5" t="str">
        <f aca="false">IF(R1096="","",MAX(0,R1096-G1096))</f>
        <v/>
      </c>
      <c r="T1096" s="21" t="str">
        <f aca="false">IF(S1096="","",S1096*K1096)</f>
        <v/>
      </c>
      <c r="U1096" s="5" t="str">
        <f aca="false">IF(A1096="","",IF(J1096&gt;Parâmetros!$C$14,"SIM","NAO"))</f>
        <v/>
      </c>
      <c r="V1096" s="5" t="str">
        <f aca="false">IF(B1096="","",TRIM(LEFT(B1096,IFERROR(FIND(" ",B1096)-1,LEN(B1096)))))</f>
        <v/>
      </c>
      <c r="W1096" s="22"/>
      <c r="X1096" s="5" t="str">
        <f aca="false">IF(A1096="","",IF(W1096&lt;&gt;"",W1096,V1096))</f>
        <v/>
      </c>
      <c r="Y1096" s="5" t="str">
        <f aca="false">IF(A1096="","",IF(COUNTIFS($X$2:$X$2001,X1096,$D$2:$D$2001,"&lt;&gt;"&amp;D1096,$C$2:$C$2001,C1096)&gt;0,"SIM","NAO"))</f>
        <v/>
      </c>
      <c r="Z1096" s="5" t="str">
        <f aca="false">IF(A1096="","",IF(J1096="","",IFERROR(360/J1096,"")))</f>
        <v/>
      </c>
      <c r="AA1096" s="5" t="str">
        <f aca="false">IF(A1096="","",IF(H1096=0,"Parado (sem venda 90d)",IF(Z1096&gt;12,"Alto (&gt;12x/ano)",IF(Z1096&gt;=4,"Medio (4-12x/ano)","Baixo (&lt;4x/ano)"))))</f>
        <v/>
      </c>
    </row>
    <row r="1097" customFormat="false" ht="15" hidden="false" customHeight="true" outlineLevel="0" collapsed="false">
      <c r="A1097" s="6"/>
      <c r="B1097" s="6"/>
      <c r="C1097" s="6"/>
      <c r="D1097" s="6"/>
      <c r="E1097" s="6"/>
      <c r="F1097" s="6"/>
      <c r="G1097" s="6"/>
      <c r="H1097" s="6"/>
      <c r="I1097" s="6"/>
      <c r="J1097" s="6"/>
      <c r="K1097" s="18"/>
      <c r="L1097" s="19" t="str">
        <f aca="false">IF(A1097="","",G1097*K1097)</f>
        <v/>
      </c>
      <c r="M1097" s="20"/>
      <c r="N1097" s="6"/>
      <c r="O1097" s="6"/>
      <c r="P1097" s="5" t="str">
        <f aca="false">IF(A1097="","",H1097/90)</f>
        <v/>
      </c>
      <c r="Q1097" s="5" t="str">
        <f aca="false">IF(A1097="","",IFERROR(INDEX(Parâmetros!$C$6:$C$10,MATCH(F1097,Parâmetros!$B$6:$B$10,0)),""))</f>
        <v/>
      </c>
      <c r="R1097" s="5" t="str">
        <f aca="false">IF(OR(A1097="",P1097="",Q1097=""),"",P1097*Q1097)</f>
        <v/>
      </c>
      <c r="S1097" s="5" t="str">
        <f aca="false">IF(R1097="","",MAX(0,R1097-G1097))</f>
        <v/>
      </c>
      <c r="T1097" s="21" t="str">
        <f aca="false">IF(S1097="","",S1097*K1097)</f>
        <v/>
      </c>
      <c r="U1097" s="5" t="str">
        <f aca="false">IF(A1097="","",IF(J1097&gt;Parâmetros!$C$14,"SIM","NAO"))</f>
        <v/>
      </c>
      <c r="V1097" s="5" t="str">
        <f aca="false">IF(B1097="","",TRIM(LEFT(B1097,IFERROR(FIND(" ",B1097)-1,LEN(B1097)))))</f>
        <v/>
      </c>
      <c r="W1097" s="22"/>
      <c r="X1097" s="5" t="str">
        <f aca="false">IF(A1097="","",IF(W1097&lt;&gt;"",W1097,V1097))</f>
        <v/>
      </c>
      <c r="Y1097" s="5" t="str">
        <f aca="false">IF(A1097="","",IF(COUNTIFS($X$2:$X$2001,X1097,$D$2:$D$2001,"&lt;&gt;"&amp;D1097,$C$2:$C$2001,C1097)&gt;0,"SIM","NAO"))</f>
        <v/>
      </c>
      <c r="Z1097" s="5" t="str">
        <f aca="false">IF(A1097="","",IF(J1097="","",IFERROR(360/J1097,"")))</f>
        <v/>
      </c>
      <c r="AA1097" s="5" t="str">
        <f aca="false">IF(A1097="","",IF(H1097=0,"Parado (sem venda 90d)",IF(Z1097&gt;12,"Alto (&gt;12x/ano)",IF(Z1097&gt;=4,"Medio (4-12x/ano)","Baixo (&lt;4x/ano)"))))</f>
        <v/>
      </c>
    </row>
    <row r="1098" customFormat="false" ht="15" hidden="false" customHeight="true" outlineLevel="0" collapsed="false">
      <c r="A1098" s="6"/>
      <c r="B1098" s="6"/>
      <c r="C1098" s="6"/>
      <c r="D1098" s="6"/>
      <c r="E1098" s="6"/>
      <c r="F1098" s="6"/>
      <c r="G1098" s="6"/>
      <c r="H1098" s="6"/>
      <c r="I1098" s="6"/>
      <c r="J1098" s="6"/>
      <c r="K1098" s="18"/>
      <c r="L1098" s="19" t="str">
        <f aca="false">IF(A1098="","",G1098*K1098)</f>
        <v/>
      </c>
      <c r="M1098" s="20"/>
      <c r="N1098" s="6"/>
      <c r="O1098" s="6"/>
      <c r="P1098" s="5" t="str">
        <f aca="false">IF(A1098="","",H1098/90)</f>
        <v/>
      </c>
      <c r="Q1098" s="5" t="str">
        <f aca="false">IF(A1098="","",IFERROR(INDEX(Parâmetros!$C$6:$C$10,MATCH(F1098,Parâmetros!$B$6:$B$10,0)),""))</f>
        <v/>
      </c>
      <c r="R1098" s="5" t="str">
        <f aca="false">IF(OR(A1098="",P1098="",Q1098=""),"",P1098*Q1098)</f>
        <v/>
      </c>
      <c r="S1098" s="5" t="str">
        <f aca="false">IF(R1098="","",MAX(0,R1098-G1098))</f>
        <v/>
      </c>
      <c r="T1098" s="21" t="str">
        <f aca="false">IF(S1098="","",S1098*K1098)</f>
        <v/>
      </c>
      <c r="U1098" s="5" t="str">
        <f aca="false">IF(A1098="","",IF(J1098&gt;Parâmetros!$C$14,"SIM","NAO"))</f>
        <v/>
      </c>
      <c r="V1098" s="5" t="str">
        <f aca="false">IF(B1098="","",TRIM(LEFT(B1098,IFERROR(FIND(" ",B1098)-1,LEN(B1098)))))</f>
        <v/>
      </c>
      <c r="W1098" s="22"/>
      <c r="X1098" s="5" t="str">
        <f aca="false">IF(A1098="","",IF(W1098&lt;&gt;"",W1098,V1098))</f>
        <v/>
      </c>
      <c r="Y1098" s="5" t="str">
        <f aca="false">IF(A1098="","",IF(COUNTIFS($X$2:$X$2001,X1098,$D$2:$D$2001,"&lt;&gt;"&amp;D1098,$C$2:$C$2001,C1098)&gt;0,"SIM","NAO"))</f>
        <v/>
      </c>
      <c r="Z1098" s="5" t="str">
        <f aca="false">IF(A1098="","",IF(J1098="","",IFERROR(360/J1098,"")))</f>
        <v/>
      </c>
      <c r="AA1098" s="5" t="str">
        <f aca="false">IF(A1098="","",IF(H1098=0,"Parado (sem venda 90d)",IF(Z1098&gt;12,"Alto (&gt;12x/ano)",IF(Z1098&gt;=4,"Medio (4-12x/ano)","Baixo (&lt;4x/ano)"))))</f>
        <v/>
      </c>
    </row>
    <row r="1099" customFormat="false" ht="15" hidden="false" customHeight="true" outlineLevel="0" collapsed="false">
      <c r="A1099" s="6"/>
      <c r="B1099" s="6"/>
      <c r="C1099" s="6"/>
      <c r="D1099" s="6"/>
      <c r="E1099" s="6"/>
      <c r="F1099" s="6"/>
      <c r="G1099" s="6"/>
      <c r="H1099" s="6"/>
      <c r="I1099" s="6"/>
      <c r="J1099" s="6"/>
      <c r="K1099" s="18"/>
      <c r="L1099" s="19" t="str">
        <f aca="false">IF(A1099="","",G1099*K1099)</f>
        <v/>
      </c>
      <c r="M1099" s="20"/>
      <c r="N1099" s="6"/>
      <c r="O1099" s="6"/>
      <c r="P1099" s="5" t="str">
        <f aca="false">IF(A1099="","",H1099/90)</f>
        <v/>
      </c>
      <c r="Q1099" s="5" t="str">
        <f aca="false">IF(A1099="","",IFERROR(INDEX(Parâmetros!$C$6:$C$10,MATCH(F1099,Parâmetros!$B$6:$B$10,0)),""))</f>
        <v/>
      </c>
      <c r="R1099" s="5" t="str">
        <f aca="false">IF(OR(A1099="",P1099="",Q1099=""),"",P1099*Q1099)</f>
        <v/>
      </c>
      <c r="S1099" s="5" t="str">
        <f aca="false">IF(R1099="","",MAX(0,R1099-G1099))</f>
        <v/>
      </c>
      <c r="T1099" s="21" t="str">
        <f aca="false">IF(S1099="","",S1099*K1099)</f>
        <v/>
      </c>
      <c r="U1099" s="5" t="str">
        <f aca="false">IF(A1099="","",IF(J1099&gt;Parâmetros!$C$14,"SIM","NAO"))</f>
        <v/>
      </c>
      <c r="V1099" s="5" t="str">
        <f aca="false">IF(B1099="","",TRIM(LEFT(B1099,IFERROR(FIND(" ",B1099)-1,LEN(B1099)))))</f>
        <v/>
      </c>
      <c r="W1099" s="22"/>
      <c r="X1099" s="5" t="str">
        <f aca="false">IF(A1099="","",IF(W1099&lt;&gt;"",W1099,V1099))</f>
        <v/>
      </c>
      <c r="Y1099" s="5" t="str">
        <f aca="false">IF(A1099="","",IF(COUNTIFS($X$2:$X$2001,X1099,$D$2:$D$2001,"&lt;&gt;"&amp;D1099,$C$2:$C$2001,C1099)&gt;0,"SIM","NAO"))</f>
        <v/>
      </c>
      <c r="Z1099" s="5" t="str">
        <f aca="false">IF(A1099="","",IF(J1099="","",IFERROR(360/J1099,"")))</f>
        <v/>
      </c>
      <c r="AA1099" s="5" t="str">
        <f aca="false">IF(A1099="","",IF(H1099=0,"Parado (sem venda 90d)",IF(Z1099&gt;12,"Alto (&gt;12x/ano)",IF(Z1099&gt;=4,"Medio (4-12x/ano)","Baixo (&lt;4x/ano)"))))</f>
        <v/>
      </c>
    </row>
    <row r="1100" customFormat="false" ht="15" hidden="false" customHeight="true" outlineLevel="0" collapsed="false">
      <c r="A1100" s="6"/>
      <c r="B1100" s="6"/>
      <c r="C1100" s="6"/>
      <c r="D1100" s="6"/>
      <c r="E1100" s="6"/>
      <c r="F1100" s="6"/>
      <c r="G1100" s="6"/>
      <c r="H1100" s="6"/>
      <c r="I1100" s="6"/>
      <c r="J1100" s="6"/>
      <c r="K1100" s="18"/>
      <c r="L1100" s="19" t="str">
        <f aca="false">IF(A1100="","",G1100*K1100)</f>
        <v/>
      </c>
      <c r="M1100" s="20"/>
      <c r="N1100" s="6"/>
      <c r="O1100" s="6"/>
      <c r="P1100" s="5" t="str">
        <f aca="false">IF(A1100="","",H1100/90)</f>
        <v/>
      </c>
      <c r="Q1100" s="5" t="str">
        <f aca="false">IF(A1100="","",IFERROR(INDEX(Parâmetros!$C$6:$C$10,MATCH(F1100,Parâmetros!$B$6:$B$10,0)),""))</f>
        <v/>
      </c>
      <c r="R1100" s="5" t="str">
        <f aca="false">IF(OR(A1100="",P1100="",Q1100=""),"",P1100*Q1100)</f>
        <v/>
      </c>
      <c r="S1100" s="5" t="str">
        <f aca="false">IF(R1100="","",MAX(0,R1100-G1100))</f>
        <v/>
      </c>
      <c r="T1100" s="21" t="str">
        <f aca="false">IF(S1100="","",S1100*K1100)</f>
        <v/>
      </c>
      <c r="U1100" s="5" t="str">
        <f aca="false">IF(A1100="","",IF(J1100&gt;Parâmetros!$C$14,"SIM","NAO"))</f>
        <v/>
      </c>
      <c r="V1100" s="5" t="str">
        <f aca="false">IF(B1100="","",TRIM(LEFT(B1100,IFERROR(FIND(" ",B1100)-1,LEN(B1100)))))</f>
        <v/>
      </c>
      <c r="W1100" s="22"/>
      <c r="X1100" s="5" t="str">
        <f aca="false">IF(A1100="","",IF(W1100&lt;&gt;"",W1100,V1100))</f>
        <v/>
      </c>
      <c r="Y1100" s="5" t="str">
        <f aca="false">IF(A1100="","",IF(COUNTIFS($X$2:$X$2001,X1100,$D$2:$D$2001,"&lt;&gt;"&amp;D1100,$C$2:$C$2001,C1100)&gt;0,"SIM","NAO"))</f>
        <v/>
      </c>
      <c r="Z1100" s="5" t="str">
        <f aca="false">IF(A1100="","",IF(J1100="","",IFERROR(360/J1100,"")))</f>
        <v/>
      </c>
      <c r="AA1100" s="5" t="str">
        <f aca="false">IF(A1100="","",IF(H1100=0,"Parado (sem venda 90d)",IF(Z1100&gt;12,"Alto (&gt;12x/ano)",IF(Z1100&gt;=4,"Medio (4-12x/ano)","Baixo (&lt;4x/ano)"))))</f>
        <v/>
      </c>
    </row>
    <row r="1101" customFormat="false" ht="15" hidden="false" customHeight="true" outlineLevel="0" collapsed="false">
      <c r="A1101" s="6"/>
      <c r="B1101" s="6"/>
      <c r="C1101" s="6"/>
      <c r="D1101" s="6"/>
      <c r="E1101" s="6"/>
      <c r="F1101" s="6"/>
      <c r="G1101" s="6"/>
      <c r="H1101" s="6"/>
      <c r="I1101" s="6"/>
      <c r="J1101" s="6"/>
      <c r="K1101" s="18"/>
      <c r="L1101" s="19" t="str">
        <f aca="false">IF(A1101="","",G1101*K1101)</f>
        <v/>
      </c>
      <c r="M1101" s="20"/>
      <c r="N1101" s="6"/>
      <c r="O1101" s="6"/>
      <c r="P1101" s="5" t="str">
        <f aca="false">IF(A1101="","",H1101/90)</f>
        <v/>
      </c>
      <c r="Q1101" s="5" t="str">
        <f aca="false">IF(A1101="","",IFERROR(INDEX(Parâmetros!$C$6:$C$10,MATCH(F1101,Parâmetros!$B$6:$B$10,0)),""))</f>
        <v/>
      </c>
      <c r="R1101" s="5" t="str">
        <f aca="false">IF(OR(A1101="",P1101="",Q1101=""),"",P1101*Q1101)</f>
        <v/>
      </c>
      <c r="S1101" s="5" t="str">
        <f aca="false">IF(R1101="","",MAX(0,R1101-G1101))</f>
        <v/>
      </c>
      <c r="T1101" s="21" t="str">
        <f aca="false">IF(S1101="","",S1101*K1101)</f>
        <v/>
      </c>
      <c r="U1101" s="5" t="str">
        <f aca="false">IF(A1101="","",IF(J1101&gt;Parâmetros!$C$14,"SIM","NAO"))</f>
        <v/>
      </c>
      <c r="V1101" s="5" t="str">
        <f aca="false">IF(B1101="","",TRIM(LEFT(B1101,IFERROR(FIND(" ",B1101)-1,LEN(B1101)))))</f>
        <v/>
      </c>
      <c r="W1101" s="22"/>
      <c r="X1101" s="5" t="str">
        <f aca="false">IF(A1101="","",IF(W1101&lt;&gt;"",W1101,V1101))</f>
        <v/>
      </c>
      <c r="Y1101" s="5" t="str">
        <f aca="false">IF(A1101="","",IF(COUNTIFS($X$2:$X$2001,X1101,$D$2:$D$2001,"&lt;&gt;"&amp;D1101,$C$2:$C$2001,C1101)&gt;0,"SIM","NAO"))</f>
        <v/>
      </c>
      <c r="Z1101" s="5" t="str">
        <f aca="false">IF(A1101="","",IF(J1101="","",IFERROR(360/J1101,"")))</f>
        <v/>
      </c>
      <c r="AA1101" s="5" t="str">
        <f aca="false">IF(A1101="","",IF(H1101=0,"Parado (sem venda 90d)",IF(Z1101&gt;12,"Alto (&gt;12x/ano)",IF(Z1101&gt;=4,"Medio (4-12x/ano)","Baixo (&lt;4x/ano)"))))</f>
        <v/>
      </c>
    </row>
    <row r="1102" customFormat="false" ht="15" hidden="false" customHeight="true" outlineLevel="0" collapsed="false">
      <c r="A1102" s="6"/>
      <c r="B1102" s="6"/>
      <c r="C1102" s="6"/>
      <c r="D1102" s="6"/>
      <c r="E1102" s="6"/>
      <c r="F1102" s="6"/>
      <c r="G1102" s="6"/>
      <c r="H1102" s="6"/>
      <c r="I1102" s="6"/>
      <c r="J1102" s="6"/>
      <c r="K1102" s="18"/>
      <c r="L1102" s="19" t="str">
        <f aca="false">IF(A1102="","",G1102*K1102)</f>
        <v/>
      </c>
      <c r="M1102" s="20"/>
      <c r="N1102" s="6"/>
      <c r="O1102" s="6"/>
      <c r="P1102" s="5" t="str">
        <f aca="false">IF(A1102="","",H1102/90)</f>
        <v/>
      </c>
      <c r="Q1102" s="5" t="str">
        <f aca="false">IF(A1102="","",IFERROR(INDEX(Parâmetros!$C$6:$C$10,MATCH(F1102,Parâmetros!$B$6:$B$10,0)),""))</f>
        <v/>
      </c>
      <c r="R1102" s="5" t="str">
        <f aca="false">IF(OR(A1102="",P1102="",Q1102=""),"",P1102*Q1102)</f>
        <v/>
      </c>
      <c r="S1102" s="5" t="str">
        <f aca="false">IF(R1102="","",MAX(0,R1102-G1102))</f>
        <v/>
      </c>
      <c r="T1102" s="21" t="str">
        <f aca="false">IF(S1102="","",S1102*K1102)</f>
        <v/>
      </c>
      <c r="U1102" s="5" t="str">
        <f aca="false">IF(A1102="","",IF(J1102&gt;Parâmetros!$C$14,"SIM","NAO"))</f>
        <v/>
      </c>
      <c r="V1102" s="5" t="str">
        <f aca="false">IF(B1102="","",TRIM(LEFT(B1102,IFERROR(FIND(" ",B1102)-1,LEN(B1102)))))</f>
        <v/>
      </c>
      <c r="W1102" s="22"/>
      <c r="X1102" s="5" t="str">
        <f aca="false">IF(A1102="","",IF(W1102&lt;&gt;"",W1102,V1102))</f>
        <v/>
      </c>
      <c r="Y1102" s="5" t="str">
        <f aca="false">IF(A1102="","",IF(COUNTIFS($X$2:$X$2001,X1102,$D$2:$D$2001,"&lt;&gt;"&amp;D1102,$C$2:$C$2001,C1102)&gt;0,"SIM","NAO"))</f>
        <v/>
      </c>
      <c r="Z1102" s="5" t="str">
        <f aca="false">IF(A1102="","",IF(J1102="","",IFERROR(360/J1102,"")))</f>
        <v/>
      </c>
      <c r="AA1102" s="5" t="str">
        <f aca="false">IF(A1102="","",IF(H1102=0,"Parado (sem venda 90d)",IF(Z1102&gt;12,"Alto (&gt;12x/ano)",IF(Z1102&gt;=4,"Medio (4-12x/ano)","Baixo (&lt;4x/ano)"))))</f>
        <v/>
      </c>
    </row>
    <row r="1103" customFormat="false" ht="15" hidden="false" customHeight="true" outlineLevel="0" collapsed="false">
      <c r="A1103" s="6"/>
      <c r="B1103" s="6"/>
      <c r="C1103" s="6"/>
      <c r="D1103" s="6"/>
      <c r="E1103" s="6"/>
      <c r="F1103" s="6"/>
      <c r="G1103" s="6"/>
      <c r="H1103" s="6"/>
      <c r="I1103" s="6"/>
      <c r="J1103" s="6"/>
      <c r="K1103" s="18"/>
      <c r="L1103" s="19" t="str">
        <f aca="false">IF(A1103="","",G1103*K1103)</f>
        <v/>
      </c>
      <c r="M1103" s="20"/>
      <c r="N1103" s="6"/>
      <c r="O1103" s="6"/>
      <c r="P1103" s="5" t="str">
        <f aca="false">IF(A1103="","",H1103/90)</f>
        <v/>
      </c>
      <c r="Q1103" s="5" t="str">
        <f aca="false">IF(A1103="","",IFERROR(INDEX(Parâmetros!$C$6:$C$10,MATCH(F1103,Parâmetros!$B$6:$B$10,0)),""))</f>
        <v/>
      </c>
      <c r="R1103" s="5" t="str">
        <f aca="false">IF(OR(A1103="",P1103="",Q1103=""),"",P1103*Q1103)</f>
        <v/>
      </c>
      <c r="S1103" s="5" t="str">
        <f aca="false">IF(R1103="","",MAX(0,R1103-G1103))</f>
        <v/>
      </c>
      <c r="T1103" s="21" t="str">
        <f aca="false">IF(S1103="","",S1103*K1103)</f>
        <v/>
      </c>
      <c r="U1103" s="5" t="str">
        <f aca="false">IF(A1103="","",IF(J1103&gt;Parâmetros!$C$14,"SIM","NAO"))</f>
        <v/>
      </c>
      <c r="V1103" s="5" t="str">
        <f aca="false">IF(B1103="","",TRIM(LEFT(B1103,IFERROR(FIND(" ",B1103)-1,LEN(B1103)))))</f>
        <v/>
      </c>
      <c r="W1103" s="22"/>
      <c r="X1103" s="5" t="str">
        <f aca="false">IF(A1103="","",IF(W1103&lt;&gt;"",W1103,V1103))</f>
        <v/>
      </c>
      <c r="Y1103" s="5" t="str">
        <f aca="false">IF(A1103="","",IF(COUNTIFS($X$2:$X$2001,X1103,$D$2:$D$2001,"&lt;&gt;"&amp;D1103,$C$2:$C$2001,C1103)&gt;0,"SIM","NAO"))</f>
        <v/>
      </c>
      <c r="Z1103" s="5" t="str">
        <f aca="false">IF(A1103="","",IF(J1103="","",IFERROR(360/J1103,"")))</f>
        <v/>
      </c>
      <c r="AA1103" s="5" t="str">
        <f aca="false">IF(A1103="","",IF(H1103=0,"Parado (sem venda 90d)",IF(Z1103&gt;12,"Alto (&gt;12x/ano)",IF(Z1103&gt;=4,"Medio (4-12x/ano)","Baixo (&lt;4x/ano)"))))</f>
        <v/>
      </c>
    </row>
    <row r="1104" customFormat="false" ht="15" hidden="false" customHeight="true" outlineLevel="0" collapsed="false">
      <c r="A1104" s="6"/>
      <c r="B1104" s="6"/>
      <c r="C1104" s="6"/>
      <c r="D1104" s="6"/>
      <c r="E1104" s="6"/>
      <c r="F1104" s="6"/>
      <c r="G1104" s="6"/>
      <c r="H1104" s="6"/>
      <c r="I1104" s="6"/>
      <c r="J1104" s="6"/>
      <c r="K1104" s="18"/>
      <c r="L1104" s="19" t="str">
        <f aca="false">IF(A1104="","",G1104*K1104)</f>
        <v/>
      </c>
      <c r="M1104" s="20"/>
      <c r="N1104" s="6"/>
      <c r="O1104" s="6"/>
      <c r="P1104" s="5" t="str">
        <f aca="false">IF(A1104="","",H1104/90)</f>
        <v/>
      </c>
      <c r="Q1104" s="5" t="str">
        <f aca="false">IF(A1104="","",IFERROR(INDEX(Parâmetros!$C$6:$C$10,MATCH(F1104,Parâmetros!$B$6:$B$10,0)),""))</f>
        <v/>
      </c>
      <c r="R1104" s="5" t="str">
        <f aca="false">IF(OR(A1104="",P1104="",Q1104=""),"",P1104*Q1104)</f>
        <v/>
      </c>
      <c r="S1104" s="5" t="str">
        <f aca="false">IF(R1104="","",MAX(0,R1104-G1104))</f>
        <v/>
      </c>
      <c r="T1104" s="21" t="str">
        <f aca="false">IF(S1104="","",S1104*K1104)</f>
        <v/>
      </c>
      <c r="U1104" s="5" t="str">
        <f aca="false">IF(A1104="","",IF(J1104&gt;Parâmetros!$C$14,"SIM","NAO"))</f>
        <v/>
      </c>
      <c r="V1104" s="5" t="str">
        <f aca="false">IF(B1104="","",TRIM(LEFT(B1104,IFERROR(FIND(" ",B1104)-1,LEN(B1104)))))</f>
        <v/>
      </c>
      <c r="W1104" s="22"/>
      <c r="X1104" s="5" t="str">
        <f aca="false">IF(A1104="","",IF(W1104&lt;&gt;"",W1104,V1104))</f>
        <v/>
      </c>
      <c r="Y1104" s="5" t="str">
        <f aca="false">IF(A1104="","",IF(COUNTIFS($X$2:$X$2001,X1104,$D$2:$D$2001,"&lt;&gt;"&amp;D1104,$C$2:$C$2001,C1104)&gt;0,"SIM","NAO"))</f>
        <v/>
      </c>
      <c r="Z1104" s="5" t="str">
        <f aca="false">IF(A1104="","",IF(J1104="","",IFERROR(360/J1104,"")))</f>
        <v/>
      </c>
      <c r="AA1104" s="5" t="str">
        <f aca="false">IF(A1104="","",IF(H1104=0,"Parado (sem venda 90d)",IF(Z1104&gt;12,"Alto (&gt;12x/ano)",IF(Z1104&gt;=4,"Medio (4-12x/ano)","Baixo (&lt;4x/ano)"))))</f>
        <v/>
      </c>
    </row>
    <row r="1105" customFormat="false" ht="15" hidden="false" customHeight="true" outlineLevel="0" collapsed="false">
      <c r="A1105" s="6"/>
      <c r="B1105" s="6"/>
      <c r="C1105" s="6"/>
      <c r="D1105" s="6"/>
      <c r="E1105" s="6"/>
      <c r="F1105" s="6"/>
      <c r="G1105" s="6"/>
      <c r="H1105" s="6"/>
      <c r="I1105" s="6"/>
      <c r="J1105" s="6"/>
      <c r="K1105" s="18"/>
      <c r="L1105" s="19" t="str">
        <f aca="false">IF(A1105="","",G1105*K1105)</f>
        <v/>
      </c>
      <c r="M1105" s="20"/>
      <c r="N1105" s="6"/>
      <c r="O1105" s="6"/>
      <c r="P1105" s="5" t="str">
        <f aca="false">IF(A1105="","",H1105/90)</f>
        <v/>
      </c>
      <c r="Q1105" s="5" t="str">
        <f aca="false">IF(A1105="","",IFERROR(INDEX(Parâmetros!$C$6:$C$10,MATCH(F1105,Parâmetros!$B$6:$B$10,0)),""))</f>
        <v/>
      </c>
      <c r="R1105" s="5" t="str">
        <f aca="false">IF(OR(A1105="",P1105="",Q1105=""),"",P1105*Q1105)</f>
        <v/>
      </c>
      <c r="S1105" s="5" t="str">
        <f aca="false">IF(R1105="","",MAX(0,R1105-G1105))</f>
        <v/>
      </c>
      <c r="T1105" s="21" t="str">
        <f aca="false">IF(S1105="","",S1105*K1105)</f>
        <v/>
      </c>
      <c r="U1105" s="5" t="str">
        <f aca="false">IF(A1105="","",IF(J1105&gt;Parâmetros!$C$14,"SIM","NAO"))</f>
        <v/>
      </c>
      <c r="V1105" s="5" t="str">
        <f aca="false">IF(B1105="","",TRIM(LEFT(B1105,IFERROR(FIND(" ",B1105)-1,LEN(B1105)))))</f>
        <v/>
      </c>
      <c r="W1105" s="22"/>
      <c r="X1105" s="5" t="str">
        <f aca="false">IF(A1105="","",IF(W1105&lt;&gt;"",W1105,V1105))</f>
        <v/>
      </c>
      <c r="Y1105" s="5" t="str">
        <f aca="false">IF(A1105="","",IF(COUNTIFS($X$2:$X$2001,X1105,$D$2:$D$2001,"&lt;&gt;"&amp;D1105,$C$2:$C$2001,C1105)&gt;0,"SIM","NAO"))</f>
        <v/>
      </c>
      <c r="Z1105" s="5" t="str">
        <f aca="false">IF(A1105="","",IF(J1105="","",IFERROR(360/J1105,"")))</f>
        <v/>
      </c>
      <c r="AA1105" s="5" t="str">
        <f aca="false">IF(A1105="","",IF(H1105=0,"Parado (sem venda 90d)",IF(Z1105&gt;12,"Alto (&gt;12x/ano)",IF(Z1105&gt;=4,"Medio (4-12x/ano)","Baixo (&lt;4x/ano)"))))</f>
        <v/>
      </c>
    </row>
    <row r="1106" customFormat="false" ht="15" hidden="false" customHeight="true" outlineLevel="0" collapsed="false">
      <c r="A1106" s="6"/>
      <c r="B1106" s="6"/>
      <c r="C1106" s="6"/>
      <c r="D1106" s="6"/>
      <c r="E1106" s="6"/>
      <c r="F1106" s="6"/>
      <c r="G1106" s="6"/>
      <c r="H1106" s="6"/>
      <c r="I1106" s="6"/>
      <c r="J1106" s="6"/>
      <c r="K1106" s="18"/>
      <c r="L1106" s="19" t="str">
        <f aca="false">IF(A1106="","",G1106*K1106)</f>
        <v/>
      </c>
      <c r="M1106" s="20"/>
      <c r="N1106" s="6"/>
      <c r="O1106" s="6"/>
      <c r="P1106" s="5" t="str">
        <f aca="false">IF(A1106="","",H1106/90)</f>
        <v/>
      </c>
      <c r="Q1106" s="5" t="str">
        <f aca="false">IF(A1106="","",IFERROR(INDEX(Parâmetros!$C$6:$C$10,MATCH(F1106,Parâmetros!$B$6:$B$10,0)),""))</f>
        <v/>
      </c>
      <c r="R1106" s="5" t="str">
        <f aca="false">IF(OR(A1106="",P1106="",Q1106=""),"",P1106*Q1106)</f>
        <v/>
      </c>
      <c r="S1106" s="5" t="str">
        <f aca="false">IF(R1106="","",MAX(0,R1106-G1106))</f>
        <v/>
      </c>
      <c r="T1106" s="21" t="str">
        <f aca="false">IF(S1106="","",S1106*K1106)</f>
        <v/>
      </c>
      <c r="U1106" s="5" t="str">
        <f aca="false">IF(A1106="","",IF(J1106&gt;Parâmetros!$C$14,"SIM","NAO"))</f>
        <v/>
      </c>
      <c r="V1106" s="5" t="str">
        <f aca="false">IF(B1106="","",TRIM(LEFT(B1106,IFERROR(FIND(" ",B1106)-1,LEN(B1106)))))</f>
        <v/>
      </c>
      <c r="W1106" s="22"/>
      <c r="X1106" s="5" t="str">
        <f aca="false">IF(A1106="","",IF(W1106&lt;&gt;"",W1106,V1106))</f>
        <v/>
      </c>
      <c r="Y1106" s="5" t="str">
        <f aca="false">IF(A1106="","",IF(COUNTIFS($X$2:$X$2001,X1106,$D$2:$D$2001,"&lt;&gt;"&amp;D1106,$C$2:$C$2001,C1106)&gt;0,"SIM","NAO"))</f>
        <v/>
      </c>
      <c r="Z1106" s="5" t="str">
        <f aca="false">IF(A1106="","",IF(J1106="","",IFERROR(360/J1106,"")))</f>
        <v/>
      </c>
      <c r="AA1106" s="5" t="str">
        <f aca="false">IF(A1106="","",IF(H1106=0,"Parado (sem venda 90d)",IF(Z1106&gt;12,"Alto (&gt;12x/ano)",IF(Z1106&gt;=4,"Medio (4-12x/ano)","Baixo (&lt;4x/ano)"))))</f>
        <v/>
      </c>
    </row>
    <row r="1107" customFormat="false" ht="15" hidden="false" customHeight="true" outlineLevel="0" collapsed="false">
      <c r="A1107" s="6"/>
      <c r="B1107" s="6"/>
      <c r="C1107" s="6"/>
      <c r="D1107" s="6"/>
      <c r="E1107" s="6"/>
      <c r="F1107" s="6"/>
      <c r="G1107" s="6"/>
      <c r="H1107" s="6"/>
      <c r="I1107" s="6"/>
      <c r="J1107" s="6"/>
      <c r="K1107" s="18"/>
      <c r="L1107" s="19" t="str">
        <f aca="false">IF(A1107="","",G1107*K1107)</f>
        <v/>
      </c>
      <c r="M1107" s="20"/>
      <c r="N1107" s="6"/>
      <c r="O1107" s="6"/>
      <c r="P1107" s="5" t="str">
        <f aca="false">IF(A1107="","",H1107/90)</f>
        <v/>
      </c>
      <c r="Q1107" s="5" t="str">
        <f aca="false">IF(A1107="","",IFERROR(INDEX(Parâmetros!$C$6:$C$10,MATCH(F1107,Parâmetros!$B$6:$B$10,0)),""))</f>
        <v/>
      </c>
      <c r="R1107" s="5" t="str">
        <f aca="false">IF(OR(A1107="",P1107="",Q1107=""),"",P1107*Q1107)</f>
        <v/>
      </c>
      <c r="S1107" s="5" t="str">
        <f aca="false">IF(R1107="","",MAX(0,R1107-G1107))</f>
        <v/>
      </c>
      <c r="T1107" s="21" t="str">
        <f aca="false">IF(S1107="","",S1107*K1107)</f>
        <v/>
      </c>
      <c r="U1107" s="5" t="str">
        <f aca="false">IF(A1107="","",IF(J1107&gt;Parâmetros!$C$14,"SIM","NAO"))</f>
        <v/>
      </c>
      <c r="V1107" s="5" t="str">
        <f aca="false">IF(B1107="","",TRIM(LEFT(B1107,IFERROR(FIND(" ",B1107)-1,LEN(B1107)))))</f>
        <v/>
      </c>
      <c r="W1107" s="22"/>
      <c r="X1107" s="5" t="str">
        <f aca="false">IF(A1107="","",IF(W1107&lt;&gt;"",W1107,V1107))</f>
        <v/>
      </c>
      <c r="Y1107" s="5" t="str">
        <f aca="false">IF(A1107="","",IF(COUNTIFS($X$2:$X$2001,X1107,$D$2:$D$2001,"&lt;&gt;"&amp;D1107,$C$2:$C$2001,C1107)&gt;0,"SIM","NAO"))</f>
        <v/>
      </c>
      <c r="Z1107" s="5" t="str">
        <f aca="false">IF(A1107="","",IF(J1107="","",IFERROR(360/J1107,"")))</f>
        <v/>
      </c>
      <c r="AA1107" s="5" t="str">
        <f aca="false">IF(A1107="","",IF(H1107=0,"Parado (sem venda 90d)",IF(Z1107&gt;12,"Alto (&gt;12x/ano)",IF(Z1107&gt;=4,"Medio (4-12x/ano)","Baixo (&lt;4x/ano)"))))</f>
        <v/>
      </c>
    </row>
    <row r="1108" customFormat="false" ht="15" hidden="false" customHeight="true" outlineLevel="0" collapsed="false">
      <c r="A1108" s="6"/>
      <c r="B1108" s="6"/>
      <c r="C1108" s="6"/>
      <c r="D1108" s="6"/>
      <c r="E1108" s="6"/>
      <c r="F1108" s="6"/>
      <c r="G1108" s="6"/>
      <c r="H1108" s="6"/>
      <c r="I1108" s="6"/>
      <c r="J1108" s="6"/>
      <c r="K1108" s="18"/>
      <c r="L1108" s="19" t="str">
        <f aca="false">IF(A1108="","",G1108*K1108)</f>
        <v/>
      </c>
      <c r="M1108" s="20"/>
      <c r="N1108" s="6"/>
      <c r="O1108" s="6"/>
      <c r="P1108" s="5" t="str">
        <f aca="false">IF(A1108="","",H1108/90)</f>
        <v/>
      </c>
      <c r="Q1108" s="5" t="str">
        <f aca="false">IF(A1108="","",IFERROR(INDEX(Parâmetros!$C$6:$C$10,MATCH(F1108,Parâmetros!$B$6:$B$10,0)),""))</f>
        <v/>
      </c>
      <c r="R1108" s="5" t="str">
        <f aca="false">IF(OR(A1108="",P1108="",Q1108=""),"",P1108*Q1108)</f>
        <v/>
      </c>
      <c r="S1108" s="5" t="str">
        <f aca="false">IF(R1108="","",MAX(0,R1108-G1108))</f>
        <v/>
      </c>
      <c r="T1108" s="21" t="str">
        <f aca="false">IF(S1108="","",S1108*K1108)</f>
        <v/>
      </c>
      <c r="U1108" s="5" t="str">
        <f aca="false">IF(A1108="","",IF(J1108&gt;Parâmetros!$C$14,"SIM","NAO"))</f>
        <v/>
      </c>
      <c r="V1108" s="5" t="str">
        <f aca="false">IF(B1108="","",TRIM(LEFT(B1108,IFERROR(FIND(" ",B1108)-1,LEN(B1108)))))</f>
        <v/>
      </c>
      <c r="W1108" s="22"/>
      <c r="X1108" s="5" t="str">
        <f aca="false">IF(A1108="","",IF(W1108&lt;&gt;"",W1108,V1108))</f>
        <v/>
      </c>
      <c r="Y1108" s="5" t="str">
        <f aca="false">IF(A1108="","",IF(COUNTIFS($X$2:$X$2001,X1108,$D$2:$D$2001,"&lt;&gt;"&amp;D1108,$C$2:$C$2001,C1108)&gt;0,"SIM","NAO"))</f>
        <v/>
      </c>
      <c r="Z1108" s="5" t="str">
        <f aca="false">IF(A1108="","",IF(J1108="","",IFERROR(360/J1108,"")))</f>
        <v/>
      </c>
      <c r="AA1108" s="5" t="str">
        <f aca="false">IF(A1108="","",IF(H1108=0,"Parado (sem venda 90d)",IF(Z1108&gt;12,"Alto (&gt;12x/ano)",IF(Z1108&gt;=4,"Medio (4-12x/ano)","Baixo (&lt;4x/ano)"))))</f>
        <v/>
      </c>
    </row>
    <row r="1109" customFormat="false" ht="15" hidden="false" customHeight="true" outlineLevel="0" collapsed="false">
      <c r="A1109" s="6"/>
      <c r="B1109" s="6"/>
      <c r="C1109" s="6"/>
      <c r="D1109" s="6"/>
      <c r="E1109" s="6"/>
      <c r="F1109" s="6"/>
      <c r="G1109" s="6"/>
      <c r="H1109" s="6"/>
      <c r="I1109" s="6"/>
      <c r="J1109" s="6"/>
      <c r="K1109" s="18"/>
      <c r="L1109" s="19" t="str">
        <f aca="false">IF(A1109="","",G1109*K1109)</f>
        <v/>
      </c>
      <c r="M1109" s="20"/>
      <c r="N1109" s="6"/>
      <c r="O1109" s="6"/>
      <c r="P1109" s="5" t="str">
        <f aca="false">IF(A1109="","",H1109/90)</f>
        <v/>
      </c>
      <c r="Q1109" s="5" t="str">
        <f aca="false">IF(A1109="","",IFERROR(INDEX(Parâmetros!$C$6:$C$10,MATCH(F1109,Parâmetros!$B$6:$B$10,0)),""))</f>
        <v/>
      </c>
      <c r="R1109" s="5" t="str">
        <f aca="false">IF(OR(A1109="",P1109="",Q1109=""),"",P1109*Q1109)</f>
        <v/>
      </c>
      <c r="S1109" s="5" t="str">
        <f aca="false">IF(R1109="","",MAX(0,R1109-G1109))</f>
        <v/>
      </c>
      <c r="T1109" s="21" t="str">
        <f aca="false">IF(S1109="","",S1109*K1109)</f>
        <v/>
      </c>
      <c r="U1109" s="5" t="str">
        <f aca="false">IF(A1109="","",IF(J1109&gt;Parâmetros!$C$14,"SIM","NAO"))</f>
        <v/>
      </c>
      <c r="V1109" s="5" t="str">
        <f aca="false">IF(B1109="","",TRIM(LEFT(B1109,IFERROR(FIND(" ",B1109)-1,LEN(B1109)))))</f>
        <v/>
      </c>
      <c r="W1109" s="22"/>
      <c r="X1109" s="5" t="str">
        <f aca="false">IF(A1109="","",IF(W1109&lt;&gt;"",W1109,V1109))</f>
        <v/>
      </c>
      <c r="Y1109" s="5" t="str">
        <f aca="false">IF(A1109="","",IF(COUNTIFS($X$2:$X$2001,X1109,$D$2:$D$2001,"&lt;&gt;"&amp;D1109,$C$2:$C$2001,C1109)&gt;0,"SIM","NAO"))</f>
        <v/>
      </c>
      <c r="Z1109" s="5" t="str">
        <f aca="false">IF(A1109="","",IF(J1109="","",IFERROR(360/J1109,"")))</f>
        <v/>
      </c>
      <c r="AA1109" s="5" t="str">
        <f aca="false">IF(A1109="","",IF(H1109=0,"Parado (sem venda 90d)",IF(Z1109&gt;12,"Alto (&gt;12x/ano)",IF(Z1109&gt;=4,"Medio (4-12x/ano)","Baixo (&lt;4x/ano)"))))</f>
        <v/>
      </c>
    </row>
    <row r="1110" customFormat="false" ht="15" hidden="false" customHeight="true" outlineLevel="0" collapsed="false">
      <c r="A1110" s="6"/>
      <c r="B1110" s="6"/>
      <c r="C1110" s="6"/>
      <c r="D1110" s="6"/>
      <c r="E1110" s="6"/>
      <c r="F1110" s="6"/>
      <c r="G1110" s="6"/>
      <c r="H1110" s="6"/>
      <c r="I1110" s="6"/>
      <c r="J1110" s="6"/>
      <c r="K1110" s="18"/>
      <c r="L1110" s="19" t="str">
        <f aca="false">IF(A1110="","",G1110*K1110)</f>
        <v/>
      </c>
      <c r="M1110" s="20"/>
      <c r="N1110" s="6"/>
      <c r="O1110" s="6"/>
      <c r="P1110" s="5" t="str">
        <f aca="false">IF(A1110="","",H1110/90)</f>
        <v/>
      </c>
      <c r="Q1110" s="5" t="str">
        <f aca="false">IF(A1110="","",IFERROR(INDEX(Parâmetros!$C$6:$C$10,MATCH(F1110,Parâmetros!$B$6:$B$10,0)),""))</f>
        <v/>
      </c>
      <c r="R1110" s="5" t="str">
        <f aca="false">IF(OR(A1110="",P1110="",Q1110=""),"",P1110*Q1110)</f>
        <v/>
      </c>
      <c r="S1110" s="5" t="str">
        <f aca="false">IF(R1110="","",MAX(0,R1110-G1110))</f>
        <v/>
      </c>
      <c r="T1110" s="21" t="str">
        <f aca="false">IF(S1110="","",S1110*K1110)</f>
        <v/>
      </c>
      <c r="U1110" s="5" t="str">
        <f aca="false">IF(A1110="","",IF(J1110&gt;Parâmetros!$C$14,"SIM","NAO"))</f>
        <v/>
      </c>
      <c r="V1110" s="5" t="str">
        <f aca="false">IF(B1110="","",TRIM(LEFT(B1110,IFERROR(FIND(" ",B1110)-1,LEN(B1110)))))</f>
        <v/>
      </c>
      <c r="W1110" s="22"/>
      <c r="X1110" s="5" t="str">
        <f aca="false">IF(A1110="","",IF(W1110&lt;&gt;"",W1110,V1110))</f>
        <v/>
      </c>
      <c r="Y1110" s="5" t="str">
        <f aca="false">IF(A1110="","",IF(COUNTIFS($X$2:$X$2001,X1110,$D$2:$D$2001,"&lt;&gt;"&amp;D1110,$C$2:$C$2001,C1110)&gt;0,"SIM","NAO"))</f>
        <v/>
      </c>
      <c r="Z1110" s="5" t="str">
        <f aca="false">IF(A1110="","",IF(J1110="","",IFERROR(360/J1110,"")))</f>
        <v/>
      </c>
      <c r="AA1110" s="5" t="str">
        <f aca="false">IF(A1110="","",IF(H1110=0,"Parado (sem venda 90d)",IF(Z1110&gt;12,"Alto (&gt;12x/ano)",IF(Z1110&gt;=4,"Medio (4-12x/ano)","Baixo (&lt;4x/ano)"))))</f>
        <v/>
      </c>
    </row>
    <row r="1111" customFormat="false" ht="15" hidden="false" customHeight="true" outlineLevel="0" collapsed="false">
      <c r="A1111" s="6"/>
      <c r="B1111" s="6"/>
      <c r="C1111" s="6"/>
      <c r="D1111" s="6"/>
      <c r="E1111" s="6"/>
      <c r="F1111" s="6"/>
      <c r="G1111" s="6"/>
      <c r="H1111" s="6"/>
      <c r="I1111" s="6"/>
      <c r="J1111" s="6"/>
      <c r="K1111" s="18"/>
      <c r="L1111" s="19" t="str">
        <f aca="false">IF(A1111="","",G1111*K1111)</f>
        <v/>
      </c>
      <c r="M1111" s="20"/>
      <c r="N1111" s="6"/>
      <c r="O1111" s="6"/>
      <c r="P1111" s="5" t="str">
        <f aca="false">IF(A1111="","",H1111/90)</f>
        <v/>
      </c>
      <c r="Q1111" s="5" t="str">
        <f aca="false">IF(A1111="","",IFERROR(INDEX(Parâmetros!$C$6:$C$10,MATCH(F1111,Parâmetros!$B$6:$B$10,0)),""))</f>
        <v/>
      </c>
      <c r="R1111" s="5" t="str">
        <f aca="false">IF(OR(A1111="",P1111="",Q1111=""),"",P1111*Q1111)</f>
        <v/>
      </c>
      <c r="S1111" s="5" t="str">
        <f aca="false">IF(R1111="","",MAX(0,R1111-G1111))</f>
        <v/>
      </c>
      <c r="T1111" s="21" t="str">
        <f aca="false">IF(S1111="","",S1111*K1111)</f>
        <v/>
      </c>
      <c r="U1111" s="5" t="str">
        <f aca="false">IF(A1111="","",IF(J1111&gt;Parâmetros!$C$14,"SIM","NAO"))</f>
        <v/>
      </c>
      <c r="V1111" s="5" t="str">
        <f aca="false">IF(B1111="","",TRIM(LEFT(B1111,IFERROR(FIND(" ",B1111)-1,LEN(B1111)))))</f>
        <v/>
      </c>
      <c r="W1111" s="22"/>
      <c r="X1111" s="5" t="str">
        <f aca="false">IF(A1111="","",IF(W1111&lt;&gt;"",W1111,V1111))</f>
        <v/>
      </c>
      <c r="Y1111" s="5" t="str">
        <f aca="false">IF(A1111="","",IF(COUNTIFS($X$2:$X$2001,X1111,$D$2:$D$2001,"&lt;&gt;"&amp;D1111,$C$2:$C$2001,C1111)&gt;0,"SIM","NAO"))</f>
        <v/>
      </c>
      <c r="Z1111" s="5" t="str">
        <f aca="false">IF(A1111="","",IF(J1111="","",IFERROR(360/J1111,"")))</f>
        <v/>
      </c>
      <c r="AA1111" s="5" t="str">
        <f aca="false">IF(A1111="","",IF(H1111=0,"Parado (sem venda 90d)",IF(Z1111&gt;12,"Alto (&gt;12x/ano)",IF(Z1111&gt;=4,"Medio (4-12x/ano)","Baixo (&lt;4x/ano)"))))</f>
        <v/>
      </c>
    </row>
    <row r="1112" customFormat="false" ht="15" hidden="false" customHeight="true" outlineLevel="0" collapsed="false">
      <c r="A1112" s="6"/>
      <c r="B1112" s="6"/>
      <c r="C1112" s="6"/>
      <c r="D1112" s="6"/>
      <c r="E1112" s="6"/>
      <c r="F1112" s="6"/>
      <c r="G1112" s="6"/>
      <c r="H1112" s="6"/>
      <c r="I1112" s="6"/>
      <c r="J1112" s="6"/>
      <c r="K1112" s="18"/>
      <c r="L1112" s="19" t="str">
        <f aca="false">IF(A1112="","",G1112*K1112)</f>
        <v/>
      </c>
      <c r="M1112" s="20"/>
      <c r="N1112" s="6"/>
      <c r="O1112" s="6"/>
      <c r="P1112" s="5" t="str">
        <f aca="false">IF(A1112="","",H1112/90)</f>
        <v/>
      </c>
      <c r="Q1112" s="5" t="str">
        <f aca="false">IF(A1112="","",IFERROR(INDEX(Parâmetros!$C$6:$C$10,MATCH(F1112,Parâmetros!$B$6:$B$10,0)),""))</f>
        <v/>
      </c>
      <c r="R1112" s="5" t="str">
        <f aca="false">IF(OR(A1112="",P1112="",Q1112=""),"",P1112*Q1112)</f>
        <v/>
      </c>
      <c r="S1112" s="5" t="str">
        <f aca="false">IF(R1112="","",MAX(0,R1112-G1112))</f>
        <v/>
      </c>
      <c r="T1112" s="21" t="str">
        <f aca="false">IF(S1112="","",S1112*K1112)</f>
        <v/>
      </c>
      <c r="U1112" s="5" t="str">
        <f aca="false">IF(A1112="","",IF(J1112&gt;Parâmetros!$C$14,"SIM","NAO"))</f>
        <v/>
      </c>
      <c r="V1112" s="5" t="str">
        <f aca="false">IF(B1112="","",TRIM(LEFT(B1112,IFERROR(FIND(" ",B1112)-1,LEN(B1112)))))</f>
        <v/>
      </c>
      <c r="W1112" s="22"/>
      <c r="X1112" s="5" t="str">
        <f aca="false">IF(A1112="","",IF(W1112&lt;&gt;"",W1112,V1112))</f>
        <v/>
      </c>
      <c r="Y1112" s="5" t="str">
        <f aca="false">IF(A1112="","",IF(COUNTIFS($X$2:$X$2001,X1112,$D$2:$D$2001,"&lt;&gt;"&amp;D1112,$C$2:$C$2001,C1112)&gt;0,"SIM","NAO"))</f>
        <v/>
      </c>
      <c r="Z1112" s="5" t="str">
        <f aca="false">IF(A1112="","",IF(J1112="","",IFERROR(360/J1112,"")))</f>
        <v/>
      </c>
      <c r="AA1112" s="5" t="str">
        <f aca="false">IF(A1112="","",IF(H1112=0,"Parado (sem venda 90d)",IF(Z1112&gt;12,"Alto (&gt;12x/ano)",IF(Z1112&gt;=4,"Medio (4-12x/ano)","Baixo (&lt;4x/ano)"))))</f>
        <v/>
      </c>
    </row>
    <row r="1113" customFormat="false" ht="15" hidden="false" customHeight="true" outlineLevel="0" collapsed="false">
      <c r="A1113" s="6"/>
      <c r="B1113" s="6"/>
      <c r="C1113" s="6"/>
      <c r="D1113" s="6"/>
      <c r="E1113" s="6"/>
      <c r="F1113" s="6"/>
      <c r="G1113" s="6"/>
      <c r="H1113" s="6"/>
      <c r="I1113" s="6"/>
      <c r="J1113" s="6"/>
      <c r="K1113" s="18"/>
      <c r="L1113" s="19" t="str">
        <f aca="false">IF(A1113="","",G1113*K1113)</f>
        <v/>
      </c>
      <c r="M1113" s="20"/>
      <c r="N1113" s="6"/>
      <c r="O1113" s="6"/>
      <c r="P1113" s="5" t="str">
        <f aca="false">IF(A1113="","",H1113/90)</f>
        <v/>
      </c>
      <c r="Q1113" s="5" t="str">
        <f aca="false">IF(A1113="","",IFERROR(INDEX(Parâmetros!$C$6:$C$10,MATCH(F1113,Parâmetros!$B$6:$B$10,0)),""))</f>
        <v/>
      </c>
      <c r="R1113" s="5" t="str">
        <f aca="false">IF(OR(A1113="",P1113="",Q1113=""),"",P1113*Q1113)</f>
        <v/>
      </c>
      <c r="S1113" s="5" t="str">
        <f aca="false">IF(R1113="","",MAX(0,R1113-G1113))</f>
        <v/>
      </c>
      <c r="T1113" s="21" t="str">
        <f aca="false">IF(S1113="","",S1113*K1113)</f>
        <v/>
      </c>
      <c r="U1113" s="5" t="str">
        <f aca="false">IF(A1113="","",IF(J1113&gt;Parâmetros!$C$14,"SIM","NAO"))</f>
        <v/>
      </c>
      <c r="V1113" s="5" t="str">
        <f aca="false">IF(B1113="","",TRIM(LEFT(B1113,IFERROR(FIND(" ",B1113)-1,LEN(B1113)))))</f>
        <v/>
      </c>
      <c r="W1113" s="22"/>
      <c r="X1113" s="5" t="str">
        <f aca="false">IF(A1113="","",IF(W1113&lt;&gt;"",W1113,V1113))</f>
        <v/>
      </c>
      <c r="Y1113" s="5" t="str">
        <f aca="false">IF(A1113="","",IF(COUNTIFS($X$2:$X$2001,X1113,$D$2:$D$2001,"&lt;&gt;"&amp;D1113,$C$2:$C$2001,C1113)&gt;0,"SIM","NAO"))</f>
        <v/>
      </c>
      <c r="Z1113" s="5" t="str">
        <f aca="false">IF(A1113="","",IF(J1113="","",IFERROR(360/J1113,"")))</f>
        <v/>
      </c>
      <c r="AA1113" s="5" t="str">
        <f aca="false">IF(A1113="","",IF(H1113=0,"Parado (sem venda 90d)",IF(Z1113&gt;12,"Alto (&gt;12x/ano)",IF(Z1113&gt;=4,"Medio (4-12x/ano)","Baixo (&lt;4x/ano)"))))</f>
        <v/>
      </c>
    </row>
    <row r="1114" customFormat="false" ht="15" hidden="false" customHeight="true" outlineLevel="0" collapsed="false">
      <c r="A1114" s="6"/>
      <c r="B1114" s="6"/>
      <c r="C1114" s="6"/>
      <c r="D1114" s="6"/>
      <c r="E1114" s="6"/>
      <c r="F1114" s="6"/>
      <c r="G1114" s="6"/>
      <c r="H1114" s="6"/>
      <c r="I1114" s="6"/>
      <c r="J1114" s="6"/>
      <c r="K1114" s="18"/>
      <c r="L1114" s="19" t="str">
        <f aca="false">IF(A1114="","",G1114*K1114)</f>
        <v/>
      </c>
      <c r="M1114" s="20"/>
      <c r="N1114" s="6"/>
      <c r="O1114" s="6"/>
      <c r="P1114" s="5" t="str">
        <f aca="false">IF(A1114="","",H1114/90)</f>
        <v/>
      </c>
      <c r="Q1114" s="5" t="str">
        <f aca="false">IF(A1114="","",IFERROR(INDEX(Parâmetros!$C$6:$C$10,MATCH(F1114,Parâmetros!$B$6:$B$10,0)),""))</f>
        <v/>
      </c>
      <c r="R1114" s="5" t="str">
        <f aca="false">IF(OR(A1114="",P1114="",Q1114=""),"",P1114*Q1114)</f>
        <v/>
      </c>
      <c r="S1114" s="5" t="str">
        <f aca="false">IF(R1114="","",MAX(0,R1114-G1114))</f>
        <v/>
      </c>
      <c r="T1114" s="21" t="str">
        <f aca="false">IF(S1114="","",S1114*K1114)</f>
        <v/>
      </c>
      <c r="U1114" s="5" t="str">
        <f aca="false">IF(A1114="","",IF(J1114&gt;Parâmetros!$C$14,"SIM","NAO"))</f>
        <v/>
      </c>
      <c r="V1114" s="5" t="str">
        <f aca="false">IF(B1114="","",TRIM(LEFT(B1114,IFERROR(FIND(" ",B1114)-1,LEN(B1114)))))</f>
        <v/>
      </c>
      <c r="W1114" s="22"/>
      <c r="X1114" s="5" t="str">
        <f aca="false">IF(A1114="","",IF(W1114&lt;&gt;"",W1114,V1114))</f>
        <v/>
      </c>
      <c r="Y1114" s="5" t="str">
        <f aca="false">IF(A1114="","",IF(COUNTIFS($X$2:$X$2001,X1114,$D$2:$D$2001,"&lt;&gt;"&amp;D1114,$C$2:$C$2001,C1114)&gt;0,"SIM","NAO"))</f>
        <v/>
      </c>
      <c r="Z1114" s="5" t="str">
        <f aca="false">IF(A1114="","",IF(J1114="","",IFERROR(360/J1114,"")))</f>
        <v/>
      </c>
      <c r="AA1114" s="5" t="str">
        <f aca="false">IF(A1114="","",IF(H1114=0,"Parado (sem venda 90d)",IF(Z1114&gt;12,"Alto (&gt;12x/ano)",IF(Z1114&gt;=4,"Medio (4-12x/ano)","Baixo (&lt;4x/ano)"))))</f>
        <v/>
      </c>
    </row>
    <row r="1115" customFormat="false" ht="15" hidden="false" customHeight="true" outlineLevel="0" collapsed="false">
      <c r="A1115" s="6"/>
      <c r="B1115" s="6"/>
      <c r="C1115" s="6"/>
      <c r="D1115" s="6"/>
      <c r="E1115" s="6"/>
      <c r="F1115" s="6"/>
      <c r="G1115" s="6"/>
      <c r="H1115" s="6"/>
      <c r="I1115" s="6"/>
      <c r="J1115" s="6"/>
      <c r="K1115" s="18"/>
      <c r="L1115" s="19" t="str">
        <f aca="false">IF(A1115="","",G1115*K1115)</f>
        <v/>
      </c>
      <c r="M1115" s="20"/>
      <c r="N1115" s="6"/>
      <c r="O1115" s="6"/>
      <c r="P1115" s="5" t="str">
        <f aca="false">IF(A1115="","",H1115/90)</f>
        <v/>
      </c>
      <c r="Q1115" s="5" t="str">
        <f aca="false">IF(A1115="","",IFERROR(INDEX(Parâmetros!$C$6:$C$10,MATCH(F1115,Parâmetros!$B$6:$B$10,0)),""))</f>
        <v/>
      </c>
      <c r="R1115" s="5" t="str">
        <f aca="false">IF(OR(A1115="",P1115="",Q1115=""),"",P1115*Q1115)</f>
        <v/>
      </c>
      <c r="S1115" s="5" t="str">
        <f aca="false">IF(R1115="","",MAX(0,R1115-G1115))</f>
        <v/>
      </c>
      <c r="T1115" s="21" t="str">
        <f aca="false">IF(S1115="","",S1115*K1115)</f>
        <v/>
      </c>
      <c r="U1115" s="5" t="str">
        <f aca="false">IF(A1115="","",IF(J1115&gt;Parâmetros!$C$14,"SIM","NAO"))</f>
        <v/>
      </c>
      <c r="V1115" s="5" t="str">
        <f aca="false">IF(B1115="","",TRIM(LEFT(B1115,IFERROR(FIND(" ",B1115)-1,LEN(B1115)))))</f>
        <v/>
      </c>
      <c r="W1115" s="22"/>
      <c r="X1115" s="5" t="str">
        <f aca="false">IF(A1115="","",IF(W1115&lt;&gt;"",W1115,V1115))</f>
        <v/>
      </c>
      <c r="Y1115" s="5" t="str">
        <f aca="false">IF(A1115="","",IF(COUNTIFS($X$2:$X$2001,X1115,$D$2:$D$2001,"&lt;&gt;"&amp;D1115,$C$2:$C$2001,C1115)&gt;0,"SIM","NAO"))</f>
        <v/>
      </c>
      <c r="Z1115" s="5" t="str">
        <f aca="false">IF(A1115="","",IF(J1115="","",IFERROR(360/J1115,"")))</f>
        <v/>
      </c>
      <c r="AA1115" s="5" t="str">
        <f aca="false">IF(A1115="","",IF(H1115=0,"Parado (sem venda 90d)",IF(Z1115&gt;12,"Alto (&gt;12x/ano)",IF(Z1115&gt;=4,"Medio (4-12x/ano)","Baixo (&lt;4x/ano)"))))</f>
        <v/>
      </c>
    </row>
    <row r="1116" customFormat="false" ht="15" hidden="false" customHeight="true" outlineLevel="0" collapsed="false">
      <c r="A1116" s="6"/>
      <c r="B1116" s="6"/>
      <c r="C1116" s="6"/>
      <c r="D1116" s="6"/>
      <c r="E1116" s="6"/>
      <c r="F1116" s="6"/>
      <c r="G1116" s="6"/>
      <c r="H1116" s="6"/>
      <c r="I1116" s="6"/>
      <c r="J1116" s="6"/>
      <c r="K1116" s="18"/>
      <c r="L1116" s="19" t="str">
        <f aca="false">IF(A1116="","",G1116*K1116)</f>
        <v/>
      </c>
      <c r="M1116" s="20"/>
      <c r="N1116" s="6"/>
      <c r="O1116" s="6"/>
      <c r="P1116" s="5" t="str">
        <f aca="false">IF(A1116="","",H1116/90)</f>
        <v/>
      </c>
      <c r="Q1116" s="5" t="str">
        <f aca="false">IF(A1116="","",IFERROR(INDEX(Parâmetros!$C$6:$C$10,MATCH(F1116,Parâmetros!$B$6:$B$10,0)),""))</f>
        <v/>
      </c>
      <c r="R1116" s="5" t="str">
        <f aca="false">IF(OR(A1116="",P1116="",Q1116=""),"",P1116*Q1116)</f>
        <v/>
      </c>
      <c r="S1116" s="5" t="str">
        <f aca="false">IF(R1116="","",MAX(0,R1116-G1116))</f>
        <v/>
      </c>
      <c r="T1116" s="21" t="str">
        <f aca="false">IF(S1116="","",S1116*K1116)</f>
        <v/>
      </c>
      <c r="U1116" s="5" t="str">
        <f aca="false">IF(A1116="","",IF(J1116&gt;Parâmetros!$C$14,"SIM","NAO"))</f>
        <v/>
      </c>
      <c r="V1116" s="5" t="str">
        <f aca="false">IF(B1116="","",TRIM(LEFT(B1116,IFERROR(FIND(" ",B1116)-1,LEN(B1116)))))</f>
        <v/>
      </c>
      <c r="W1116" s="22"/>
      <c r="X1116" s="5" t="str">
        <f aca="false">IF(A1116="","",IF(W1116&lt;&gt;"",W1116,V1116))</f>
        <v/>
      </c>
      <c r="Y1116" s="5" t="str">
        <f aca="false">IF(A1116="","",IF(COUNTIFS($X$2:$X$2001,X1116,$D$2:$D$2001,"&lt;&gt;"&amp;D1116,$C$2:$C$2001,C1116)&gt;0,"SIM","NAO"))</f>
        <v/>
      </c>
      <c r="Z1116" s="5" t="str">
        <f aca="false">IF(A1116="","",IF(J1116="","",IFERROR(360/J1116,"")))</f>
        <v/>
      </c>
      <c r="AA1116" s="5" t="str">
        <f aca="false">IF(A1116="","",IF(H1116=0,"Parado (sem venda 90d)",IF(Z1116&gt;12,"Alto (&gt;12x/ano)",IF(Z1116&gt;=4,"Medio (4-12x/ano)","Baixo (&lt;4x/ano)"))))</f>
        <v/>
      </c>
    </row>
    <row r="1117" customFormat="false" ht="15" hidden="false" customHeight="true" outlineLevel="0" collapsed="false">
      <c r="A1117" s="6"/>
      <c r="B1117" s="6"/>
      <c r="C1117" s="6"/>
      <c r="D1117" s="6"/>
      <c r="E1117" s="6"/>
      <c r="F1117" s="6"/>
      <c r="G1117" s="6"/>
      <c r="H1117" s="6"/>
      <c r="I1117" s="6"/>
      <c r="J1117" s="6"/>
      <c r="K1117" s="18"/>
      <c r="L1117" s="19" t="str">
        <f aca="false">IF(A1117="","",G1117*K1117)</f>
        <v/>
      </c>
      <c r="M1117" s="20"/>
      <c r="N1117" s="6"/>
      <c r="O1117" s="6"/>
      <c r="P1117" s="5" t="str">
        <f aca="false">IF(A1117="","",H1117/90)</f>
        <v/>
      </c>
      <c r="Q1117" s="5" t="str">
        <f aca="false">IF(A1117="","",IFERROR(INDEX(Parâmetros!$C$6:$C$10,MATCH(F1117,Parâmetros!$B$6:$B$10,0)),""))</f>
        <v/>
      </c>
      <c r="R1117" s="5" t="str">
        <f aca="false">IF(OR(A1117="",P1117="",Q1117=""),"",P1117*Q1117)</f>
        <v/>
      </c>
      <c r="S1117" s="5" t="str">
        <f aca="false">IF(R1117="","",MAX(0,R1117-G1117))</f>
        <v/>
      </c>
      <c r="T1117" s="21" t="str">
        <f aca="false">IF(S1117="","",S1117*K1117)</f>
        <v/>
      </c>
      <c r="U1117" s="5" t="str">
        <f aca="false">IF(A1117="","",IF(J1117&gt;Parâmetros!$C$14,"SIM","NAO"))</f>
        <v/>
      </c>
      <c r="V1117" s="5" t="str">
        <f aca="false">IF(B1117="","",TRIM(LEFT(B1117,IFERROR(FIND(" ",B1117)-1,LEN(B1117)))))</f>
        <v/>
      </c>
      <c r="W1117" s="22"/>
      <c r="X1117" s="5" t="str">
        <f aca="false">IF(A1117="","",IF(W1117&lt;&gt;"",W1117,V1117))</f>
        <v/>
      </c>
      <c r="Y1117" s="5" t="str">
        <f aca="false">IF(A1117="","",IF(COUNTIFS($X$2:$X$2001,X1117,$D$2:$D$2001,"&lt;&gt;"&amp;D1117,$C$2:$C$2001,C1117)&gt;0,"SIM","NAO"))</f>
        <v/>
      </c>
      <c r="Z1117" s="5" t="str">
        <f aca="false">IF(A1117="","",IF(J1117="","",IFERROR(360/J1117,"")))</f>
        <v/>
      </c>
      <c r="AA1117" s="5" t="str">
        <f aca="false">IF(A1117="","",IF(H1117=0,"Parado (sem venda 90d)",IF(Z1117&gt;12,"Alto (&gt;12x/ano)",IF(Z1117&gt;=4,"Medio (4-12x/ano)","Baixo (&lt;4x/ano)"))))</f>
        <v/>
      </c>
    </row>
    <row r="1118" customFormat="false" ht="15" hidden="false" customHeight="true" outlineLevel="0" collapsed="false">
      <c r="A1118" s="6"/>
      <c r="B1118" s="6"/>
      <c r="C1118" s="6"/>
      <c r="D1118" s="6"/>
      <c r="E1118" s="6"/>
      <c r="F1118" s="6"/>
      <c r="G1118" s="6"/>
      <c r="H1118" s="6"/>
      <c r="I1118" s="6"/>
      <c r="J1118" s="6"/>
      <c r="K1118" s="18"/>
      <c r="L1118" s="19" t="str">
        <f aca="false">IF(A1118="","",G1118*K1118)</f>
        <v/>
      </c>
      <c r="M1118" s="20"/>
      <c r="N1118" s="6"/>
      <c r="O1118" s="6"/>
      <c r="P1118" s="5" t="str">
        <f aca="false">IF(A1118="","",H1118/90)</f>
        <v/>
      </c>
      <c r="Q1118" s="5" t="str">
        <f aca="false">IF(A1118="","",IFERROR(INDEX(Parâmetros!$C$6:$C$10,MATCH(F1118,Parâmetros!$B$6:$B$10,0)),""))</f>
        <v/>
      </c>
      <c r="R1118" s="5" t="str">
        <f aca="false">IF(OR(A1118="",P1118="",Q1118=""),"",P1118*Q1118)</f>
        <v/>
      </c>
      <c r="S1118" s="5" t="str">
        <f aca="false">IF(R1118="","",MAX(0,R1118-G1118))</f>
        <v/>
      </c>
      <c r="T1118" s="21" t="str">
        <f aca="false">IF(S1118="","",S1118*K1118)</f>
        <v/>
      </c>
      <c r="U1118" s="5" t="str">
        <f aca="false">IF(A1118="","",IF(J1118&gt;Parâmetros!$C$14,"SIM","NAO"))</f>
        <v/>
      </c>
      <c r="V1118" s="5" t="str">
        <f aca="false">IF(B1118="","",TRIM(LEFT(B1118,IFERROR(FIND(" ",B1118)-1,LEN(B1118)))))</f>
        <v/>
      </c>
      <c r="W1118" s="22"/>
      <c r="X1118" s="5" t="str">
        <f aca="false">IF(A1118="","",IF(W1118&lt;&gt;"",W1118,V1118))</f>
        <v/>
      </c>
      <c r="Y1118" s="5" t="str">
        <f aca="false">IF(A1118="","",IF(COUNTIFS($X$2:$X$2001,X1118,$D$2:$D$2001,"&lt;&gt;"&amp;D1118,$C$2:$C$2001,C1118)&gt;0,"SIM","NAO"))</f>
        <v/>
      </c>
      <c r="Z1118" s="5" t="str">
        <f aca="false">IF(A1118="","",IF(J1118="","",IFERROR(360/J1118,"")))</f>
        <v/>
      </c>
      <c r="AA1118" s="5" t="str">
        <f aca="false">IF(A1118="","",IF(H1118=0,"Parado (sem venda 90d)",IF(Z1118&gt;12,"Alto (&gt;12x/ano)",IF(Z1118&gt;=4,"Medio (4-12x/ano)","Baixo (&lt;4x/ano)"))))</f>
        <v/>
      </c>
    </row>
    <row r="1119" customFormat="false" ht="15" hidden="false" customHeight="true" outlineLevel="0" collapsed="false">
      <c r="A1119" s="6"/>
      <c r="B1119" s="6"/>
      <c r="C1119" s="6"/>
      <c r="D1119" s="6"/>
      <c r="E1119" s="6"/>
      <c r="F1119" s="6"/>
      <c r="G1119" s="6"/>
      <c r="H1119" s="6"/>
      <c r="I1119" s="6"/>
      <c r="J1119" s="6"/>
      <c r="K1119" s="18"/>
      <c r="L1119" s="19" t="str">
        <f aca="false">IF(A1119="","",G1119*K1119)</f>
        <v/>
      </c>
      <c r="M1119" s="20"/>
      <c r="N1119" s="6"/>
      <c r="O1119" s="6"/>
      <c r="P1119" s="5" t="str">
        <f aca="false">IF(A1119="","",H1119/90)</f>
        <v/>
      </c>
      <c r="Q1119" s="5" t="str">
        <f aca="false">IF(A1119="","",IFERROR(INDEX(Parâmetros!$C$6:$C$10,MATCH(F1119,Parâmetros!$B$6:$B$10,0)),""))</f>
        <v/>
      </c>
      <c r="R1119" s="5" t="str">
        <f aca="false">IF(OR(A1119="",P1119="",Q1119=""),"",P1119*Q1119)</f>
        <v/>
      </c>
      <c r="S1119" s="5" t="str">
        <f aca="false">IF(R1119="","",MAX(0,R1119-G1119))</f>
        <v/>
      </c>
      <c r="T1119" s="21" t="str">
        <f aca="false">IF(S1119="","",S1119*K1119)</f>
        <v/>
      </c>
      <c r="U1119" s="5" t="str">
        <f aca="false">IF(A1119="","",IF(J1119&gt;Parâmetros!$C$14,"SIM","NAO"))</f>
        <v/>
      </c>
      <c r="V1119" s="5" t="str">
        <f aca="false">IF(B1119="","",TRIM(LEFT(B1119,IFERROR(FIND(" ",B1119)-1,LEN(B1119)))))</f>
        <v/>
      </c>
      <c r="W1119" s="22"/>
      <c r="X1119" s="5" t="str">
        <f aca="false">IF(A1119="","",IF(W1119&lt;&gt;"",W1119,V1119))</f>
        <v/>
      </c>
      <c r="Y1119" s="5" t="str">
        <f aca="false">IF(A1119="","",IF(COUNTIFS($X$2:$X$2001,X1119,$D$2:$D$2001,"&lt;&gt;"&amp;D1119,$C$2:$C$2001,C1119)&gt;0,"SIM","NAO"))</f>
        <v/>
      </c>
      <c r="Z1119" s="5" t="str">
        <f aca="false">IF(A1119="","",IF(J1119="","",IFERROR(360/J1119,"")))</f>
        <v/>
      </c>
      <c r="AA1119" s="5" t="str">
        <f aca="false">IF(A1119="","",IF(H1119=0,"Parado (sem venda 90d)",IF(Z1119&gt;12,"Alto (&gt;12x/ano)",IF(Z1119&gt;=4,"Medio (4-12x/ano)","Baixo (&lt;4x/ano)"))))</f>
        <v/>
      </c>
    </row>
    <row r="1120" customFormat="false" ht="15" hidden="false" customHeight="true" outlineLevel="0" collapsed="false">
      <c r="A1120" s="6"/>
      <c r="B1120" s="6"/>
      <c r="C1120" s="6"/>
      <c r="D1120" s="6"/>
      <c r="E1120" s="6"/>
      <c r="F1120" s="6"/>
      <c r="G1120" s="6"/>
      <c r="H1120" s="6"/>
      <c r="I1120" s="6"/>
      <c r="J1120" s="6"/>
      <c r="K1120" s="18"/>
      <c r="L1120" s="19" t="str">
        <f aca="false">IF(A1120="","",G1120*K1120)</f>
        <v/>
      </c>
      <c r="M1120" s="20"/>
      <c r="N1120" s="6"/>
      <c r="O1120" s="6"/>
      <c r="P1120" s="5" t="str">
        <f aca="false">IF(A1120="","",H1120/90)</f>
        <v/>
      </c>
      <c r="Q1120" s="5" t="str">
        <f aca="false">IF(A1120="","",IFERROR(INDEX(Parâmetros!$C$6:$C$10,MATCH(F1120,Parâmetros!$B$6:$B$10,0)),""))</f>
        <v/>
      </c>
      <c r="R1120" s="5" t="str">
        <f aca="false">IF(OR(A1120="",P1120="",Q1120=""),"",P1120*Q1120)</f>
        <v/>
      </c>
      <c r="S1120" s="5" t="str">
        <f aca="false">IF(R1120="","",MAX(0,R1120-G1120))</f>
        <v/>
      </c>
      <c r="T1120" s="21" t="str">
        <f aca="false">IF(S1120="","",S1120*K1120)</f>
        <v/>
      </c>
      <c r="U1120" s="5" t="str">
        <f aca="false">IF(A1120="","",IF(J1120&gt;Parâmetros!$C$14,"SIM","NAO"))</f>
        <v/>
      </c>
      <c r="V1120" s="5" t="str">
        <f aca="false">IF(B1120="","",TRIM(LEFT(B1120,IFERROR(FIND(" ",B1120)-1,LEN(B1120)))))</f>
        <v/>
      </c>
      <c r="W1120" s="22"/>
      <c r="X1120" s="5" t="str">
        <f aca="false">IF(A1120="","",IF(W1120&lt;&gt;"",W1120,V1120))</f>
        <v/>
      </c>
      <c r="Y1120" s="5" t="str">
        <f aca="false">IF(A1120="","",IF(COUNTIFS($X$2:$X$2001,X1120,$D$2:$D$2001,"&lt;&gt;"&amp;D1120,$C$2:$C$2001,C1120)&gt;0,"SIM","NAO"))</f>
        <v/>
      </c>
      <c r="Z1120" s="5" t="str">
        <f aca="false">IF(A1120="","",IF(J1120="","",IFERROR(360/J1120,"")))</f>
        <v/>
      </c>
      <c r="AA1120" s="5" t="str">
        <f aca="false">IF(A1120="","",IF(H1120=0,"Parado (sem venda 90d)",IF(Z1120&gt;12,"Alto (&gt;12x/ano)",IF(Z1120&gt;=4,"Medio (4-12x/ano)","Baixo (&lt;4x/ano)"))))</f>
        <v/>
      </c>
    </row>
    <row r="1121" customFormat="false" ht="15" hidden="false" customHeight="true" outlineLevel="0" collapsed="false">
      <c r="A1121" s="6"/>
      <c r="B1121" s="6"/>
      <c r="C1121" s="6"/>
      <c r="D1121" s="6"/>
      <c r="E1121" s="6"/>
      <c r="F1121" s="6"/>
      <c r="G1121" s="6"/>
      <c r="H1121" s="6"/>
      <c r="I1121" s="6"/>
      <c r="J1121" s="6"/>
      <c r="K1121" s="18"/>
      <c r="L1121" s="19" t="str">
        <f aca="false">IF(A1121="","",G1121*K1121)</f>
        <v/>
      </c>
      <c r="M1121" s="20"/>
      <c r="N1121" s="6"/>
      <c r="O1121" s="6"/>
      <c r="P1121" s="5" t="str">
        <f aca="false">IF(A1121="","",H1121/90)</f>
        <v/>
      </c>
      <c r="Q1121" s="5" t="str">
        <f aca="false">IF(A1121="","",IFERROR(INDEX(Parâmetros!$C$6:$C$10,MATCH(F1121,Parâmetros!$B$6:$B$10,0)),""))</f>
        <v/>
      </c>
      <c r="R1121" s="5" t="str">
        <f aca="false">IF(OR(A1121="",P1121="",Q1121=""),"",P1121*Q1121)</f>
        <v/>
      </c>
      <c r="S1121" s="5" t="str">
        <f aca="false">IF(R1121="","",MAX(0,R1121-G1121))</f>
        <v/>
      </c>
      <c r="T1121" s="21" t="str">
        <f aca="false">IF(S1121="","",S1121*K1121)</f>
        <v/>
      </c>
      <c r="U1121" s="5" t="str">
        <f aca="false">IF(A1121="","",IF(J1121&gt;Parâmetros!$C$14,"SIM","NAO"))</f>
        <v/>
      </c>
      <c r="V1121" s="5" t="str">
        <f aca="false">IF(B1121="","",TRIM(LEFT(B1121,IFERROR(FIND(" ",B1121)-1,LEN(B1121)))))</f>
        <v/>
      </c>
      <c r="W1121" s="22"/>
      <c r="X1121" s="5" t="str">
        <f aca="false">IF(A1121="","",IF(W1121&lt;&gt;"",W1121,V1121))</f>
        <v/>
      </c>
      <c r="Y1121" s="5" t="str">
        <f aca="false">IF(A1121="","",IF(COUNTIFS($X$2:$X$2001,X1121,$D$2:$D$2001,"&lt;&gt;"&amp;D1121,$C$2:$C$2001,C1121)&gt;0,"SIM","NAO"))</f>
        <v/>
      </c>
      <c r="Z1121" s="5" t="str">
        <f aca="false">IF(A1121="","",IF(J1121="","",IFERROR(360/J1121,"")))</f>
        <v/>
      </c>
      <c r="AA1121" s="5" t="str">
        <f aca="false">IF(A1121="","",IF(H1121=0,"Parado (sem venda 90d)",IF(Z1121&gt;12,"Alto (&gt;12x/ano)",IF(Z1121&gt;=4,"Medio (4-12x/ano)","Baixo (&lt;4x/ano)"))))</f>
        <v/>
      </c>
    </row>
    <row r="1122" customFormat="false" ht="15" hidden="false" customHeight="true" outlineLevel="0" collapsed="false">
      <c r="A1122" s="6"/>
      <c r="B1122" s="6"/>
      <c r="C1122" s="6"/>
      <c r="D1122" s="6"/>
      <c r="E1122" s="6"/>
      <c r="F1122" s="6"/>
      <c r="G1122" s="6"/>
      <c r="H1122" s="6"/>
      <c r="I1122" s="6"/>
      <c r="J1122" s="6"/>
      <c r="K1122" s="18"/>
      <c r="L1122" s="19" t="str">
        <f aca="false">IF(A1122="","",G1122*K1122)</f>
        <v/>
      </c>
      <c r="M1122" s="20"/>
      <c r="N1122" s="6"/>
      <c r="O1122" s="6"/>
      <c r="P1122" s="5" t="str">
        <f aca="false">IF(A1122="","",H1122/90)</f>
        <v/>
      </c>
      <c r="Q1122" s="5" t="str">
        <f aca="false">IF(A1122="","",IFERROR(INDEX(Parâmetros!$C$6:$C$10,MATCH(F1122,Parâmetros!$B$6:$B$10,0)),""))</f>
        <v/>
      </c>
      <c r="R1122" s="5" t="str">
        <f aca="false">IF(OR(A1122="",P1122="",Q1122=""),"",P1122*Q1122)</f>
        <v/>
      </c>
      <c r="S1122" s="5" t="str">
        <f aca="false">IF(R1122="","",MAX(0,R1122-G1122))</f>
        <v/>
      </c>
      <c r="T1122" s="21" t="str">
        <f aca="false">IF(S1122="","",S1122*K1122)</f>
        <v/>
      </c>
      <c r="U1122" s="5" t="str">
        <f aca="false">IF(A1122="","",IF(J1122&gt;Parâmetros!$C$14,"SIM","NAO"))</f>
        <v/>
      </c>
      <c r="V1122" s="5" t="str">
        <f aca="false">IF(B1122="","",TRIM(LEFT(B1122,IFERROR(FIND(" ",B1122)-1,LEN(B1122)))))</f>
        <v/>
      </c>
      <c r="W1122" s="22"/>
      <c r="X1122" s="5" t="str">
        <f aca="false">IF(A1122="","",IF(W1122&lt;&gt;"",W1122,V1122))</f>
        <v/>
      </c>
      <c r="Y1122" s="5" t="str">
        <f aca="false">IF(A1122="","",IF(COUNTIFS($X$2:$X$2001,X1122,$D$2:$D$2001,"&lt;&gt;"&amp;D1122,$C$2:$C$2001,C1122)&gt;0,"SIM","NAO"))</f>
        <v/>
      </c>
      <c r="Z1122" s="5" t="str">
        <f aca="false">IF(A1122="","",IF(J1122="","",IFERROR(360/J1122,"")))</f>
        <v/>
      </c>
      <c r="AA1122" s="5" t="str">
        <f aca="false">IF(A1122="","",IF(H1122=0,"Parado (sem venda 90d)",IF(Z1122&gt;12,"Alto (&gt;12x/ano)",IF(Z1122&gt;=4,"Medio (4-12x/ano)","Baixo (&lt;4x/ano)"))))</f>
        <v/>
      </c>
    </row>
    <row r="1123" customFormat="false" ht="15" hidden="false" customHeight="true" outlineLevel="0" collapsed="false">
      <c r="A1123" s="6"/>
      <c r="B1123" s="6"/>
      <c r="C1123" s="6"/>
      <c r="D1123" s="6"/>
      <c r="E1123" s="6"/>
      <c r="F1123" s="6"/>
      <c r="G1123" s="6"/>
      <c r="H1123" s="6"/>
      <c r="I1123" s="6"/>
      <c r="J1123" s="6"/>
      <c r="K1123" s="18"/>
      <c r="L1123" s="19" t="str">
        <f aca="false">IF(A1123="","",G1123*K1123)</f>
        <v/>
      </c>
      <c r="M1123" s="20"/>
      <c r="N1123" s="6"/>
      <c r="O1123" s="6"/>
      <c r="P1123" s="5" t="str">
        <f aca="false">IF(A1123="","",H1123/90)</f>
        <v/>
      </c>
      <c r="Q1123" s="5" t="str">
        <f aca="false">IF(A1123="","",IFERROR(INDEX(Parâmetros!$C$6:$C$10,MATCH(F1123,Parâmetros!$B$6:$B$10,0)),""))</f>
        <v/>
      </c>
      <c r="R1123" s="5" t="str">
        <f aca="false">IF(OR(A1123="",P1123="",Q1123=""),"",P1123*Q1123)</f>
        <v/>
      </c>
      <c r="S1123" s="5" t="str">
        <f aca="false">IF(R1123="","",MAX(0,R1123-G1123))</f>
        <v/>
      </c>
      <c r="T1123" s="21" t="str">
        <f aca="false">IF(S1123="","",S1123*K1123)</f>
        <v/>
      </c>
      <c r="U1123" s="5" t="str">
        <f aca="false">IF(A1123="","",IF(J1123&gt;Parâmetros!$C$14,"SIM","NAO"))</f>
        <v/>
      </c>
      <c r="V1123" s="5" t="str">
        <f aca="false">IF(B1123="","",TRIM(LEFT(B1123,IFERROR(FIND(" ",B1123)-1,LEN(B1123)))))</f>
        <v/>
      </c>
      <c r="W1123" s="22"/>
      <c r="X1123" s="5" t="str">
        <f aca="false">IF(A1123="","",IF(W1123&lt;&gt;"",W1123,V1123))</f>
        <v/>
      </c>
      <c r="Y1123" s="5" t="str">
        <f aca="false">IF(A1123="","",IF(COUNTIFS($X$2:$X$2001,X1123,$D$2:$D$2001,"&lt;&gt;"&amp;D1123,$C$2:$C$2001,C1123)&gt;0,"SIM","NAO"))</f>
        <v/>
      </c>
      <c r="Z1123" s="5" t="str">
        <f aca="false">IF(A1123="","",IF(J1123="","",IFERROR(360/J1123,"")))</f>
        <v/>
      </c>
      <c r="AA1123" s="5" t="str">
        <f aca="false">IF(A1123="","",IF(H1123=0,"Parado (sem venda 90d)",IF(Z1123&gt;12,"Alto (&gt;12x/ano)",IF(Z1123&gt;=4,"Medio (4-12x/ano)","Baixo (&lt;4x/ano)"))))</f>
        <v/>
      </c>
    </row>
    <row r="1124" customFormat="false" ht="15" hidden="false" customHeight="true" outlineLevel="0" collapsed="false">
      <c r="A1124" s="6"/>
      <c r="B1124" s="6"/>
      <c r="C1124" s="6"/>
      <c r="D1124" s="6"/>
      <c r="E1124" s="6"/>
      <c r="F1124" s="6"/>
      <c r="G1124" s="6"/>
      <c r="H1124" s="6"/>
      <c r="I1124" s="6"/>
      <c r="J1124" s="6"/>
      <c r="K1124" s="18"/>
      <c r="L1124" s="19" t="str">
        <f aca="false">IF(A1124="","",G1124*K1124)</f>
        <v/>
      </c>
      <c r="M1124" s="20"/>
      <c r="N1124" s="6"/>
      <c r="O1124" s="6"/>
      <c r="P1124" s="5" t="str">
        <f aca="false">IF(A1124="","",H1124/90)</f>
        <v/>
      </c>
      <c r="Q1124" s="5" t="str">
        <f aca="false">IF(A1124="","",IFERROR(INDEX(Parâmetros!$C$6:$C$10,MATCH(F1124,Parâmetros!$B$6:$B$10,0)),""))</f>
        <v/>
      </c>
      <c r="R1124" s="5" t="str">
        <f aca="false">IF(OR(A1124="",P1124="",Q1124=""),"",P1124*Q1124)</f>
        <v/>
      </c>
      <c r="S1124" s="5" t="str">
        <f aca="false">IF(R1124="","",MAX(0,R1124-G1124))</f>
        <v/>
      </c>
      <c r="T1124" s="21" t="str">
        <f aca="false">IF(S1124="","",S1124*K1124)</f>
        <v/>
      </c>
      <c r="U1124" s="5" t="str">
        <f aca="false">IF(A1124="","",IF(J1124&gt;Parâmetros!$C$14,"SIM","NAO"))</f>
        <v/>
      </c>
      <c r="V1124" s="5" t="str">
        <f aca="false">IF(B1124="","",TRIM(LEFT(B1124,IFERROR(FIND(" ",B1124)-1,LEN(B1124)))))</f>
        <v/>
      </c>
      <c r="W1124" s="22"/>
      <c r="X1124" s="5" t="str">
        <f aca="false">IF(A1124="","",IF(W1124&lt;&gt;"",W1124,V1124))</f>
        <v/>
      </c>
      <c r="Y1124" s="5" t="str">
        <f aca="false">IF(A1124="","",IF(COUNTIFS($X$2:$X$2001,X1124,$D$2:$D$2001,"&lt;&gt;"&amp;D1124,$C$2:$C$2001,C1124)&gt;0,"SIM","NAO"))</f>
        <v/>
      </c>
      <c r="Z1124" s="5" t="str">
        <f aca="false">IF(A1124="","",IF(J1124="","",IFERROR(360/J1124,"")))</f>
        <v/>
      </c>
      <c r="AA1124" s="5" t="str">
        <f aca="false">IF(A1124="","",IF(H1124=0,"Parado (sem venda 90d)",IF(Z1124&gt;12,"Alto (&gt;12x/ano)",IF(Z1124&gt;=4,"Medio (4-12x/ano)","Baixo (&lt;4x/ano)"))))</f>
        <v/>
      </c>
    </row>
    <row r="1125" customFormat="false" ht="15" hidden="false" customHeight="true" outlineLevel="0" collapsed="false">
      <c r="A1125" s="6"/>
      <c r="B1125" s="6"/>
      <c r="C1125" s="6"/>
      <c r="D1125" s="6"/>
      <c r="E1125" s="6"/>
      <c r="F1125" s="6"/>
      <c r="G1125" s="6"/>
      <c r="H1125" s="6"/>
      <c r="I1125" s="6"/>
      <c r="J1125" s="6"/>
      <c r="K1125" s="18"/>
      <c r="L1125" s="19" t="str">
        <f aca="false">IF(A1125="","",G1125*K1125)</f>
        <v/>
      </c>
      <c r="M1125" s="20"/>
      <c r="N1125" s="6"/>
      <c r="O1125" s="6"/>
      <c r="P1125" s="5" t="str">
        <f aca="false">IF(A1125="","",H1125/90)</f>
        <v/>
      </c>
      <c r="Q1125" s="5" t="str">
        <f aca="false">IF(A1125="","",IFERROR(INDEX(Parâmetros!$C$6:$C$10,MATCH(F1125,Parâmetros!$B$6:$B$10,0)),""))</f>
        <v/>
      </c>
      <c r="R1125" s="5" t="str">
        <f aca="false">IF(OR(A1125="",P1125="",Q1125=""),"",P1125*Q1125)</f>
        <v/>
      </c>
      <c r="S1125" s="5" t="str">
        <f aca="false">IF(R1125="","",MAX(0,R1125-G1125))</f>
        <v/>
      </c>
      <c r="T1125" s="21" t="str">
        <f aca="false">IF(S1125="","",S1125*K1125)</f>
        <v/>
      </c>
      <c r="U1125" s="5" t="str">
        <f aca="false">IF(A1125="","",IF(J1125&gt;Parâmetros!$C$14,"SIM","NAO"))</f>
        <v/>
      </c>
      <c r="V1125" s="5" t="str">
        <f aca="false">IF(B1125="","",TRIM(LEFT(B1125,IFERROR(FIND(" ",B1125)-1,LEN(B1125)))))</f>
        <v/>
      </c>
      <c r="W1125" s="22"/>
      <c r="X1125" s="5" t="str">
        <f aca="false">IF(A1125="","",IF(W1125&lt;&gt;"",W1125,V1125))</f>
        <v/>
      </c>
      <c r="Y1125" s="5" t="str">
        <f aca="false">IF(A1125="","",IF(COUNTIFS($X$2:$X$2001,X1125,$D$2:$D$2001,"&lt;&gt;"&amp;D1125,$C$2:$C$2001,C1125)&gt;0,"SIM","NAO"))</f>
        <v/>
      </c>
      <c r="Z1125" s="5" t="str">
        <f aca="false">IF(A1125="","",IF(J1125="","",IFERROR(360/J1125,"")))</f>
        <v/>
      </c>
      <c r="AA1125" s="5" t="str">
        <f aca="false">IF(A1125="","",IF(H1125=0,"Parado (sem venda 90d)",IF(Z1125&gt;12,"Alto (&gt;12x/ano)",IF(Z1125&gt;=4,"Medio (4-12x/ano)","Baixo (&lt;4x/ano)"))))</f>
        <v/>
      </c>
    </row>
    <row r="1126" customFormat="false" ht="15" hidden="false" customHeight="true" outlineLevel="0" collapsed="false">
      <c r="A1126" s="6"/>
      <c r="B1126" s="6"/>
      <c r="C1126" s="6"/>
      <c r="D1126" s="6"/>
      <c r="E1126" s="6"/>
      <c r="F1126" s="6"/>
      <c r="G1126" s="6"/>
      <c r="H1126" s="6"/>
      <c r="I1126" s="6"/>
      <c r="J1126" s="6"/>
      <c r="K1126" s="18"/>
      <c r="L1126" s="19" t="str">
        <f aca="false">IF(A1126="","",G1126*K1126)</f>
        <v/>
      </c>
      <c r="M1126" s="20"/>
      <c r="N1126" s="6"/>
      <c r="O1126" s="6"/>
      <c r="P1126" s="5" t="str">
        <f aca="false">IF(A1126="","",H1126/90)</f>
        <v/>
      </c>
      <c r="Q1126" s="5" t="str">
        <f aca="false">IF(A1126="","",IFERROR(INDEX(Parâmetros!$C$6:$C$10,MATCH(F1126,Parâmetros!$B$6:$B$10,0)),""))</f>
        <v/>
      </c>
      <c r="R1126" s="5" t="str">
        <f aca="false">IF(OR(A1126="",P1126="",Q1126=""),"",P1126*Q1126)</f>
        <v/>
      </c>
      <c r="S1126" s="5" t="str">
        <f aca="false">IF(R1126="","",MAX(0,R1126-G1126))</f>
        <v/>
      </c>
      <c r="T1126" s="21" t="str">
        <f aca="false">IF(S1126="","",S1126*K1126)</f>
        <v/>
      </c>
      <c r="U1126" s="5" t="str">
        <f aca="false">IF(A1126="","",IF(J1126&gt;Parâmetros!$C$14,"SIM","NAO"))</f>
        <v/>
      </c>
      <c r="V1126" s="5" t="str">
        <f aca="false">IF(B1126="","",TRIM(LEFT(B1126,IFERROR(FIND(" ",B1126)-1,LEN(B1126)))))</f>
        <v/>
      </c>
      <c r="W1126" s="22"/>
      <c r="X1126" s="5" t="str">
        <f aca="false">IF(A1126="","",IF(W1126&lt;&gt;"",W1126,V1126))</f>
        <v/>
      </c>
      <c r="Y1126" s="5" t="str">
        <f aca="false">IF(A1126="","",IF(COUNTIFS($X$2:$X$2001,X1126,$D$2:$D$2001,"&lt;&gt;"&amp;D1126,$C$2:$C$2001,C1126)&gt;0,"SIM","NAO"))</f>
        <v/>
      </c>
      <c r="Z1126" s="5" t="str">
        <f aca="false">IF(A1126="","",IF(J1126="","",IFERROR(360/J1126,"")))</f>
        <v/>
      </c>
      <c r="AA1126" s="5" t="str">
        <f aca="false">IF(A1126="","",IF(H1126=0,"Parado (sem venda 90d)",IF(Z1126&gt;12,"Alto (&gt;12x/ano)",IF(Z1126&gt;=4,"Medio (4-12x/ano)","Baixo (&lt;4x/ano)"))))</f>
        <v/>
      </c>
    </row>
    <row r="1127" customFormat="false" ht="15" hidden="false" customHeight="true" outlineLevel="0" collapsed="false">
      <c r="A1127" s="6"/>
      <c r="B1127" s="6"/>
      <c r="C1127" s="6"/>
      <c r="D1127" s="6"/>
      <c r="E1127" s="6"/>
      <c r="F1127" s="6"/>
      <c r="G1127" s="6"/>
      <c r="H1127" s="6"/>
      <c r="I1127" s="6"/>
      <c r="J1127" s="6"/>
      <c r="K1127" s="18"/>
      <c r="L1127" s="19" t="str">
        <f aca="false">IF(A1127="","",G1127*K1127)</f>
        <v/>
      </c>
      <c r="M1127" s="20"/>
      <c r="N1127" s="6"/>
      <c r="O1127" s="6"/>
      <c r="P1127" s="5" t="str">
        <f aca="false">IF(A1127="","",H1127/90)</f>
        <v/>
      </c>
      <c r="Q1127" s="5" t="str">
        <f aca="false">IF(A1127="","",IFERROR(INDEX(Parâmetros!$C$6:$C$10,MATCH(F1127,Parâmetros!$B$6:$B$10,0)),""))</f>
        <v/>
      </c>
      <c r="R1127" s="5" t="str">
        <f aca="false">IF(OR(A1127="",P1127="",Q1127=""),"",P1127*Q1127)</f>
        <v/>
      </c>
      <c r="S1127" s="5" t="str">
        <f aca="false">IF(R1127="","",MAX(0,R1127-G1127))</f>
        <v/>
      </c>
      <c r="T1127" s="21" t="str">
        <f aca="false">IF(S1127="","",S1127*K1127)</f>
        <v/>
      </c>
      <c r="U1127" s="5" t="str">
        <f aca="false">IF(A1127="","",IF(J1127&gt;Parâmetros!$C$14,"SIM","NAO"))</f>
        <v/>
      </c>
      <c r="V1127" s="5" t="str">
        <f aca="false">IF(B1127="","",TRIM(LEFT(B1127,IFERROR(FIND(" ",B1127)-1,LEN(B1127)))))</f>
        <v/>
      </c>
      <c r="W1127" s="22"/>
      <c r="X1127" s="5" t="str">
        <f aca="false">IF(A1127="","",IF(W1127&lt;&gt;"",W1127,V1127))</f>
        <v/>
      </c>
      <c r="Y1127" s="5" t="str">
        <f aca="false">IF(A1127="","",IF(COUNTIFS($X$2:$X$2001,X1127,$D$2:$D$2001,"&lt;&gt;"&amp;D1127,$C$2:$C$2001,C1127)&gt;0,"SIM","NAO"))</f>
        <v/>
      </c>
      <c r="Z1127" s="5" t="str">
        <f aca="false">IF(A1127="","",IF(J1127="","",IFERROR(360/J1127,"")))</f>
        <v/>
      </c>
      <c r="AA1127" s="5" t="str">
        <f aca="false">IF(A1127="","",IF(H1127=0,"Parado (sem venda 90d)",IF(Z1127&gt;12,"Alto (&gt;12x/ano)",IF(Z1127&gt;=4,"Medio (4-12x/ano)","Baixo (&lt;4x/ano)"))))</f>
        <v/>
      </c>
    </row>
    <row r="1128" customFormat="false" ht="15" hidden="false" customHeight="true" outlineLevel="0" collapsed="false">
      <c r="A1128" s="6"/>
      <c r="B1128" s="6"/>
      <c r="C1128" s="6"/>
      <c r="D1128" s="6"/>
      <c r="E1128" s="6"/>
      <c r="F1128" s="6"/>
      <c r="G1128" s="6"/>
      <c r="H1128" s="6"/>
      <c r="I1128" s="6"/>
      <c r="J1128" s="6"/>
      <c r="K1128" s="18"/>
      <c r="L1128" s="19" t="str">
        <f aca="false">IF(A1128="","",G1128*K1128)</f>
        <v/>
      </c>
      <c r="M1128" s="20"/>
      <c r="N1128" s="6"/>
      <c r="O1128" s="6"/>
      <c r="P1128" s="5" t="str">
        <f aca="false">IF(A1128="","",H1128/90)</f>
        <v/>
      </c>
      <c r="Q1128" s="5" t="str">
        <f aca="false">IF(A1128="","",IFERROR(INDEX(Parâmetros!$C$6:$C$10,MATCH(F1128,Parâmetros!$B$6:$B$10,0)),""))</f>
        <v/>
      </c>
      <c r="R1128" s="5" t="str">
        <f aca="false">IF(OR(A1128="",P1128="",Q1128=""),"",P1128*Q1128)</f>
        <v/>
      </c>
      <c r="S1128" s="5" t="str">
        <f aca="false">IF(R1128="","",MAX(0,R1128-G1128))</f>
        <v/>
      </c>
      <c r="T1128" s="21" t="str">
        <f aca="false">IF(S1128="","",S1128*K1128)</f>
        <v/>
      </c>
      <c r="U1128" s="5" t="str">
        <f aca="false">IF(A1128="","",IF(J1128&gt;Parâmetros!$C$14,"SIM","NAO"))</f>
        <v/>
      </c>
      <c r="V1128" s="5" t="str">
        <f aca="false">IF(B1128="","",TRIM(LEFT(B1128,IFERROR(FIND(" ",B1128)-1,LEN(B1128)))))</f>
        <v/>
      </c>
      <c r="W1128" s="22"/>
      <c r="X1128" s="5" t="str">
        <f aca="false">IF(A1128="","",IF(W1128&lt;&gt;"",W1128,V1128))</f>
        <v/>
      </c>
      <c r="Y1128" s="5" t="str">
        <f aca="false">IF(A1128="","",IF(COUNTIFS($X$2:$X$2001,X1128,$D$2:$D$2001,"&lt;&gt;"&amp;D1128,$C$2:$C$2001,C1128)&gt;0,"SIM","NAO"))</f>
        <v/>
      </c>
      <c r="Z1128" s="5" t="str">
        <f aca="false">IF(A1128="","",IF(J1128="","",IFERROR(360/J1128,"")))</f>
        <v/>
      </c>
      <c r="AA1128" s="5" t="str">
        <f aca="false">IF(A1128="","",IF(H1128=0,"Parado (sem venda 90d)",IF(Z1128&gt;12,"Alto (&gt;12x/ano)",IF(Z1128&gt;=4,"Medio (4-12x/ano)","Baixo (&lt;4x/ano)"))))</f>
        <v/>
      </c>
    </row>
    <row r="1129" customFormat="false" ht="15" hidden="false" customHeight="true" outlineLevel="0" collapsed="false">
      <c r="A1129" s="6"/>
      <c r="B1129" s="6"/>
      <c r="C1129" s="6"/>
      <c r="D1129" s="6"/>
      <c r="E1129" s="6"/>
      <c r="F1129" s="6"/>
      <c r="G1129" s="6"/>
      <c r="H1129" s="6"/>
      <c r="I1129" s="6"/>
      <c r="J1129" s="6"/>
      <c r="K1129" s="18"/>
      <c r="L1129" s="19" t="str">
        <f aca="false">IF(A1129="","",G1129*K1129)</f>
        <v/>
      </c>
      <c r="M1129" s="20"/>
      <c r="N1129" s="6"/>
      <c r="O1129" s="6"/>
      <c r="P1129" s="5" t="str">
        <f aca="false">IF(A1129="","",H1129/90)</f>
        <v/>
      </c>
      <c r="Q1129" s="5" t="str">
        <f aca="false">IF(A1129="","",IFERROR(INDEX(Parâmetros!$C$6:$C$10,MATCH(F1129,Parâmetros!$B$6:$B$10,0)),""))</f>
        <v/>
      </c>
      <c r="R1129" s="5" t="str">
        <f aca="false">IF(OR(A1129="",P1129="",Q1129=""),"",P1129*Q1129)</f>
        <v/>
      </c>
      <c r="S1129" s="5" t="str">
        <f aca="false">IF(R1129="","",MAX(0,R1129-G1129))</f>
        <v/>
      </c>
      <c r="T1129" s="21" t="str">
        <f aca="false">IF(S1129="","",S1129*K1129)</f>
        <v/>
      </c>
      <c r="U1129" s="5" t="str">
        <f aca="false">IF(A1129="","",IF(J1129&gt;Parâmetros!$C$14,"SIM","NAO"))</f>
        <v/>
      </c>
      <c r="V1129" s="5" t="str">
        <f aca="false">IF(B1129="","",TRIM(LEFT(B1129,IFERROR(FIND(" ",B1129)-1,LEN(B1129)))))</f>
        <v/>
      </c>
      <c r="W1129" s="22"/>
      <c r="X1129" s="5" t="str">
        <f aca="false">IF(A1129="","",IF(W1129&lt;&gt;"",W1129,V1129))</f>
        <v/>
      </c>
      <c r="Y1129" s="5" t="str">
        <f aca="false">IF(A1129="","",IF(COUNTIFS($X$2:$X$2001,X1129,$D$2:$D$2001,"&lt;&gt;"&amp;D1129,$C$2:$C$2001,C1129)&gt;0,"SIM","NAO"))</f>
        <v/>
      </c>
      <c r="Z1129" s="5" t="str">
        <f aca="false">IF(A1129="","",IF(J1129="","",IFERROR(360/J1129,"")))</f>
        <v/>
      </c>
      <c r="AA1129" s="5" t="str">
        <f aca="false">IF(A1129="","",IF(H1129=0,"Parado (sem venda 90d)",IF(Z1129&gt;12,"Alto (&gt;12x/ano)",IF(Z1129&gt;=4,"Medio (4-12x/ano)","Baixo (&lt;4x/ano)"))))</f>
        <v/>
      </c>
    </row>
    <row r="1130" customFormat="false" ht="15" hidden="false" customHeight="true" outlineLevel="0" collapsed="false">
      <c r="A1130" s="6"/>
      <c r="B1130" s="6"/>
      <c r="C1130" s="6"/>
      <c r="D1130" s="6"/>
      <c r="E1130" s="6"/>
      <c r="F1130" s="6"/>
      <c r="G1130" s="6"/>
      <c r="H1130" s="6"/>
      <c r="I1130" s="6"/>
      <c r="J1130" s="6"/>
      <c r="K1130" s="18"/>
      <c r="L1130" s="19" t="str">
        <f aca="false">IF(A1130="","",G1130*K1130)</f>
        <v/>
      </c>
      <c r="M1130" s="20"/>
      <c r="N1130" s="6"/>
      <c r="O1130" s="6"/>
      <c r="P1130" s="5" t="str">
        <f aca="false">IF(A1130="","",H1130/90)</f>
        <v/>
      </c>
      <c r="Q1130" s="5" t="str">
        <f aca="false">IF(A1130="","",IFERROR(INDEX(Parâmetros!$C$6:$C$10,MATCH(F1130,Parâmetros!$B$6:$B$10,0)),""))</f>
        <v/>
      </c>
      <c r="R1130" s="5" t="str">
        <f aca="false">IF(OR(A1130="",P1130="",Q1130=""),"",P1130*Q1130)</f>
        <v/>
      </c>
      <c r="S1130" s="5" t="str">
        <f aca="false">IF(R1130="","",MAX(0,R1130-G1130))</f>
        <v/>
      </c>
      <c r="T1130" s="21" t="str">
        <f aca="false">IF(S1130="","",S1130*K1130)</f>
        <v/>
      </c>
      <c r="U1130" s="5" t="str">
        <f aca="false">IF(A1130="","",IF(J1130&gt;Parâmetros!$C$14,"SIM","NAO"))</f>
        <v/>
      </c>
      <c r="V1130" s="5" t="str">
        <f aca="false">IF(B1130="","",TRIM(LEFT(B1130,IFERROR(FIND(" ",B1130)-1,LEN(B1130)))))</f>
        <v/>
      </c>
      <c r="W1130" s="22"/>
      <c r="X1130" s="5" t="str">
        <f aca="false">IF(A1130="","",IF(W1130&lt;&gt;"",W1130,V1130))</f>
        <v/>
      </c>
      <c r="Y1130" s="5" t="str">
        <f aca="false">IF(A1130="","",IF(COUNTIFS($X$2:$X$2001,X1130,$D$2:$D$2001,"&lt;&gt;"&amp;D1130,$C$2:$C$2001,C1130)&gt;0,"SIM","NAO"))</f>
        <v/>
      </c>
      <c r="Z1130" s="5" t="str">
        <f aca="false">IF(A1130="","",IF(J1130="","",IFERROR(360/J1130,"")))</f>
        <v/>
      </c>
      <c r="AA1130" s="5" t="str">
        <f aca="false">IF(A1130="","",IF(H1130=0,"Parado (sem venda 90d)",IF(Z1130&gt;12,"Alto (&gt;12x/ano)",IF(Z1130&gt;=4,"Medio (4-12x/ano)","Baixo (&lt;4x/ano)"))))</f>
        <v/>
      </c>
    </row>
    <row r="1131" customFormat="false" ht="15" hidden="false" customHeight="true" outlineLevel="0" collapsed="false">
      <c r="A1131" s="6"/>
      <c r="B1131" s="6"/>
      <c r="C1131" s="6"/>
      <c r="D1131" s="6"/>
      <c r="E1131" s="6"/>
      <c r="F1131" s="6"/>
      <c r="G1131" s="6"/>
      <c r="H1131" s="6"/>
      <c r="I1131" s="6"/>
      <c r="J1131" s="6"/>
      <c r="K1131" s="18"/>
      <c r="L1131" s="19" t="str">
        <f aca="false">IF(A1131="","",G1131*K1131)</f>
        <v/>
      </c>
      <c r="M1131" s="20"/>
      <c r="N1131" s="6"/>
      <c r="O1131" s="6"/>
      <c r="P1131" s="5" t="str">
        <f aca="false">IF(A1131="","",H1131/90)</f>
        <v/>
      </c>
      <c r="Q1131" s="5" t="str">
        <f aca="false">IF(A1131="","",IFERROR(INDEX(Parâmetros!$C$6:$C$10,MATCH(F1131,Parâmetros!$B$6:$B$10,0)),""))</f>
        <v/>
      </c>
      <c r="R1131" s="5" t="str">
        <f aca="false">IF(OR(A1131="",P1131="",Q1131=""),"",P1131*Q1131)</f>
        <v/>
      </c>
      <c r="S1131" s="5" t="str">
        <f aca="false">IF(R1131="","",MAX(0,R1131-G1131))</f>
        <v/>
      </c>
      <c r="T1131" s="21" t="str">
        <f aca="false">IF(S1131="","",S1131*K1131)</f>
        <v/>
      </c>
      <c r="U1131" s="5" t="str">
        <f aca="false">IF(A1131="","",IF(J1131&gt;Parâmetros!$C$14,"SIM","NAO"))</f>
        <v/>
      </c>
      <c r="V1131" s="5" t="str">
        <f aca="false">IF(B1131="","",TRIM(LEFT(B1131,IFERROR(FIND(" ",B1131)-1,LEN(B1131)))))</f>
        <v/>
      </c>
      <c r="W1131" s="22"/>
      <c r="X1131" s="5" t="str">
        <f aca="false">IF(A1131="","",IF(W1131&lt;&gt;"",W1131,V1131))</f>
        <v/>
      </c>
      <c r="Y1131" s="5" t="str">
        <f aca="false">IF(A1131="","",IF(COUNTIFS($X$2:$X$2001,X1131,$D$2:$D$2001,"&lt;&gt;"&amp;D1131,$C$2:$C$2001,C1131)&gt;0,"SIM","NAO"))</f>
        <v/>
      </c>
      <c r="Z1131" s="5" t="str">
        <f aca="false">IF(A1131="","",IF(J1131="","",IFERROR(360/J1131,"")))</f>
        <v/>
      </c>
      <c r="AA1131" s="5" t="str">
        <f aca="false">IF(A1131="","",IF(H1131=0,"Parado (sem venda 90d)",IF(Z1131&gt;12,"Alto (&gt;12x/ano)",IF(Z1131&gt;=4,"Medio (4-12x/ano)","Baixo (&lt;4x/ano)"))))</f>
        <v/>
      </c>
    </row>
    <row r="1132" customFormat="false" ht="15" hidden="false" customHeight="true" outlineLevel="0" collapsed="false">
      <c r="A1132" s="6"/>
      <c r="B1132" s="6"/>
      <c r="C1132" s="6"/>
      <c r="D1132" s="6"/>
      <c r="E1132" s="6"/>
      <c r="F1132" s="6"/>
      <c r="G1132" s="6"/>
      <c r="H1132" s="6"/>
      <c r="I1132" s="6"/>
      <c r="J1132" s="6"/>
      <c r="K1132" s="18"/>
      <c r="L1132" s="19" t="str">
        <f aca="false">IF(A1132="","",G1132*K1132)</f>
        <v/>
      </c>
      <c r="M1132" s="20"/>
      <c r="N1132" s="6"/>
      <c r="O1132" s="6"/>
      <c r="P1132" s="5" t="str">
        <f aca="false">IF(A1132="","",H1132/90)</f>
        <v/>
      </c>
      <c r="Q1132" s="5" t="str">
        <f aca="false">IF(A1132="","",IFERROR(INDEX(Parâmetros!$C$6:$C$10,MATCH(F1132,Parâmetros!$B$6:$B$10,0)),""))</f>
        <v/>
      </c>
      <c r="R1132" s="5" t="str">
        <f aca="false">IF(OR(A1132="",P1132="",Q1132=""),"",P1132*Q1132)</f>
        <v/>
      </c>
      <c r="S1132" s="5" t="str">
        <f aca="false">IF(R1132="","",MAX(0,R1132-G1132))</f>
        <v/>
      </c>
      <c r="T1132" s="21" t="str">
        <f aca="false">IF(S1132="","",S1132*K1132)</f>
        <v/>
      </c>
      <c r="U1132" s="5" t="str">
        <f aca="false">IF(A1132="","",IF(J1132&gt;Parâmetros!$C$14,"SIM","NAO"))</f>
        <v/>
      </c>
      <c r="V1132" s="5" t="str">
        <f aca="false">IF(B1132="","",TRIM(LEFT(B1132,IFERROR(FIND(" ",B1132)-1,LEN(B1132)))))</f>
        <v/>
      </c>
      <c r="W1132" s="22"/>
      <c r="X1132" s="5" t="str">
        <f aca="false">IF(A1132="","",IF(W1132&lt;&gt;"",W1132,V1132))</f>
        <v/>
      </c>
      <c r="Y1132" s="5" t="str">
        <f aca="false">IF(A1132="","",IF(COUNTIFS($X$2:$X$2001,X1132,$D$2:$D$2001,"&lt;&gt;"&amp;D1132,$C$2:$C$2001,C1132)&gt;0,"SIM","NAO"))</f>
        <v/>
      </c>
      <c r="Z1132" s="5" t="str">
        <f aca="false">IF(A1132="","",IF(J1132="","",IFERROR(360/J1132,"")))</f>
        <v/>
      </c>
      <c r="AA1132" s="5" t="str">
        <f aca="false">IF(A1132="","",IF(H1132=0,"Parado (sem venda 90d)",IF(Z1132&gt;12,"Alto (&gt;12x/ano)",IF(Z1132&gt;=4,"Medio (4-12x/ano)","Baixo (&lt;4x/ano)"))))</f>
        <v/>
      </c>
    </row>
    <row r="1133" customFormat="false" ht="15" hidden="false" customHeight="true" outlineLevel="0" collapsed="false">
      <c r="A1133" s="6"/>
      <c r="B1133" s="6"/>
      <c r="C1133" s="6"/>
      <c r="D1133" s="6"/>
      <c r="E1133" s="6"/>
      <c r="F1133" s="6"/>
      <c r="G1133" s="6"/>
      <c r="H1133" s="6"/>
      <c r="I1133" s="6"/>
      <c r="J1133" s="6"/>
      <c r="K1133" s="18"/>
      <c r="L1133" s="19" t="str">
        <f aca="false">IF(A1133="","",G1133*K1133)</f>
        <v/>
      </c>
      <c r="M1133" s="20"/>
      <c r="N1133" s="6"/>
      <c r="O1133" s="6"/>
      <c r="P1133" s="5" t="str">
        <f aca="false">IF(A1133="","",H1133/90)</f>
        <v/>
      </c>
      <c r="Q1133" s="5" t="str">
        <f aca="false">IF(A1133="","",IFERROR(INDEX(Parâmetros!$C$6:$C$10,MATCH(F1133,Parâmetros!$B$6:$B$10,0)),""))</f>
        <v/>
      </c>
      <c r="R1133" s="5" t="str">
        <f aca="false">IF(OR(A1133="",P1133="",Q1133=""),"",P1133*Q1133)</f>
        <v/>
      </c>
      <c r="S1133" s="5" t="str">
        <f aca="false">IF(R1133="","",MAX(0,R1133-G1133))</f>
        <v/>
      </c>
      <c r="T1133" s="21" t="str">
        <f aca="false">IF(S1133="","",S1133*K1133)</f>
        <v/>
      </c>
      <c r="U1133" s="5" t="str">
        <f aca="false">IF(A1133="","",IF(J1133&gt;Parâmetros!$C$14,"SIM","NAO"))</f>
        <v/>
      </c>
      <c r="V1133" s="5" t="str">
        <f aca="false">IF(B1133="","",TRIM(LEFT(B1133,IFERROR(FIND(" ",B1133)-1,LEN(B1133)))))</f>
        <v/>
      </c>
      <c r="W1133" s="22"/>
      <c r="X1133" s="5" t="str">
        <f aca="false">IF(A1133="","",IF(W1133&lt;&gt;"",W1133,V1133))</f>
        <v/>
      </c>
      <c r="Y1133" s="5" t="str">
        <f aca="false">IF(A1133="","",IF(COUNTIFS($X$2:$X$2001,X1133,$D$2:$D$2001,"&lt;&gt;"&amp;D1133,$C$2:$C$2001,C1133)&gt;0,"SIM","NAO"))</f>
        <v/>
      </c>
      <c r="Z1133" s="5" t="str">
        <f aca="false">IF(A1133="","",IF(J1133="","",IFERROR(360/J1133,"")))</f>
        <v/>
      </c>
      <c r="AA1133" s="5" t="str">
        <f aca="false">IF(A1133="","",IF(H1133=0,"Parado (sem venda 90d)",IF(Z1133&gt;12,"Alto (&gt;12x/ano)",IF(Z1133&gt;=4,"Medio (4-12x/ano)","Baixo (&lt;4x/ano)"))))</f>
        <v/>
      </c>
    </row>
    <row r="1134" customFormat="false" ht="15" hidden="false" customHeight="true" outlineLevel="0" collapsed="false">
      <c r="A1134" s="6"/>
      <c r="B1134" s="6"/>
      <c r="C1134" s="6"/>
      <c r="D1134" s="6"/>
      <c r="E1134" s="6"/>
      <c r="F1134" s="6"/>
      <c r="G1134" s="6"/>
      <c r="H1134" s="6"/>
      <c r="I1134" s="6"/>
      <c r="J1134" s="6"/>
      <c r="K1134" s="18"/>
      <c r="L1134" s="19" t="str">
        <f aca="false">IF(A1134="","",G1134*K1134)</f>
        <v/>
      </c>
      <c r="M1134" s="20"/>
      <c r="N1134" s="6"/>
      <c r="O1134" s="6"/>
      <c r="P1134" s="5" t="str">
        <f aca="false">IF(A1134="","",H1134/90)</f>
        <v/>
      </c>
      <c r="Q1134" s="5" t="str">
        <f aca="false">IF(A1134="","",IFERROR(INDEX(Parâmetros!$C$6:$C$10,MATCH(F1134,Parâmetros!$B$6:$B$10,0)),""))</f>
        <v/>
      </c>
      <c r="R1134" s="5" t="str">
        <f aca="false">IF(OR(A1134="",P1134="",Q1134=""),"",P1134*Q1134)</f>
        <v/>
      </c>
      <c r="S1134" s="5" t="str">
        <f aca="false">IF(R1134="","",MAX(0,R1134-G1134))</f>
        <v/>
      </c>
      <c r="T1134" s="21" t="str">
        <f aca="false">IF(S1134="","",S1134*K1134)</f>
        <v/>
      </c>
      <c r="U1134" s="5" t="str">
        <f aca="false">IF(A1134="","",IF(J1134&gt;Parâmetros!$C$14,"SIM","NAO"))</f>
        <v/>
      </c>
      <c r="V1134" s="5" t="str">
        <f aca="false">IF(B1134="","",TRIM(LEFT(B1134,IFERROR(FIND(" ",B1134)-1,LEN(B1134)))))</f>
        <v/>
      </c>
      <c r="W1134" s="22"/>
      <c r="X1134" s="5" t="str">
        <f aca="false">IF(A1134="","",IF(W1134&lt;&gt;"",W1134,V1134))</f>
        <v/>
      </c>
      <c r="Y1134" s="5" t="str">
        <f aca="false">IF(A1134="","",IF(COUNTIFS($X$2:$X$2001,X1134,$D$2:$D$2001,"&lt;&gt;"&amp;D1134,$C$2:$C$2001,C1134)&gt;0,"SIM","NAO"))</f>
        <v/>
      </c>
      <c r="Z1134" s="5" t="str">
        <f aca="false">IF(A1134="","",IF(J1134="","",IFERROR(360/J1134,"")))</f>
        <v/>
      </c>
      <c r="AA1134" s="5" t="str">
        <f aca="false">IF(A1134="","",IF(H1134=0,"Parado (sem venda 90d)",IF(Z1134&gt;12,"Alto (&gt;12x/ano)",IF(Z1134&gt;=4,"Medio (4-12x/ano)","Baixo (&lt;4x/ano)"))))</f>
        <v/>
      </c>
    </row>
    <row r="1135" customFormat="false" ht="15" hidden="false" customHeight="true" outlineLevel="0" collapsed="false">
      <c r="A1135" s="6"/>
      <c r="B1135" s="6"/>
      <c r="C1135" s="6"/>
      <c r="D1135" s="6"/>
      <c r="E1135" s="6"/>
      <c r="F1135" s="6"/>
      <c r="G1135" s="6"/>
      <c r="H1135" s="6"/>
      <c r="I1135" s="6"/>
      <c r="J1135" s="6"/>
      <c r="K1135" s="18"/>
      <c r="L1135" s="19" t="str">
        <f aca="false">IF(A1135="","",G1135*K1135)</f>
        <v/>
      </c>
      <c r="M1135" s="20"/>
      <c r="N1135" s="6"/>
      <c r="O1135" s="6"/>
      <c r="P1135" s="5" t="str">
        <f aca="false">IF(A1135="","",H1135/90)</f>
        <v/>
      </c>
      <c r="Q1135" s="5" t="str">
        <f aca="false">IF(A1135="","",IFERROR(INDEX(Parâmetros!$C$6:$C$10,MATCH(F1135,Parâmetros!$B$6:$B$10,0)),""))</f>
        <v/>
      </c>
      <c r="R1135" s="5" t="str">
        <f aca="false">IF(OR(A1135="",P1135="",Q1135=""),"",P1135*Q1135)</f>
        <v/>
      </c>
      <c r="S1135" s="5" t="str">
        <f aca="false">IF(R1135="","",MAX(0,R1135-G1135))</f>
        <v/>
      </c>
      <c r="T1135" s="21" t="str">
        <f aca="false">IF(S1135="","",S1135*K1135)</f>
        <v/>
      </c>
      <c r="U1135" s="5" t="str">
        <f aca="false">IF(A1135="","",IF(J1135&gt;Parâmetros!$C$14,"SIM","NAO"))</f>
        <v/>
      </c>
      <c r="V1135" s="5" t="str">
        <f aca="false">IF(B1135="","",TRIM(LEFT(B1135,IFERROR(FIND(" ",B1135)-1,LEN(B1135)))))</f>
        <v/>
      </c>
      <c r="W1135" s="22"/>
      <c r="X1135" s="5" t="str">
        <f aca="false">IF(A1135="","",IF(W1135&lt;&gt;"",W1135,V1135))</f>
        <v/>
      </c>
      <c r="Y1135" s="5" t="str">
        <f aca="false">IF(A1135="","",IF(COUNTIFS($X$2:$X$2001,X1135,$D$2:$D$2001,"&lt;&gt;"&amp;D1135,$C$2:$C$2001,C1135)&gt;0,"SIM","NAO"))</f>
        <v/>
      </c>
      <c r="Z1135" s="5" t="str">
        <f aca="false">IF(A1135="","",IF(J1135="","",IFERROR(360/J1135,"")))</f>
        <v/>
      </c>
      <c r="AA1135" s="5" t="str">
        <f aca="false">IF(A1135="","",IF(H1135=0,"Parado (sem venda 90d)",IF(Z1135&gt;12,"Alto (&gt;12x/ano)",IF(Z1135&gt;=4,"Medio (4-12x/ano)","Baixo (&lt;4x/ano)"))))</f>
        <v/>
      </c>
    </row>
    <row r="1136" customFormat="false" ht="15" hidden="false" customHeight="true" outlineLevel="0" collapsed="false">
      <c r="A1136" s="6"/>
      <c r="B1136" s="6"/>
      <c r="C1136" s="6"/>
      <c r="D1136" s="6"/>
      <c r="E1136" s="6"/>
      <c r="F1136" s="6"/>
      <c r="G1136" s="6"/>
      <c r="H1136" s="6"/>
      <c r="I1136" s="6"/>
      <c r="J1136" s="6"/>
      <c r="K1136" s="18"/>
      <c r="L1136" s="19" t="str">
        <f aca="false">IF(A1136="","",G1136*K1136)</f>
        <v/>
      </c>
      <c r="M1136" s="20"/>
      <c r="N1136" s="6"/>
      <c r="O1136" s="6"/>
      <c r="P1136" s="5" t="str">
        <f aca="false">IF(A1136="","",H1136/90)</f>
        <v/>
      </c>
      <c r="Q1136" s="5" t="str">
        <f aca="false">IF(A1136="","",IFERROR(INDEX(Parâmetros!$C$6:$C$10,MATCH(F1136,Parâmetros!$B$6:$B$10,0)),""))</f>
        <v/>
      </c>
      <c r="R1136" s="5" t="str">
        <f aca="false">IF(OR(A1136="",P1136="",Q1136=""),"",P1136*Q1136)</f>
        <v/>
      </c>
      <c r="S1136" s="5" t="str">
        <f aca="false">IF(R1136="","",MAX(0,R1136-G1136))</f>
        <v/>
      </c>
      <c r="T1136" s="21" t="str">
        <f aca="false">IF(S1136="","",S1136*K1136)</f>
        <v/>
      </c>
      <c r="U1136" s="5" t="str">
        <f aca="false">IF(A1136="","",IF(J1136&gt;Parâmetros!$C$14,"SIM","NAO"))</f>
        <v/>
      </c>
      <c r="V1136" s="5" t="str">
        <f aca="false">IF(B1136="","",TRIM(LEFT(B1136,IFERROR(FIND(" ",B1136)-1,LEN(B1136)))))</f>
        <v/>
      </c>
      <c r="W1136" s="22"/>
      <c r="X1136" s="5" t="str">
        <f aca="false">IF(A1136="","",IF(W1136&lt;&gt;"",W1136,V1136))</f>
        <v/>
      </c>
      <c r="Y1136" s="5" t="str">
        <f aca="false">IF(A1136="","",IF(COUNTIFS($X$2:$X$2001,X1136,$D$2:$D$2001,"&lt;&gt;"&amp;D1136,$C$2:$C$2001,C1136)&gt;0,"SIM","NAO"))</f>
        <v/>
      </c>
      <c r="Z1136" s="5" t="str">
        <f aca="false">IF(A1136="","",IF(J1136="","",IFERROR(360/J1136,"")))</f>
        <v/>
      </c>
      <c r="AA1136" s="5" t="str">
        <f aca="false">IF(A1136="","",IF(H1136=0,"Parado (sem venda 90d)",IF(Z1136&gt;12,"Alto (&gt;12x/ano)",IF(Z1136&gt;=4,"Medio (4-12x/ano)","Baixo (&lt;4x/ano)"))))</f>
        <v/>
      </c>
    </row>
    <row r="1137" customFormat="false" ht="15" hidden="false" customHeight="true" outlineLevel="0" collapsed="false">
      <c r="A1137" s="6"/>
      <c r="B1137" s="6"/>
      <c r="C1137" s="6"/>
      <c r="D1137" s="6"/>
      <c r="E1137" s="6"/>
      <c r="F1137" s="6"/>
      <c r="G1137" s="6"/>
      <c r="H1137" s="6"/>
      <c r="I1137" s="6"/>
      <c r="J1137" s="6"/>
      <c r="K1137" s="18"/>
      <c r="L1137" s="19" t="str">
        <f aca="false">IF(A1137="","",G1137*K1137)</f>
        <v/>
      </c>
      <c r="M1137" s="20"/>
      <c r="N1137" s="6"/>
      <c r="O1137" s="6"/>
      <c r="P1137" s="5" t="str">
        <f aca="false">IF(A1137="","",H1137/90)</f>
        <v/>
      </c>
      <c r="Q1137" s="5" t="str">
        <f aca="false">IF(A1137="","",IFERROR(INDEX(Parâmetros!$C$6:$C$10,MATCH(F1137,Parâmetros!$B$6:$B$10,0)),""))</f>
        <v/>
      </c>
      <c r="R1137" s="5" t="str">
        <f aca="false">IF(OR(A1137="",P1137="",Q1137=""),"",P1137*Q1137)</f>
        <v/>
      </c>
      <c r="S1137" s="5" t="str">
        <f aca="false">IF(R1137="","",MAX(0,R1137-G1137))</f>
        <v/>
      </c>
      <c r="T1137" s="21" t="str">
        <f aca="false">IF(S1137="","",S1137*K1137)</f>
        <v/>
      </c>
      <c r="U1137" s="5" t="str">
        <f aca="false">IF(A1137="","",IF(J1137&gt;Parâmetros!$C$14,"SIM","NAO"))</f>
        <v/>
      </c>
      <c r="V1137" s="5" t="str">
        <f aca="false">IF(B1137="","",TRIM(LEFT(B1137,IFERROR(FIND(" ",B1137)-1,LEN(B1137)))))</f>
        <v/>
      </c>
      <c r="W1137" s="22"/>
      <c r="X1137" s="5" t="str">
        <f aca="false">IF(A1137="","",IF(W1137&lt;&gt;"",W1137,V1137))</f>
        <v/>
      </c>
      <c r="Y1137" s="5" t="str">
        <f aca="false">IF(A1137="","",IF(COUNTIFS($X$2:$X$2001,X1137,$D$2:$D$2001,"&lt;&gt;"&amp;D1137,$C$2:$C$2001,C1137)&gt;0,"SIM","NAO"))</f>
        <v/>
      </c>
      <c r="Z1137" s="5" t="str">
        <f aca="false">IF(A1137="","",IF(J1137="","",IFERROR(360/J1137,"")))</f>
        <v/>
      </c>
      <c r="AA1137" s="5" t="str">
        <f aca="false">IF(A1137="","",IF(H1137=0,"Parado (sem venda 90d)",IF(Z1137&gt;12,"Alto (&gt;12x/ano)",IF(Z1137&gt;=4,"Medio (4-12x/ano)","Baixo (&lt;4x/ano)"))))</f>
        <v/>
      </c>
    </row>
    <row r="1138" customFormat="false" ht="15" hidden="false" customHeight="true" outlineLevel="0" collapsed="false">
      <c r="A1138" s="6"/>
      <c r="B1138" s="6"/>
      <c r="C1138" s="6"/>
      <c r="D1138" s="6"/>
      <c r="E1138" s="6"/>
      <c r="F1138" s="6"/>
      <c r="G1138" s="6"/>
      <c r="H1138" s="6"/>
      <c r="I1138" s="6"/>
      <c r="J1138" s="6"/>
      <c r="K1138" s="18"/>
      <c r="L1138" s="19" t="str">
        <f aca="false">IF(A1138="","",G1138*K1138)</f>
        <v/>
      </c>
      <c r="M1138" s="20"/>
      <c r="N1138" s="6"/>
      <c r="O1138" s="6"/>
      <c r="P1138" s="5" t="str">
        <f aca="false">IF(A1138="","",H1138/90)</f>
        <v/>
      </c>
      <c r="Q1138" s="5" t="str">
        <f aca="false">IF(A1138="","",IFERROR(INDEX(Parâmetros!$C$6:$C$10,MATCH(F1138,Parâmetros!$B$6:$B$10,0)),""))</f>
        <v/>
      </c>
      <c r="R1138" s="5" t="str">
        <f aca="false">IF(OR(A1138="",P1138="",Q1138=""),"",P1138*Q1138)</f>
        <v/>
      </c>
      <c r="S1138" s="5" t="str">
        <f aca="false">IF(R1138="","",MAX(0,R1138-G1138))</f>
        <v/>
      </c>
      <c r="T1138" s="21" t="str">
        <f aca="false">IF(S1138="","",S1138*K1138)</f>
        <v/>
      </c>
      <c r="U1138" s="5" t="str">
        <f aca="false">IF(A1138="","",IF(J1138&gt;Parâmetros!$C$14,"SIM","NAO"))</f>
        <v/>
      </c>
      <c r="V1138" s="5" t="str">
        <f aca="false">IF(B1138="","",TRIM(LEFT(B1138,IFERROR(FIND(" ",B1138)-1,LEN(B1138)))))</f>
        <v/>
      </c>
      <c r="W1138" s="22"/>
      <c r="X1138" s="5" t="str">
        <f aca="false">IF(A1138="","",IF(W1138&lt;&gt;"",W1138,V1138))</f>
        <v/>
      </c>
      <c r="Y1138" s="5" t="str">
        <f aca="false">IF(A1138="","",IF(COUNTIFS($X$2:$X$2001,X1138,$D$2:$D$2001,"&lt;&gt;"&amp;D1138,$C$2:$C$2001,C1138)&gt;0,"SIM","NAO"))</f>
        <v/>
      </c>
      <c r="Z1138" s="5" t="str">
        <f aca="false">IF(A1138="","",IF(J1138="","",IFERROR(360/J1138,"")))</f>
        <v/>
      </c>
      <c r="AA1138" s="5" t="str">
        <f aca="false">IF(A1138="","",IF(H1138=0,"Parado (sem venda 90d)",IF(Z1138&gt;12,"Alto (&gt;12x/ano)",IF(Z1138&gt;=4,"Medio (4-12x/ano)","Baixo (&lt;4x/ano)"))))</f>
        <v/>
      </c>
    </row>
    <row r="1139" customFormat="false" ht="15" hidden="false" customHeight="true" outlineLevel="0" collapsed="false">
      <c r="A1139" s="6"/>
      <c r="B1139" s="6"/>
      <c r="C1139" s="6"/>
      <c r="D1139" s="6"/>
      <c r="E1139" s="6"/>
      <c r="F1139" s="6"/>
      <c r="G1139" s="6"/>
      <c r="H1139" s="6"/>
      <c r="I1139" s="6"/>
      <c r="J1139" s="6"/>
      <c r="K1139" s="18"/>
      <c r="L1139" s="19" t="str">
        <f aca="false">IF(A1139="","",G1139*K1139)</f>
        <v/>
      </c>
      <c r="M1139" s="20"/>
      <c r="N1139" s="6"/>
      <c r="O1139" s="6"/>
      <c r="P1139" s="5" t="str">
        <f aca="false">IF(A1139="","",H1139/90)</f>
        <v/>
      </c>
      <c r="Q1139" s="5" t="str">
        <f aca="false">IF(A1139="","",IFERROR(INDEX(Parâmetros!$C$6:$C$10,MATCH(F1139,Parâmetros!$B$6:$B$10,0)),""))</f>
        <v/>
      </c>
      <c r="R1139" s="5" t="str">
        <f aca="false">IF(OR(A1139="",P1139="",Q1139=""),"",P1139*Q1139)</f>
        <v/>
      </c>
      <c r="S1139" s="5" t="str">
        <f aca="false">IF(R1139="","",MAX(0,R1139-G1139))</f>
        <v/>
      </c>
      <c r="T1139" s="21" t="str">
        <f aca="false">IF(S1139="","",S1139*K1139)</f>
        <v/>
      </c>
      <c r="U1139" s="5" t="str">
        <f aca="false">IF(A1139="","",IF(J1139&gt;Parâmetros!$C$14,"SIM","NAO"))</f>
        <v/>
      </c>
      <c r="V1139" s="5" t="str">
        <f aca="false">IF(B1139="","",TRIM(LEFT(B1139,IFERROR(FIND(" ",B1139)-1,LEN(B1139)))))</f>
        <v/>
      </c>
      <c r="W1139" s="22"/>
      <c r="X1139" s="5" t="str">
        <f aca="false">IF(A1139="","",IF(W1139&lt;&gt;"",W1139,V1139))</f>
        <v/>
      </c>
      <c r="Y1139" s="5" t="str">
        <f aca="false">IF(A1139="","",IF(COUNTIFS($X$2:$X$2001,X1139,$D$2:$D$2001,"&lt;&gt;"&amp;D1139,$C$2:$C$2001,C1139)&gt;0,"SIM","NAO"))</f>
        <v/>
      </c>
      <c r="Z1139" s="5" t="str">
        <f aca="false">IF(A1139="","",IF(J1139="","",IFERROR(360/J1139,"")))</f>
        <v/>
      </c>
      <c r="AA1139" s="5" t="str">
        <f aca="false">IF(A1139="","",IF(H1139=0,"Parado (sem venda 90d)",IF(Z1139&gt;12,"Alto (&gt;12x/ano)",IF(Z1139&gt;=4,"Medio (4-12x/ano)","Baixo (&lt;4x/ano)"))))</f>
        <v/>
      </c>
    </row>
    <row r="1140" customFormat="false" ht="15" hidden="false" customHeight="true" outlineLevel="0" collapsed="false">
      <c r="A1140" s="6"/>
      <c r="B1140" s="6"/>
      <c r="C1140" s="6"/>
      <c r="D1140" s="6"/>
      <c r="E1140" s="6"/>
      <c r="F1140" s="6"/>
      <c r="G1140" s="6"/>
      <c r="H1140" s="6"/>
      <c r="I1140" s="6"/>
      <c r="J1140" s="6"/>
      <c r="K1140" s="18"/>
      <c r="L1140" s="19" t="str">
        <f aca="false">IF(A1140="","",G1140*K1140)</f>
        <v/>
      </c>
      <c r="M1140" s="20"/>
      <c r="N1140" s="6"/>
      <c r="O1140" s="6"/>
      <c r="P1140" s="5" t="str">
        <f aca="false">IF(A1140="","",H1140/90)</f>
        <v/>
      </c>
      <c r="Q1140" s="5" t="str">
        <f aca="false">IF(A1140="","",IFERROR(INDEX(Parâmetros!$C$6:$C$10,MATCH(F1140,Parâmetros!$B$6:$B$10,0)),""))</f>
        <v/>
      </c>
      <c r="R1140" s="5" t="str">
        <f aca="false">IF(OR(A1140="",P1140="",Q1140=""),"",P1140*Q1140)</f>
        <v/>
      </c>
      <c r="S1140" s="5" t="str">
        <f aca="false">IF(R1140="","",MAX(0,R1140-G1140))</f>
        <v/>
      </c>
      <c r="T1140" s="21" t="str">
        <f aca="false">IF(S1140="","",S1140*K1140)</f>
        <v/>
      </c>
      <c r="U1140" s="5" t="str">
        <f aca="false">IF(A1140="","",IF(J1140&gt;Parâmetros!$C$14,"SIM","NAO"))</f>
        <v/>
      </c>
      <c r="V1140" s="5" t="str">
        <f aca="false">IF(B1140="","",TRIM(LEFT(B1140,IFERROR(FIND(" ",B1140)-1,LEN(B1140)))))</f>
        <v/>
      </c>
      <c r="W1140" s="22"/>
      <c r="X1140" s="5" t="str">
        <f aca="false">IF(A1140="","",IF(W1140&lt;&gt;"",W1140,V1140))</f>
        <v/>
      </c>
      <c r="Y1140" s="5" t="str">
        <f aca="false">IF(A1140="","",IF(COUNTIFS($X$2:$X$2001,X1140,$D$2:$D$2001,"&lt;&gt;"&amp;D1140,$C$2:$C$2001,C1140)&gt;0,"SIM","NAO"))</f>
        <v/>
      </c>
      <c r="Z1140" s="5" t="str">
        <f aca="false">IF(A1140="","",IF(J1140="","",IFERROR(360/J1140,"")))</f>
        <v/>
      </c>
      <c r="AA1140" s="5" t="str">
        <f aca="false">IF(A1140="","",IF(H1140=0,"Parado (sem venda 90d)",IF(Z1140&gt;12,"Alto (&gt;12x/ano)",IF(Z1140&gt;=4,"Medio (4-12x/ano)","Baixo (&lt;4x/ano)"))))</f>
        <v/>
      </c>
    </row>
    <row r="1141" customFormat="false" ht="15" hidden="false" customHeight="true" outlineLevel="0" collapsed="false">
      <c r="A1141" s="6"/>
      <c r="B1141" s="6"/>
      <c r="C1141" s="6"/>
      <c r="D1141" s="6"/>
      <c r="E1141" s="6"/>
      <c r="F1141" s="6"/>
      <c r="G1141" s="6"/>
      <c r="H1141" s="6"/>
      <c r="I1141" s="6"/>
      <c r="J1141" s="6"/>
      <c r="K1141" s="18"/>
      <c r="L1141" s="19" t="str">
        <f aca="false">IF(A1141="","",G1141*K1141)</f>
        <v/>
      </c>
      <c r="M1141" s="20"/>
      <c r="N1141" s="6"/>
      <c r="O1141" s="6"/>
      <c r="P1141" s="5" t="str">
        <f aca="false">IF(A1141="","",H1141/90)</f>
        <v/>
      </c>
      <c r="Q1141" s="5" t="str">
        <f aca="false">IF(A1141="","",IFERROR(INDEX(Parâmetros!$C$6:$C$10,MATCH(F1141,Parâmetros!$B$6:$B$10,0)),""))</f>
        <v/>
      </c>
      <c r="R1141" s="5" t="str">
        <f aca="false">IF(OR(A1141="",P1141="",Q1141=""),"",P1141*Q1141)</f>
        <v/>
      </c>
      <c r="S1141" s="5" t="str">
        <f aca="false">IF(R1141="","",MAX(0,R1141-G1141))</f>
        <v/>
      </c>
      <c r="T1141" s="21" t="str">
        <f aca="false">IF(S1141="","",S1141*K1141)</f>
        <v/>
      </c>
      <c r="U1141" s="5" t="str">
        <f aca="false">IF(A1141="","",IF(J1141&gt;Parâmetros!$C$14,"SIM","NAO"))</f>
        <v/>
      </c>
      <c r="V1141" s="5" t="str">
        <f aca="false">IF(B1141="","",TRIM(LEFT(B1141,IFERROR(FIND(" ",B1141)-1,LEN(B1141)))))</f>
        <v/>
      </c>
      <c r="W1141" s="22"/>
      <c r="X1141" s="5" t="str">
        <f aca="false">IF(A1141="","",IF(W1141&lt;&gt;"",W1141,V1141))</f>
        <v/>
      </c>
      <c r="Y1141" s="5" t="str">
        <f aca="false">IF(A1141="","",IF(COUNTIFS($X$2:$X$2001,X1141,$D$2:$D$2001,"&lt;&gt;"&amp;D1141,$C$2:$C$2001,C1141)&gt;0,"SIM","NAO"))</f>
        <v/>
      </c>
      <c r="Z1141" s="5" t="str">
        <f aca="false">IF(A1141="","",IF(J1141="","",IFERROR(360/J1141,"")))</f>
        <v/>
      </c>
      <c r="AA1141" s="5" t="str">
        <f aca="false">IF(A1141="","",IF(H1141=0,"Parado (sem venda 90d)",IF(Z1141&gt;12,"Alto (&gt;12x/ano)",IF(Z1141&gt;=4,"Medio (4-12x/ano)","Baixo (&lt;4x/ano)"))))</f>
        <v/>
      </c>
    </row>
    <row r="1142" customFormat="false" ht="15" hidden="false" customHeight="true" outlineLevel="0" collapsed="false">
      <c r="A1142" s="6"/>
      <c r="B1142" s="6"/>
      <c r="C1142" s="6"/>
      <c r="D1142" s="6"/>
      <c r="E1142" s="6"/>
      <c r="F1142" s="6"/>
      <c r="G1142" s="6"/>
      <c r="H1142" s="6"/>
      <c r="I1142" s="6"/>
      <c r="J1142" s="6"/>
      <c r="K1142" s="18"/>
      <c r="L1142" s="19" t="str">
        <f aca="false">IF(A1142="","",G1142*K1142)</f>
        <v/>
      </c>
      <c r="M1142" s="20"/>
      <c r="N1142" s="6"/>
      <c r="O1142" s="6"/>
      <c r="P1142" s="5" t="str">
        <f aca="false">IF(A1142="","",H1142/90)</f>
        <v/>
      </c>
      <c r="Q1142" s="5" t="str">
        <f aca="false">IF(A1142="","",IFERROR(INDEX(Parâmetros!$C$6:$C$10,MATCH(F1142,Parâmetros!$B$6:$B$10,0)),""))</f>
        <v/>
      </c>
      <c r="R1142" s="5" t="str">
        <f aca="false">IF(OR(A1142="",P1142="",Q1142=""),"",P1142*Q1142)</f>
        <v/>
      </c>
      <c r="S1142" s="5" t="str">
        <f aca="false">IF(R1142="","",MAX(0,R1142-G1142))</f>
        <v/>
      </c>
      <c r="T1142" s="21" t="str">
        <f aca="false">IF(S1142="","",S1142*K1142)</f>
        <v/>
      </c>
      <c r="U1142" s="5" t="str">
        <f aca="false">IF(A1142="","",IF(J1142&gt;Parâmetros!$C$14,"SIM","NAO"))</f>
        <v/>
      </c>
      <c r="V1142" s="5" t="str">
        <f aca="false">IF(B1142="","",TRIM(LEFT(B1142,IFERROR(FIND(" ",B1142)-1,LEN(B1142)))))</f>
        <v/>
      </c>
      <c r="W1142" s="22"/>
      <c r="X1142" s="5" t="str">
        <f aca="false">IF(A1142="","",IF(W1142&lt;&gt;"",W1142,V1142))</f>
        <v/>
      </c>
      <c r="Y1142" s="5" t="str">
        <f aca="false">IF(A1142="","",IF(COUNTIFS($X$2:$X$2001,X1142,$D$2:$D$2001,"&lt;&gt;"&amp;D1142,$C$2:$C$2001,C1142)&gt;0,"SIM","NAO"))</f>
        <v/>
      </c>
      <c r="Z1142" s="5" t="str">
        <f aca="false">IF(A1142="","",IF(J1142="","",IFERROR(360/J1142,"")))</f>
        <v/>
      </c>
      <c r="AA1142" s="5" t="str">
        <f aca="false">IF(A1142="","",IF(H1142=0,"Parado (sem venda 90d)",IF(Z1142&gt;12,"Alto (&gt;12x/ano)",IF(Z1142&gt;=4,"Medio (4-12x/ano)","Baixo (&lt;4x/ano)"))))</f>
        <v/>
      </c>
    </row>
    <row r="1143" customFormat="false" ht="15" hidden="false" customHeight="true" outlineLevel="0" collapsed="false">
      <c r="A1143" s="6"/>
      <c r="B1143" s="6"/>
      <c r="C1143" s="6"/>
      <c r="D1143" s="6"/>
      <c r="E1143" s="6"/>
      <c r="F1143" s="6"/>
      <c r="G1143" s="6"/>
      <c r="H1143" s="6"/>
      <c r="I1143" s="6"/>
      <c r="J1143" s="6"/>
      <c r="K1143" s="18"/>
      <c r="L1143" s="19" t="str">
        <f aca="false">IF(A1143="","",G1143*K1143)</f>
        <v/>
      </c>
      <c r="M1143" s="20"/>
      <c r="N1143" s="6"/>
      <c r="O1143" s="6"/>
      <c r="P1143" s="5" t="str">
        <f aca="false">IF(A1143="","",H1143/90)</f>
        <v/>
      </c>
      <c r="Q1143" s="5" t="str">
        <f aca="false">IF(A1143="","",IFERROR(INDEX(Parâmetros!$C$6:$C$10,MATCH(F1143,Parâmetros!$B$6:$B$10,0)),""))</f>
        <v/>
      </c>
      <c r="R1143" s="5" t="str">
        <f aca="false">IF(OR(A1143="",P1143="",Q1143=""),"",P1143*Q1143)</f>
        <v/>
      </c>
      <c r="S1143" s="5" t="str">
        <f aca="false">IF(R1143="","",MAX(0,R1143-G1143))</f>
        <v/>
      </c>
      <c r="T1143" s="21" t="str">
        <f aca="false">IF(S1143="","",S1143*K1143)</f>
        <v/>
      </c>
      <c r="U1143" s="5" t="str">
        <f aca="false">IF(A1143="","",IF(J1143&gt;Parâmetros!$C$14,"SIM","NAO"))</f>
        <v/>
      </c>
      <c r="V1143" s="5" t="str">
        <f aca="false">IF(B1143="","",TRIM(LEFT(B1143,IFERROR(FIND(" ",B1143)-1,LEN(B1143)))))</f>
        <v/>
      </c>
      <c r="W1143" s="22"/>
      <c r="X1143" s="5" t="str">
        <f aca="false">IF(A1143="","",IF(W1143&lt;&gt;"",W1143,V1143))</f>
        <v/>
      </c>
      <c r="Y1143" s="5" t="str">
        <f aca="false">IF(A1143="","",IF(COUNTIFS($X$2:$X$2001,X1143,$D$2:$D$2001,"&lt;&gt;"&amp;D1143,$C$2:$C$2001,C1143)&gt;0,"SIM","NAO"))</f>
        <v/>
      </c>
      <c r="Z1143" s="5" t="str">
        <f aca="false">IF(A1143="","",IF(J1143="","",IFERROR(360/J1143,"")))</f>
        <v/>
      </c>
      <c r="AA1143" s="5" t="str">
        <f aca="false">IF(A1143="","",IF(H1143=0,"Parado (sem venda 90d)",IF(Z1143&gt;12,"Alto (&gt;12x/ano)",IF(Z1143&gt;=4,"Medio (4-12x/ano)","Baixo (&lt;4x/ano)"))))</f>
        <v/>
      </c>
    </row>
    <row r="1144" customFormat="false" ht="15" hidden="false" customHeight="true" outlineLevel="0" collapsed="false">
      <c r="A1144" s="6"/>
      <c r="B1144" s="6"/>
      <c r="C1144" s="6"/>
      <c r="D1144" s="6"/>
      <c r="E1144" s="6"/>
      <c r="F1144" s="6"/>
      <c r="G1144" s="6"/>
      <c r="H1144" s="6"/>
      <c r="I1144" s="6"/>
      <c r="J1144" s="6"/>
      <c r="K1144" s="18"/>
      <c r="L1144" s="19" t="str">
        <f aca="false">IF(A1144="","",G1144*K1144)</f>
        <v/>
      </c>
      <c r="M1144" s="20"/>
      <c r="N1144" s="6"/>
      <c r="O1144" s="6"/>
      <c r="P1144" s="5" t="str">
        <f aca="false">IF(A1144="","",H1144/90)</f>
        <v/>
      </c>
      <c r="Q1144" s="5" t="str">
        <f aca="false">IF(A1144="","",IFERROR(INDEX(Parâmetros!$C$6:$C$10,MATCH(F1144,Parâmetros!$B$6:$B$10,0)),""))</f>
        <v/>
      </c>
      <c r="R1144" s="5" t="str">
        <f aca="false">IF(OR(A1144="",P1144="",Q1144=""),"",P1144*Q1144)</f>
        <v/>
      </c>
      <c r="S1144" s="5" t="str">
        <f aca="false">IF(R1144="","",MAX(0,R1144-G1144))</f>
        <v/>
      </c>
      <c r="T1144" s="21" t="str">
        <f aca="false">IF(S1144="","",S1144*K1144)</f>
        <v/>
      </c>
      <c r="U1144" s="5" t="str">
        <f aca="false">IF(A1144="","",IF(J1144&gt;Parâmetros!$C$14,"SIM","NAO"))</f>
        <v/>
      </c>
      <c r="V1144" s="5" t="str">
        <f aca="false">IF(B1144="","",TRIM(LEFT(B1144,IFERROR(FIND(" ",B1144)-1,LEN(B1144)))))</f>
        <v/>
      </c>
      <c r="W1144" s="22"/>
      <c r="X1144" s="5" t="str">
        <f aca="false">IF(A1144="","",IF(W1144&lt;&gt;"",W1144,V1144))</f>
        <v/>
      </c>
      <c r="Y1144" s="5" t="str">
        <f aca="false">IF(A1144="","",IF(COUNTIFS($X$2:$X$2001,X1144,$D$2:$D$2001,"&lt;&gt;"&amp;D1144,$C$2:$C$2001,C1144)&gt;0,"SIM","NAO"))</f>
        <v/>
      </c>
      <c r="Z1144" s="5" t="str">
        <f aca="false">IF(A1144="","",IF(J1144="","",IFERROR(360/J1144,"")))</f>
        <v/>
      </c>
      <c r="AA1144" s="5" t="str">
        <f aca="false">IF(A1144="","",IF(H1144=0,"Parado (sem venda 90d)",IF(Z1144&gt;12,"Alto (&gt;12x/ano)",IF(Z1144&gt;=4,"Medio (4-12x/ano)","Baixo (&lt;4x/ano)"))))</f>
        <v/>
      </c>
    </row>
    <row r="1145" customFormat="false" ht="15" hidden="false" customHeight="true" outlineLevel="0" collapsed="false">
      <c r="A1145" s="6"/>
      <c r="B1145" s="6"/>
      <c r="C1145" s="6"/>
      <c r="D1145" s="6"/>
      <c r="E1145" s="6"/>
      <c r="F1145" s="6"/>
      <c r="G1145" s="6"/>
      <c r="H1145" s="6"/>
      <c r="I1145" s="6"/>
      <c r="J1145" s="6"/>
      <c r="K1145" s="18"/>
      <c r="L1145" s="19" t="str">
        <f aca="false">IF(A1145="","",G1145*K1145)</f>
        <v/>
      </c>
      <c r="M1145" s="20"/>
      <c r="N1145" s="6"/>
      <c r="O1145" s="6"/>
      <c r="P1145" s="5" t="str">
        <f aca="false">IF(A1145="","",H1145/90)</f>
        <v/>
      </c>
      <c r="Q1145" s="5" t="str">
        <f aca="false">IF(A1145="","",IFERROR(INDEX(Parâmetros!$C$6:$C$10,MATCH(F1145,Parâmetros!$B$6:$B$10,0)),""))</f>
        <v/>
      </c>
      <c r="R1145" s="5" t="str">
        <f aca="false">IF(OR(A1145="",P1145="",Q1145=""),"",P1145*Q1145)</f>
        <v/>
      </c>
      <c r="S1145" s="5" t="str">
        <f aca="false">IF(R1145="","",MAX(0,R1145-G1145))</f>
        <v/>
      </c>
      <c r="T1145" s="21" t="str">
        <f aca="false">IF(S1145="","",S1145*K1145)</f>
        <v/>
      </c>
      <c r="U1145" s="5" t="str">
        <f aca="false">IF(A1145="","",IF(J1145&gt;Parâmetros!$C$14,"SIM","NAO"))</f>
        <v/>
      </c>
      <c r="V1145" s="5" t="str">
        <f aca="false">IF(B1145="","",TRIM(LEFT(B1145,IFERROR(FIND(" ",B1145)-1,LEN(B1145)))))</f>
        <v/>
      </c>
      <c r="W1145" s="22"/>
      <c r="X1145" s="5" t="str">
        <f aca="false">IF(A1145="","",IF(W1145&lt;&gt;"",W1145,V1145))</f>
        <v/>
      </c>
      <c r="Y1145" s="5" t="str">
        <f aca="false">IF(A1145="","",IF(COUNTIFS($X$2:$X$2001,X1145,$D$2:$D$2001,"&lt;&gt;"&amp;D1145,$C$2:$C$2001,C1145)&gt;0,"SIM","NAO"))</f>
        <v/>
      </c>
      <c r="Z1145" s="5" t="str">
        <f aca="false">IF(A1145="","",IF(J1145="","",IFERROR(360/J1145,"")))</f>
        <v/>
      </c>
      <c r="AA1145" s="5" t="str">
        <f aca="false">IF(A1145="","",IF(H1145=0,"Parado (sem venda 90d)",IF(Z1145&gt;12,"Alto (&gt;12x/ano)",IF(Z1145&gt;=4,"Medio (4-12x/ano)","Baixo (&lt;4x/ano)"))))</f>
        <v/>
      </c>
    </row>
    <row r="1146" customFormat="false" ht="15" hidden="false" customHeight="true" outlineLevel="0" collapsed="false">
      <c r="A1146" s="6"/>
      <c r="B1146" s="6"/>
      <c r="C1146" s="6"/>
      <c r="D1146" s="6"/>
      <c r="E1146" s="6"/>
      <c r="F1146" s="6"/>
      <c r="G1146" s="6"/>
      <c r="H1146" s="6"/>
      <c r="I1146" s="6"/>
      <c r="J1146" s="6"/>
      <c r="K1146" s="18"/>
      <c r="L1146" s="19" t="str">
        <f aca="false">IF(A1146="","",G1146*K1146)</f>
        <v/>
      </c>
      <c r="M1146" s="20"/>
      <c r="N1146" s="6"/>
      <c r="O1146" s="6"/>
      <c r="P1146" s="5" t="str">
        <f aca="false">IF(A1146="","",H1146/90)</f>
        <v/>
      </c>
      <c r="Q1146" s="5" t="str">
        <f aca="false">IF(A1146="","",IFERROR(INDEX(Parâmetros!$C$6:$C$10,MATCH(F1146,Parâmetros!$B$6:$B$10,0)),""))</f>
        <v/>
      </c>
      <c r="R1146" s="5" t="str">
        <f aca="false">IF(OR(A1146="",P1146="",Q1146=""),"",P1146*Q1146)</f>
        <v/>
      </c>
      <c r="S1146" s="5" t="str">
        <f aca="false">IF(R1146="","",MAX(0,R1146-G1146))</f>
        <v/>
      </c>
      <c r="T1146" s="21" t="str">
        <f aca="false">IF(S1146="","",S1146*K1146)</f>
        <v/>
      </c>
      <c r="U1146" s="5" t="str">
        <f aca="false">IF(A1146="","",IF(J1146&gt;Parâmetros!$C$14,"SIM","NAO"))</f>
        <v/>
      </c>
      <c r="V1146" s="5" t="str">
        <f aca="false">IF(B1146="","",TRIM(LEFT(B1146,IFERROR(FIND(" ",B1146)-1,LEN(B1146)))))</f>
        <v/>
      </c>
      <c r="W1146" s="22"/>
      <c r="X1146" s="5" t="str">
        <f aca="false">IF(A1146="","",IF(W1146&lt;&gt;"",W1146,V1146))</f>
        <v/>
      </c>
      <c r="Y1146" s="5" t="str">
        <f aca="false">IF(A1146="","",IF(COUNTIFS($X$2:$X$2001,X1146,$D$2:$D$2001,"&lt;&gt;"&amp;D1146,$C$2:$C$2001,C1146)&gt;0,"SIM","NAO"))</f>
        <v/>
      </c>
      <c r="Z1146" s="5" t="str">
        <f aca="false">IF(A1146="","",IF(J1146="","",IFERROR(360/J1146,"")))</f>
        <v/>
      </c>
      <c r="AA1146" s="5" t="str">
        <f aca="false">IF(A1146="","",IF(H1146=0,"Parado (sem venda 90d)",IF(Z1146&gt;12,"Alto (&gt;12x/ano)",IF(Z1146&gt;=4,"Medio (4-12x/ano)","Baixo (&lt;4x/ano)"))))</f>
        <v/>
      </c>
    </row>
    <row r="1147" customFormat="false" ht="15" hidden="false" customHeight="true" outlineLevel="0" collapsed="false">
      <c r="A1147" s="6"/>
      <c r="B1147" s="6"/>
      <c r="C1147" s="6"/>
      <c r="D1147" s="6"/>
      <c r="E1147" s="6"/>
      <c r="F1147" s="6"/>
      <c r="G1147" s="6"/>
      <c r="H1147" s="6"/>
      <c r="I1147" s="6"/>
      <c r="J1147" s="6"/>
      <c r="K1147" s="18"/>
      <c r="L1147" s="19" t="str">
        <f aca="false">IF(A1147="","",G1147*K1147)</f>
        <v/>
      </c>
      <c r="M1147" s="20"/>
      <c r="N1147" s="6"/>
      <c r="O1147" s="6"/>
      <c r="P1147" s="5" t="str">
        <f aca="false">IF(A1147="","",H1147/90)</f>
        <v/>
      </c>
      <c r="Q1147" s="5" t="str">
        <f aca="false">IF(A1147="","",IFERROR(INDEX(Parâmetros!$C$6:$C$10,MATCH(F1147,Parâmetros!$B$6:$B$10,0)),""))</f>
        <v/>
      </c>
      <c r="R1147" s="5" t="str">
        <f aca="false">IF(OR(A1147="",P1147="",Q1147=""),"",P1147*Q1147)</f>
        <v/>
      </c>
      <c r="S1147" s="5" t="str">
        <f aca="false">IF(R1147="","",MAX(0,R1147-G1147))</f>
        <v/>
      </c>
      <c r="T1147" s="21" t="str">
        <f aca="false">IF(S1147="","",S1147*K1147)</f>
        <v/>
      </c>
      <c r="U1147" s="5" t="str">
        <f aca="false">IF(A1147="","",IF(J1147&gt;Parâmetros!$C$14,"SIM","NAO"))</f>
        <v/>
      </c>
      <c r="V1147" s="5" t="str">
        <f aca="false">IF(B1147="","",TRIM(LEFT(B1147,IFERROR(FIND(" ",B1147)-1,LEN(B1147)))))</f>
        <v/>
      </c>
      <c r="W1147" s="22"/>
      <c r="X1147" s="5" t="str">
        <f aca="false">IF(A1147="","",IF(W1147&lt;&gt;"",W1147,V1147))</f>
        <v/>
      </c>
      <c r="Y1147" s="5" t="str">
        <f aca="false">IF(A1147="","",IF(COUNTIFS($X$2:$X$2001,X1147,$D$2:$D$2001,"&lt;&gt;"&amp;D1147,$C$2:$C$2001,C1147)&gt;0,"SIM","NAO"))</f>
        <v/>
      </c>
      <c r="Z1147" s="5" t="str">
        <f aca="false">IF(A1147="","",IF(J1147="","",IFERROR(360/J1147,"")))</f>
        <v/>
      </c>
      <c r="AA1147" s="5" t="str">
        <f aca="false">IF(A1147="","",IF(H1147=0,"Parado (sem venda 90d)",IF(Z1147&gt;12,"Alto (&gt;12x/ano)",IF(Z1147&gt;=4,"Medio (4-12x/ano)","Baixo (&lt;4x/ano)"))))</f>
        <v/>
      </c>
    </row>
    <row r="1148" customFormat="false" ht="15" hidden="false" customHeight="true" outlineLevel="0" collapsed="false">
      <c r="A1148" s="6"/>
      <c r="B1148" s="6"/>
      <c r="C1148" s="6"/>
      <c r="D1148" s="6"/>
      <c r="E1148" s="6"/>
      <c r="F1148" s="6"/>
      <c r="G1148" s="6"/>
      <c r="H1148" s="6"/>
      <c r="I1148" s="6"/>
      <c r="J1148" s="6"/>
      <c r="K1148" s="18"/>
      <c r="L1148" s="19" t="str">
        <f aca="false">IF(A1148="","",G1148*K1148)</f>
        <v/>
      </c>
      <c r="M1148" s="20"/>
      <c r="N1148" s="6"/>
      <c r="O1148" s="6"/>
      <c r="P1148" s="5" t="str">
        <f aca="false">IF(A1148="","",H1148/90)</f>
        <v/>
      </c>
      <c r="Q1148" s="5" t="str">
        <f aca="false">IF(A1148="","",IFERROR(INDEX(Parâmetros!$C$6:$C$10,MATCH(F1148,Parâmetros!$B$6:$B$10,0)),""))</f>
        <v/>
      </c>
      <c r="R1148" s="5" t="str">
        <f aca="false">IF(OR(A1148="",P1148="",Q1148=""),"",P1148*Q1148)</f>
        <v/>
      </c>
      <c r="S1148" s="5" t="str">
        <f aca="false">IF(R1148="","",MAX(0,R1148-G1148))</f>
        <v/>
      </c>
      <c r="T1148" s="21" t="str">
        <f aca="false">IF(S1148="","",S1148*K1148)</f>
        <v/>
      </c>
      <c r="U1148" s="5" t="str">
        <f aca="false">IF(A1148="","",IF(J1148&gt;Parâmetros!$C$14,"SIM","NAO"))</f>
        <v/>
      </c>
      <c r="V1148" s="5" t="str">
        <f aca="false">IF(B1148="","",TRIM(LEFT(B1148,IFERROR(FIND(" ",B1148)-1,LEN(B1148)))))</f>
        <v/>
      </c>
      <c r="W1148" s="22"/>
      <c r="X1148" s="5" t="str">
        <f aca="false">IF(A1148="","",IF(W1148&lt;&gt;"",W1148,V1148))</f>
        <v/>
      </c>
      <c r="Y1148" s="5" t="str">
        <f aca="false">IF(A1148="","",IF(COUNTIFS($X$2:$X$2001,X1148,$D$2:$D$2001,"&lt;&gt;"&amp;D1148,$C$2:$C$2001,C1148)&gt;0,"SIM","NAO"))</f>
        <v/>
      </c>
      <c r="Z1148" s="5" t="str">
        <f aca="false">IF(A1148="","",IF(J1148="","",IFERROR(360/J1148,"")))</f>
        <v/>
      </c>
      <c r="AA1148" s="5" t="str">
        <f aca="false">IF(A1148="","",IF(H1148=0,"Parado (sem venda 90d)",IF(Z1148&gt;12,"Alto (&gt;12x/ano)",IF(Z1148&gt;=4,"Medio (4-12x/ano)","Baixo (&lt;4x/ano)"))))</f>
        <v/>
      </c>
    </row>
    <row r="1149" customFormat="false" ht="15" hidden="false" customHeight="true" outlineLevel="0" collapsed="false">
      <c r="A1149" s="6"/>
      <c r="B1149" s="6"/>
      <c r="C1149" s="6"/>
      <c r="D1149" s="6"/>
      <c r="E1149" s="6"/>
      <c r="F1149" s="6"/>
      <c r="G1149" s="6"/>
      <c r="H1149" s="6"/>
      <c r="I1149" s="6"/>
      <c r="J1149" s="6"/>
      <c r="K1149" s="18"/>
      <c r="L1149" s="19" t="str">
        <f aca="false">IF(A1149="","",G1149*K1149)</f>
        <v/>
      </c>
      <c r="M1149" s="20"/>
      <c r="N1149" s="6"/>
      <c r="O1149" s="6"/>
      <c r="P1149" s="5" t="str">
        <f aca="false">IF(A1149="","",H1149/90)</f>
        <v/>
      </c>
      <c r="Q1149" s="5" t="str">
        <f aca="false">IF(A1149="","",IFERROR(INDEX(Parâmetros!$C$6:$C$10,MATCH(F1149,Parâmetros!$B$6:$B$10,0)),""))</f>
        <v/>
      </c>
      <c r="R1149" s="5" t="str">
        <f aca="false">IF(OR(A1149="",P1149="",Q1149=""),"",P1149*Q1149)</f>
        <v/>
      </c>
      <c r="S1149" s="5" t="str">
        <f aca="false">IF(R1149="","",MAX(0,R1149-G1149))</f>
        <v/>
      </c>
      <c r="T1149" s="21" t="str">
        <f aca="false">IF(S1149="","",S1149*K1149)</f>
        <v/>
      </c>
      <c r="U1149" s="5" t="str">
        <f aca="false">IF(A1149="","",IF(J1149&gt;Parâmetros!$C$14,"SIM","NAO"))</f>
        <v/>
      </c>
      <c r="V1149" s="5" t="str">
        <f aca="false">IF(B1149="","",TRIM(LEFT(B1149,IFERROR(FIND(" ",B1149)-1,LEN(B1149)))))</f>
        <v/>
      </c>
      <c r="W1149" s="22"/>
      <c r="X1149" s="5" t="str">
        <f aca="false">IF(A1149="","",IF(W1149&lt;&gt;"",W1149,V1149))</f>
        <v/>
      </c>
      <c r="Y1149" s="5" t="str">
        <f aca="false">IF(A1149="","",IF(COUNTIFS($X$2:$X$2001,X1149,$D$2:$D$2001,"&lt;&gt;"&amp;D1149,$C$2:$C$2001,C1149)&gt;0,"SIM","NAO"))</f>
        <v/>
      </c>
      <c r="Z1149" s="5" t="str">
        <f aca="false">IF(A1149="","",IF(J1149="","",IFERROR(360/J1149,"")))</f>
        <v/>
      </c>
      <c r="AA1149" s="5" t="str">
        <f aca="false">IF(A1149="","",IF(H1149=0,"Parado (sem venda 90d)",IF(Z1149&gt;12,"Alto (&gt;12x/ano)",IF(Z1149&gt;=4,"Medio (4-12x/ano)","Baixo (&lt;4x/ano)"))))</f>
        <v/>
      </c>
    </row>
    <row r="1150" customFormat="false" ht="15" hidden="false" customHeight="true" outlineLevel="0" collapsed="false">
      <c r="A1150" s="6"/>
      <c r="B1150" s="6"/>
      <c r="C1150" s="6"/>
      <c r="D1150" s="6"/>
      <c r="E1150" s="6"/>
      <c r="F1150" s="6"/>
      <c r="G1150" s="6"/>
      <c r="H1150" s="6"/>
      <c r="I1150" s="6"/>
      <c r="J1150" s="6"/>
      <c r="K1150" s="18"/>
      <c r="L1150" s="19" t="str">
        <f aca="false">IF(A1150="","",G1150*K1150)</f>
        <v/>
      </c>
      <c r="M1150" s="20"/>
      <c r="N1150" s="6"/>
      <c r="O1150" s="6"/>
      <c r="P1150" s="5" t="str">
        <f aca="false">IF(A1150="","",H1150/90)</f>
        <v/>
      </c>
      <c r="Q1150" s="5" t="str">
        <f aca="false">IF(A1150="","",IFERROR(INDEX(Parâmetros!$C$6:$C$10,MATCH(F1150,Parâmetros!$B$6:$B$10,0)),""))</f>
        <v/>
      </c>
      <c r="R1150" s="5" t="str">
        <f aca="false">IF(OR(A1150="",P1150="",Q1150=""),"",P1150*Q1150)</f>
        <v/>
      </c>
      <c r="S1150" s="5" t="str">
        <f aca="false">IF(R1150="","",MAX(0,R1150-G1150))</f>
        <v/>
      </c>
      <c r="T1150" s="21" t="str">
        <f aca="false">IF(S1150="","",S1150*K1150)</f>
        <v/>
      </c>
      <c r="U1150" s="5" t="str">
        <f aca="false">IF(A1150="","",IF(J1150&gt;Parâmetros!$C$14,"SIM","NAO"))</f>
        <v/>
      </c>
      <c r="V1150" s="5" t="str">
        <f aca="false">IF(B1150="","",TRIM(LEFT(B1150,IFERROR(FIND(" ",B1150)-1,LEN(B1150)))))</f>
        <v/>
      </c>
      <c r="W1150" s="22"/>
      <c r="X1150" s="5" t="str">
        <f aca="false">IF(A1150="","",IF(W1150&lt;&gt;"",W1150,V1150))</f>
        <v/>
      </c>
      <c r="Y1150" s="5" t="str">
        <f aca="false">IF(A1150="","",IF(COUNTIFS($X$2:$X$2001,X1150,$D$2:$D$2001,"&lt;&gt;"&amp;D1150,$C$2:$C$2001,C1150)&gt;0,"SIM","NAO"))</f>
        <v/>
      </c>
      <c r="Z1150" s="5" t="str">
        <f aca="false">IF(A1150="","",IF(J1150="","",IFERROR(360/J1150,"")))</f>
        <v/>
      </c>
      <c r="AA1150" s="5" t="str">
        <f aca="false">IF(A1150="","",IF(H1150=0,"Parado (sem venda 90d)",IF(Z1150&gt;12,"Alto (&gt;12x/ano)",IF(Z1150&gt;=4,"Medio (4-12x/ano)","Baixo (&lt;4x/ano)"))))</f>
        <v/>
      </c>
    </row>
    <row r="1151" customFormat="false" ht="15" hidden="false" customHeight="true" outlineLevel="0" collapsed="false">
      <c r="A1151" s="6"/>
      <c r="B1151" s="6"/>
      <c r="C1151" s="6"/>
      <c r="D1151" s="6"/>
      <c r="E1151" s="6"/>
      <c r="F1151" s="6"/>
      <c r="G1151" s="6"/>
      <c r="H1151" s="6"/>
      <c r="I1151" s="6"/>
      <c r="J1151" s="6"/>
      <c r="K1151" s="18"/>
      <c r="L1151" s="19" t="str">
        <f aca="false">IF(A1151="","",G1151*K1151)</f>
        <v/>
      </c>
      <c r="M1151" s="20"/>
      <c r="N1151" s="6"/>
      <c r="O1151" s="6"/>
      <c r="P1151" s="5" t="str">
        <f aca="false">IF(A1151="","",H1151/90)</f>
        <v/>
      </c>
      <c r="Q1151" s="5" t="str">
        <f aca="false">IF(A1151="","",IFERROR(INDEX(Parâmetros!$C$6:$C$10,MATCH(F1151,Parâmetros!$B$6:$B$10,0)),""))</f>
        <v/>
      </c>
      <c r="R1151" s="5" t="str">
        <f aca="false">IF(OR(A1151="",P1151="",Q1151=""),"",P1151*Q1151)</f>
        <v/>
      </c>
      <c r="S1151" s="5" t="str">
        <f aca="false">IF(R1151="","",MAX(0,R1151-G1151))</f>
        <v/>
      </c>
      <c r="T1151" s="21" t="str">
        <f aca="false">IF(S1151="","",S1151*K1151)</f>
        <v/>
      </c>
      <c r="U1151" s="5" t="str">
        <f aca="false">IF(A1151="","",IF(J1151&gt;Parâmetros!$C$14,"SIM","NAO"))</f>
        <v/>
      </c>
      <c r="V1151" s="5" t="str">
        <f aca="false">IF(B1151="","",TRIM(LEFT(B1151,IFERROR(FIND(" ",B1151)-1,LEN(B1151)))))</f>
        <v/>
      </c>
      <c r="W1151" s="22"/>
      <c r="X1151" s="5" t="str">
        <f aca="false">IF(A1151="","",IF(W1151&lt;&gt;"",W1151,V1151))</f>
        <v/>
      </c>
      <c r="Y1151" s="5" t="str">
        <f aca="false">IF(A1151="","",IF(COUNTIFS($X$2:$X$2001,X1151,$D$2:$D$2001,"&lt;&gt;"&amp;D1151,$C$2:$C$2001,C1151)&gt;0,"SIM","NAO"))</f>
        <v/>
      </c>
      <c r="Z1151" s="5" t="str">
        <f aca="false">IF(A1151="","",IF(J1151="","",IFERROR(360/J1151,"")))</f>
        <v/>
      </c>
      <c r="AA1151" s="5" t="str">
        <f aca="false">IF(A1151="","",IF(H1151=0,"Parado (sem venda 90d)",IF(Z1151&gt;12,"Alto (&gt;12x/ano)",IF(Z1151&gt;=4,"Medio (4-12x/ano)","Baixo (&lt;4x/ano)"))))</f>
        <v/>
      </c>
    </row>
    <row r="1152" customFormat="false" ht="15" hidden="false" customHeight="true" outlineLevel="0" collapsed="false">
      <c r="A1152" s="6"/>
      <c r="B1152" s="6"/>
      <c r="C1152" s="6"/>
      <c r="D1152" s="6"/>
      <c r="E1152" s="6"/>
      <c r="F1152" s="6"/>
      <c r="G1152" s="6"/>
      <c r="H1152" s="6"/>
      <c r="I1152" s="6"/>
      <c r="J1152" s="6"/>
      <c r="K1152" s="18"/>
      <c r="L1152" s="19" t="str">
        <f aca="false">IF(A1152="","",G1152*K1152)</f>
        <v/>
      </c>
      <c r="M1152" s="20"/>
      <c r="N1152" s="6"/>
      <c r="O1152" s="6"/>
      <c r="P1152" s="5" t="str">
        <f aca="false">IF(A1152="","",H1152/90)</f>
        <v/>
      </c>
      <c r="Q1152" s="5" t="str">
        <f aca="false">IF(A1152="","",IFERROR(INDEX(Parâmetros!$C$6:$C$10,MATCH(F1152,Parâmetros!$B$6:$B$10,0)),""))</f>
        <v/>
      </c>
      <c r="R1152" s="5" t="str">
        <f aca="false">IF(OR(A1152="",P1152="",Q1152=""),"",P1152*Q1152)</f>
        <v/>
      </c>
      <c r="S1152" s="5" t="str">
        <f aca="false">IF(R1152="","",MAX(0,R1152-G1152))</f>
        <v/>
      </c>
      <c r="T1152" s="21" t="str">
        <f aca="false">IF(S1152="","",S1152*K1152)</f>
        <v/>
      </c>
      <c r="U1152" s="5" t="str">
        <f aca="false">IF(A1152="","",IF(J1152&gt;Parâmetros!$C$14,"SIM","NAO"))</f>
        <v/>
      </c>
      <c r="V1152" s="5" t="str">
        <f aca="false">IF(B1152="","",TRIM(LEFT(B1152,IFERROR(FIND(" ",B1152)-1,LEN(B1152)))))</f>
        <v/>
      </c>
      <c r="W1152" s="22"/>
      <c r="X1152" s="5" t="str">
        <f aca="false">IF(A1152="","",IF(W1152&lt;&gt;"",W1152,V1152))</f>
        <v/>
      </c>
      <c r="Y1152" s="5" t="str">
        <f aca="false">IF(A1152="","",IF(COUNTIFS($X$2:$X$2001,X1152,$D$2:$D$2001,"&lt;&gt;"&amp;D1152,$C$2:$C$2001,C1152)&gt;0,"SIM","NAO"))</f>
        <v/>
      </c>
      <c r="Z1152" s="5" t="str">
        <f aca="false">IF(A1152="","",IF(J1152="","",IFERROR(360/J1152,"")))</f>
        <v/>
      </c>
      <c r="AA1152" s="5" t="str">
        <f aca="false">IF(A1152="","",IF(H1152=0,"Parado (sem venda 90d)",IF(Z1152&gt;12,"Alto (&gt;12x/ano)",IF(Z1152&gt;=4,"Medio (4-12x/ano)","Baixo (&lt;4x/ano)"))))</f>
        <v/>
      </c>
    </row>
    <row r="1153" customFormat="false" ht="15" hidden="false" customHeight="true" outlineLevel="0" collapsed="false">
      <c r="A1153" s="6"/>
      <c r="B1153" s="6"/>
      <c r="C1153" s="6"/>
      <c r="D1153" s="6"/>
      <c r="E1153" s="6"/>
      <c r="F1153" s="6"/>
      <c r="G1153" s="6"/>
      <c r="H1153" s="6"/>
      <c r="I1153" s="6"/>
      <c r="J1153" s="6"/>
      <c r="K1153" s="18"/>
      <c r="L1153" s="19" t="str">
        <f aca="false">IF(A1153="","",G1153*K1153)</f>
        <v/>
      </c>
      <c r="M1153" s="20"/>
      <c r="N1153" s="6"/>
      <c r="O1153" s="6"/>
      <c r="P1153" s="5" t="str">
        <f aca="false">IF(A1153="","",H1153/90)</f>
        <v/>
      </c>
      <c r="Q1153" s="5" t="str">
        <f aca="false">IF(A1153="","",IFERROR(INDEX(Parâmetros!$C$6:$C$10,MATCH(F1153,Parâmetros!$B$6:$B$10,0)),""))</f>
        <v/>
      </c>
      <c r="R1153" s="5" t="str">
        <f aca="false">IF(OR(A1153="",P1153="",Q1153=""),"",P1153*Q1153)</f>
        <v/>
      </c>
      <c r="S1153" s="5" t="str">
        <f aca="false">IF(R1153="","",MAX(0,R1153-G1153))</f>
        <v/>
      </c>
      <c r="T1153" s="21" t="str">
        <f aca="false">IF(S1153="","",S1153*K1153)</f>
        <v/>
      </c>
      <c r="U1153" s="5" t="str">
        <f aca="false">IF(A1153="","",IF(J1153&gt;Parâmetros!$C$14,"SIM","NAO"))</f>
        <v/>
      </c>
      <c r="V1153" s="5" t="str">
        <f aca="false">IF(B1153="","",TRIM(LEFT(B1153,IFERROR(FIND(" ",B1153)-1,LEN(B1153)))))</f>
        <v/>
      </c>
      <c r="W1153" s="22"/>
      <c r="X1153" s="5" t="str">
        <f aca="false">IF(A1153="","",IF(W1153&lt;&gt;"",W1153,V1153))</f>
        <v/>
      </c>
      <c r="Y1153" s="5" t="str">
        <f aca="false">IF(A1153="","",IF(COUNTIFS($X$2:$X$2001,X1153,$D$2:$D$2001,"&lt;&gt;"&amp;D1153,$C$2:$C$2001,C1153)&gt;0,"SIM","NAO"))</f>
        <v/>
      </c>
      <c r="Z1153" s="5" t="str">
        <f aca="false">IF(A1153="","",IF(J1153="","",IFERROR(360/J1153,"")))</f>
        <v/>
      </c>
      <c r="AA1153" s="5" t="str">
        <f aca="false">IF(A1153="","",IF(H1153=0,"Parado (sem venda 90d)",IF(Z1153&gt;12,"Alto (&gt;12x/ano)",IF(Z1153&gt;=4,"Medio (4-12x/ano)","Baixo (&lt;4x/ano)"))))</f>
        <v/>
      </c>
    </row>
    <row r="1154" customFormat="false" ht="15" hidden="false" customHeight="true" outlineLevel="0" collapsed="false">
      <c r="A1154" s="6"/>
      <c r="B1154" s="6"/>
      <c r="C1154" s="6"/>
      <c r="D1154" s="6"/>
      <c r="E1154" s="6"/>
      <c r="F1154" s="6"/>
      <c r="G1154" s="6"/>
      <c r="H1154" s="6"/>
      <c r="I1154" s="6"/>
      <c r="J1154" s="6"/>
      <c r="K1154" s="18"/>
      <c r="L1154" s="19" t="str">
        <f aca="false">IF(A1154="","",G1154*K1154)</f>
        <v/>
      </c>
      <c r="M1154" s="20"/>
      <c r="N1154" s="6"/>
      <c r="O1154" s="6"/>
      <c r="P1154" s="5" t="str">
        <f aca="false">IF(A1154="","",H1154/90)</f>
        <v/>
      </c>
      <c r="Q1154" s="5" t="str">
        <f aca="false">IF(A1154="","",IFERROR(INDEX(Parâmetros!$C$6:$C$10,MATCH(F1154,Parâmetros!$B$6:$B$10,0)),""))</f>
        <v/>
      </c>
      <c r="R1154" s="5" t="str">
        <f aca="false">IF(OR(A1154="",P1154="",Q1154=""),"",P1154*Q1154)</f>
        <v/>
      </c>
      <c r="S1154" s="5" t="str">
        <f aca="false">IF(R1154="","",MAX(0,R1154-G1154))</f>
        <v/>
      </c>
      <c r="T1154" s="21" t="str">
        <f aca="false">IF(S1154="","",S1154*K1154)</f>
        <v/>
      </c>
      <c r="U1154" s="5" t="str">
        <f aca="false">IF(A1154="","",IF(J1154&gt;Parâmetros!$C$14,"SIM","NAO"))</f>
        <v/>
      </c>
      <c r="V1154" s="5" t="str">
        <f aca="false">IF(B1154="","",TRIM(LEFT(B1154,IFERROR(FIND(" ",B1154)-1,LEN(B1154)))))</f>
        <v/>
      </c>
      <c r="W1154" s="22"/>
      <c r="X1154" s="5" t="str">
        <f aca="false">IF(A1154="","",IF(W1154&lt;&gt;"",W1154,V1154))</f>
        <v/>
      </c>
      <c r="Y1154" s="5" t="str">
        <f aca="false">IF(A1154="","",IF(COUNTIFS($X$2:$X$2001,X1154,$D$2:$D$2001,"&lt;&gt;"&amp;D1154,$C$2:$C$2001,C1154)&gt;0,"SIM","NAO"))</f>
        <v/>
      </c>
      <c r="Z1154" s="5" t="str">
        <f aca="false">IF(A1154="","",IF(J1154="","",IFERROR(360/J1154,"")))</f>
        <v/>
      </c>
      <c r="AA1154" s="5" t="str">
        <f aca="false">IF(A1154="","",IF(H1154=0,"Parado (sem venda 90d)",IF(Z1154&gt;12,"Alto (&gt;12x/ano)",IF(Z1154&gt;=4,"Medio (4-12x/ano)","Baixo (&lt;4x/ano)"))))</f>
        <v/>
      </c>
    </row>
    <row r="1155" customFormat="false" ht="15" hidden="false" customHeight="true" outlineLevel="0" collapsed="false">
      <c r="A1155" s="6"/>
      <c r="B1155" s="6"/>
      <c r="C1155" s="6"/>
      <c r="D1155" s="6"/>
      <c r="E1155" s="6"/>
      <c r="F1155" s="6"/>
      <c r="G1155" s="6"/>
      <c r="H1155" s="6"/>
      <c r="I1155" s="6"/>
      <c r="J1155" s="6"/>
      <c r="K1155" s="18"/>
      <c r="L1155" s="19" t="str">
        <f aca="false">IF(A1155="","",G1155*K1155)</f>
        <v/>
      </c>
      <c r="M1155" s="20"/>
      <c r="N1155" s="6"/>
      <c r="O1155" s="6"/>
      <c r="P1155" s="5" t="str">
        <f aca="false">IF(A1155="","",H1155/90)</f>
        <v/>
      </c>
      <c r="Q1155" s="5" t="str">
        <f aca="false">IF(A1155="","",IFERROR(INDEX(Parâmetros!$C$6:$C$10,MATCH(F1155,Parâmetros!$B$6:$B$10,0)),""))</f>
        <v/>
      </c>
      <c r="R1155" s="5" t="str">
        <f aca="false">IF(OR(A1155="",P1155="",Q1155=""),"",P1155*Q1155)</f>
        <v/>
      </c>
      <c r="S1155" s="5" t="str">
        <f aca="false">IF(R1155="","",MAX(0,R1155-G1155))</f>
        <v/>
      </c>
      <c r="T1155" s="21" t="str">
        <f aca="false">IF(S1155="","",S1155*K1155)</f>
        <v/>
      </c>
      <c r="U1155" s="5" t="str">
        <f aca="false">IF(A1155="","",IF(J1155&gt;Parâmetros!$C$14,"SIM","NAO"))</f>
        <v/>
      </c>
      <c r="V1155" s="5" t="str">
        <f aca="false">IF(B1155="","",TRIM(LEFT(B1155,IFERROR(FIND(" ",B1155)-1,LEN(B1155)))))</f>
        <v/>
      </c>
      <c r="W1155" s="22"/>
      <c r="X1155" s="5" t="str">
        <f aca="false">IF(A1155="","",IF(W1155&lt;&gt;"",W1155,V1155))</f>
        <v/>
      </c>
      <c r="Y1155" s="5" t="str">
        <f aca="false">IF(A1155="","",IF(COUNTIFS($X$2:$X$2001,X1155,$D$2:$D$2001,"&lt;&gt;"&amp;D1155,$C$2:$C$2001,C1155)&gt;0,"SIM","NAO"))</f>
        <v/>
      </c>
      <c r="Z1155" s="5" t="str">
        <f aca="false">IF(A1155="","",IF(J1155="","",IFERROR(360/J1155,"")))</f>
        <v/>
      </c>
      <c r="AA1155" s="5" t="str">
        <f aca="false">IF(A1155="","",IF(H1155=0,"Parado (sem venda 90d)",IF(Z1155&gt;12,"Alto (&gt;12x/ano)",IF(Z1155&gt;=4,"Medio (4-12x/ano)","Baixo (&lt;4x/ano)"))))</f>
        <v/>
      </c>
    </row>
    <row r="1156" customFormat="false" ht="15" hidden="false" customHeight="true" outlineLevel="0" collapsed="false">
      <c r="A1156" s="6"/>
      <c r="B1156" s="6"/>
      <c r="C1156" s="6"/>
      <c r="D1156" s="6"/>
      <c r="E1156" s="6"/>
      <c r="F1156" s="6"/>
      <c r="G1156" s="6"/>
      <c r="H1156" s="6"/>
      <c r="I1156" s="6"/>
      <c r="J1156" s="6"/>
      <c r="K1156" s="18"/>
      <c r="L1156" s="19" t="str">
        <f aca="false">IF(A1156="","",G1156*K1156)</f>
        <v/>
      </c>
      <c r="M1156" s="20"/>
      <c r="N1156" s="6"/>
      <c r="O1156" s="6"/>
      <c r="P1156" s="5" t="str">
        <f aca="false">IF(A1156="","",H1156/90)</f>
        <v/>
      </c>
      <c r="Q1156" s="5" t="str">
        <f aca="false">IF(A1156="","",IFERROR(INDEX(Parâmetros!$C$6:$C$10,MATCH(F1156,Parâmetros!$B$6:$B$10,0)),""))</f>
        <v/>
      </c>
      <c r="R1156" s="5" t="str">
        <f aca="false">IF(OR(A1156="",P1156="",Q1156=""),"",P1156*Q1156)</f>
        <v/>
      </c>
      <c r="S1156" s="5" t="str">
        <f aca="false">IF(R1156="","",MAX(0,R1156-G1156))</f>
        <v/>
      </c>
      <c r="T1156" s="21" t="str">
        <f aca="false">IF(S1156="","",S1156*K1156)</f>
        <v/>
      </c>
      <c r="U1156" s="5" t="str">
        <f aca="false">IF(A1156="","",IF(J1156&gt;Parâmetros!$C$14,"SIM","NAO"))</f>
        <v/>
      </c>
      <c r="V1156" s="5" t="str">
        <f aca="false">IF(B1156="","",TRIM(LEFT(B1156,IFERROR(FIND(" ",B1156)-1,LEN(B1156)))))</f>
        <v/>
      </c>
      <c r="W1156" s="22"/>
      <c r="X1156" s="5" t="str">
        <f aca="false">IF(A1156="","",IF(W1156&lt;&gt;"",W1156,V1156))</f>
        <v/>
      </c>
      <c r="Y1156" s="5" t="str">
        <f aca="false">IF(A1156="","",IF(COUNTIFS($X$2:$X$2001,X1156,$D$2:$D$2001,"&lt;&gt;"&amp;D1156,$C$2:$C$2001,C1156)&gt;0,"SIM","NAO"))</f>
        <v/>
      </c>
      <c r="Z1156" s="5" t="str">
        <f aca="false">IF(A1156="","",IF(J1156="","",IFERROR(360/J1156,"")))</f>
        <v/>
      </c>
      <c r="AA1156" s="5" t="str">
        <f aca="false">IF(A1156="","",IF(H1156=0,"Parado (sem venda 90d)",IF(Z1156&gt;12,"Alto (&gt;12x/ano)",IF(Z1156&gt;=4,"Medio (4-12x/ano)","Baixo (&lt;4x/ano)"))))</f>
        <v/>
      </c>
    </row>
    <row r="1157" customFormat="false" ht="15" hidden="false" customHeight="true" outlineLevel="0" collapsed="false">
      <c r="A1157" s="6"/>
      <c r="B1157" s="6"/>
      <c r="C1157" s="6"/>
      <c r="D1157" s="6"/>
      <c r="E1157" s="6"/>
      <c r="F1157" s="6"/>
      <c r="G1157" s="6"/>
      <c r="H1157" s="6"/>
      <c r="I1157" s="6"/>
      <c r="J1157" s="6"/>
      <c r="K1157" s="18"/>
      <c r="L1157" s="19" t="str">
        <f aca="false">IF(A1157="","",G1157*K1157)</f>
        <v/>
      </c>
      <c r="M1157" s="20"/>
      <c r="N1157" s="6"/>
      <c r="O1157" s="6"/>
      <c r="P1157" s="5" t="str">
        <f aca="false">IF(A1157="","",H1157/90)</f>
        <v/>
      </c>
      <c r="Q1157" s="5" t="str">
        <f aca="false">IF(A1157="","",IFERROR(INDEX(Parâmetros!$C$6:$C$10,MATCH(F1157,Parâmetros!$B$6:$B$10,0)),""))</f>
        <v/>
      </c>
      <c r="R1157" s="5" t="str">
        <f aca="false">IF(OR(A1157="",P1157="",Q1157=""),"",P1157*Q1157)</f>
        <v/>
      </c>
      <c r="S1157" s="5" t="str">
        <f aca="false">IF(R1157="","",MAX(0,R1157-G1157))</f>
        <v/>
      </c>
      <c r="T1157" s="21" t="str">
        <f aca="false">IF(S1157="","",S1157*K1157)</f>
        <v/>
      </c>
      <c r="U1157" s="5" t="str">
        <f aca="false">IF(A1157="","",IF(J1157&gt;Parâmetros!$C$14,"SIM","NAO"))</f>
        <v/>
      </c>
      <c r="V1157" s="5" t="str">
        <f aca="false">IF(B1157="","",TRIM(LEFT(B1157,IFERROR(FIND(" ",B1157)-1,LEN(B1157)))))</f>
        <v/>
      </c>
      <c r="W1157" s="22"/>
      <c r="X1157" s="5" t="str">
        <f aca="false">IF(A1157="","",IF(W1157&lt;&gt;"",W1157,V1157))</f>
        <v/>
      </c>
      <c r="Y1157" s="5" t="str">
        <f aca="false">IF(A1157="","",IF(COUNTIFS($X$2:$X$2001,X1157,$D$2:$D$2001,"&lt;&gt;"&amp;D1157,$C$2:$C$2001,C1157)&gt;0,"SIM","NAO"))</f>
        <v/>
      </c>
      <c r="Z1157" s="5" t="str">
        <f aca="false">IF(A1157="","",IF(J1157="","",IFERROR(360/J1157,"")))</f>
        <v/>
      </c>
      <c r="AA1157" s="5" t="str">
        <f aca="false">IF(A1157="","",IF(H1157=0,"Parado (sem venda 90d)",IF(Z1157&gt;12,"Alto (&gt;12x/ano)",IF(Z1157&gt;=4,"Medio (4-12x/ano)","Baixo (&lt;4x/ano)"))))</f>
        <v/>
      </c>
    </row>
    <row r="1158" customFormat="false" ht="15" hidden="false" customHeight="true" outlineLevel="0" collapsed="false">
      <c r="A1158" s="6"/>
      <c r="B1158" s="6"/>
      <c r="C1158" s="6"/>
      <c r="D1158" s="6"/>
      <c r="E1158" s="6"/>
      <c r="F1158" s="6"/>
      <c r="G1158" s="6"/>
      <c r="H1158" s="6"/>
      <c r="I1158" s="6"/>
      <c r="J1158" s="6"/>
      <c r="K1158" s="18"/>
      <c r="L1158" s="19" t="str">
        <f aca="false">IF(A1158="","",G1158*K1158)</f>
        <v/>
      </c>
      <c r="M1158" s="20"/>
      <c r="N1158" s="6"/>
      <c r="O1158" s="6"/>
      <c r="P1158" s="5" t="str">
        <f aca="false">IF(A1158="","",H1158/90)</f>
        <v/>
      </c>
      <c r="Q1158" s="5" t="str">
        <f aca="false">IF(A1158="","",IFERROR(INDEX(Parâmetros!$C$6:$C$10,MATCH(F1158,Parâmetros!$B$6:$B$10,0)),""))</f>
        <v/>
      </c>
      <c r="R1158" s="5" t="str">
        <f aca="false">IF(OR(A1158="",P1158="",Q1158=""),"",P1158*Q1158)</f>
        <v/>
      </c>
      <c r="S1158" s="5" t="str">
        <f aca="false">IF(R1158="","",MAX(0,R1158-G1158))</f>
        <v/>
      </c>
      <c r="T1158" s="21" t="str">
        <f aca="false">IF(S1158="","",S1158*K1158)</f>
        <v/>
      </c>
      <c r="U1158" s="5" t="str">
        <f aca="false">IF(A1158="","",IF(J1158&gt;Parâmetros!$C$14,"SIM","NAO"))</f>
        <v/>
      </c>
      <c r="V1158" s="5" t="str">
        <f aca="false">IF(B1158="","",TRIM(LEFT(B1158,IFERROR(FIND(" ",B1158)-1,LEN(B1158)))))</f>
        <v/>
      </c>
      <c r="W1158" s="22"/>
      <c r="X1158" s="5" t="str">
        <f aca="false">IF(A1158="","",IF(W1158&lt;&gt;"",W1158,V1158))</f>
        <v/>
      </c>
      <c r="Y1158" s="5" t="str">
        <f aca="false">IF(A1158="","",IF(COUNTIFS($X$2:$X$2001,X1158,$D$2:$D$2001,"&lt;&gt;"&amp;D1158,$C$2:$C$2001,C1158)&gt;0,"SIM","NAO"))</f>
        <v/>
      </c>
      <c r="Z1158" s="5" t="str">
        <f aca="false">IF(A1158="","",IF(J1158="","",IFERROR(360/J1158,"")))</f>
        <v/>
      </c>
      <c r="AA1158" s="5" t="str">
        <f aca="false">IF(A1158="","",IF(H1158=0,"Parado (sem venda 90d)",IF(Z1158&gt;12,"Alto (&gt;12x/ano)",IF(Z1158&gt;=4,"Medio (4-12x/ano)","Baixo (&lt;4x/ano)"))))</f>
        <v/>
      </c>
    </row>
    <row r="1159" customFormat="false" ht="15" hidden="false" customHeight="true" outlineLevel="0" collapsed="false">
      <c r="A1159" s="6"/>
      <c r="B1159" s="6"/>
      <c r="C1159" s="6"/>
      <c r="D1159" s="6"/>
      <c r="E1159" s="6"/>
      <c r="F1159" s="6"/>
      <c r="G1159" s="6"/>
      <c r="H1159" s="6"/>
      <c r="I1159" s="6"/>
      <c r="J1159" s="6"/>
      <c r="K1159" s="18"/>
      <c r="L1159" s="19" t="str">
        <f aca="false">IF(A1159="","",G1159*K1159)</f>
        <v/>
      </c>
      <c r="M1159" s="20"/>
      <c r="N1159" s="6"/>
      <c r="O1159" s="6"/>
      <c r="P1159" s="5" t="str">
        <f aca="false">IF(A1159="","",H1159/90)</f>
        <v/>
      </c>
      <c r="Q1159" s="5" t="str">
        <f aca="false">IF(A1159="","",IFERROR(INDEX(Parâmetros!$C$6:$C$10,MATCH(F1159,Parâmetros!$B$6:$B$10,0)),""))</f>
        <v/>
      </c>
      <c r="R1159" s="5" t="str">
        <f aca="false">IF(OR(A1159="",P1159="",Q1159=""),"",P1159*Q1159)</f>
        <v/>
      </c>
      <c r="S1159" s="5" t="str">
        <f aca="false">IF(R1159="","",MAX(0,R1159-G1159))</f>
        <v/>
      </c>
      <c r="T1159" s="21" t="str">
        <f aca="false">IF(S1159="","",S1159*K1159)</f>
        <v/>
      </c>
      <c r="U1159" s="5" t="str">
        <f aca="false">IF(A1159="","",IF(J1159&gt;Parâmetros!$C$14,"SIM","NAO"))</f>
        <v/>
      </c>
      <c r="V1159" s="5" t="str">
        <f aca="false">IF(B1159="","",TRIM(LEFT(B1159,IFERROR(FIND(" ",B1159)-1,LEN(B1159)))))</f>
        <v/>
      </c>
      <c r="W1159" s="22"/>
      <c r="X1159" s="5" t="str">
        <f aca="false">IF(A1159="","",IF(W1159&lt;&gt;"",W1159,V1159))</f>
        <v/>
      </c>
      <c r="Y1159" s="5" t="str">
        <f aca="false">IF(A1159="","",IF(COUNTIFS($X$2:$X$2001,X1159,$D$2:$D$2001,"&lt;&gt;"&amp;D1159,$C$2:$C$2001,C1159)&gt;0,"SIM","NAO"))</f>
        <v/>
      </c>
      <c r="Z1159" s="5" t="str">
        <f aca="false">IF(A1159="","",IF(J1159="","",IFERROR(360/J1159,"")))</f>
        <v/>
      </c>
      <c r="AA1159" s="5" t="str">
        <f aca="false">IF(A1159="","",IF(H1159=0,"Parado (sem venda 90d)",IF(Z1159&gt;12,"Alto (&gt;12x/ano)",IF(Z1159&gt;=4,"Medio (4-12x/ano)","Baixo (&lt;4x/ano)"))))</f>
        <v/>
      </c>
    </row>
    <row r="1160" customFormat="false" ht="15" hidden="false" customHeight="true" outlineLevel="0" collapsed="false">
      <c r="A1160" s="6"/>
      <c r="B1160" s="6"/>
      <c r="C1160" s="6"/>
      <c r="D1160" s="6"/>
      <c r="E1160" s="6"/>
      <c r="F1160" s="6"/>
      <c r="G1160" s="6"/>
      <c r="H1160" s="6"/>
      <c r="I1160" s="6"/>
      <c r="J1160" s="6"/>
      <c r="K1160" s="18"/>
      <c r="L1160" s="19" t="str">
        <f aca="false">IF(A1160="","",G1160*K1160)</f>
        <v/>
      </c>
      <c r="M1160" s="20"/>
      <c r="N1160" s="6"/>
      <c r="O1160" s="6"/>
      <c r="P1160" s="5" t="str">
        <f aca="false">IF(A1160="","",H1160/90)</f>
        <v/>
      </c>
      <c r="Q1160" s="5" t="str">
        <f aca="false">IF(A1160="","",IFERROR(INDEX(Parâmetros!$C$6:$C$10,MATCH(F1160,Parâmetros!$B$6:$B$10,0)),""))</f>
        <v/>
      </c>
      <c r="R1160" s="5" t="str">
        <f aca="false">IF(OR(A1160="",P1160="",Q1160=""),"",P1160*Q1160)</f>
        <v/>
      </c>
      <c r="S1160" s="5" t="str">
        <f aca="false">IF(R1160="","",MAX(0,R1160-G1160))</f>
        <v/>
      </c>
      <c r="T1160" s="21" t="str">
        <f aca="false">IF(S1160="","",S1160*K1160)</f>
        <v/>
      </c>
      <c r="U1160" s="5" t="str">
        <f aca="false">IF(A1160="","",IF(J1160&gt;Parâmetros!$C$14,"SIM","NAO"))</f>
        <v/>
      </c>
      <c r="V1160" s="5" t="str">
        <f aca="false">IF(B1160="","",TRIM(LEFT(B1160,IFERROR(FIND(" ",B1160)-1,LEN(B1160)))))</f>
        <v/>
      </c>
      <c r="W1160" s="22"/>
      <c r="X1160" s="5" t="str">
        <f aca="false">IF(A1160="","",IF(W1160&lt;&gt;"",W1160,V1160))</f>
        <v/>
      </c>
      <c r="Y1160" s="5" t="str">
        <f aca="false">IF(A1160="","",IF(COUNTIFS($X$2:$X$2001,X1160,$D$2:$D$2001,"&lt;&gt;"&amp;D1160,$C$2:$C$2001,C1160)&gt;0,"SIM","NAO"))</f>
        <v/>
      </c>
      <c r="Z1160" s="5" t="str">
        <f aca="false">IF(A1160="","",IF(J1160="","",IFERROR(360/J1160,"")))</f>
        <v/>
      </c>
      <c r="AA1160" s="5" t="str">
        <f aca="false">IF(A1160="","",IF(H1160=0,"Parado (sem venda 90d)",IF(Z1160&gt;12,"Alto (&gt;12x/ano)",IF(Z1160&gt;=4,"Medio (4-12x/ano)","Baixo (&lt;4x/ano)"))))</f>
        <v/>
      </c>
    </row>
    <row r="1161" customFormat="false" ht="15" hidden="false" customHeight="true" outlineLevel="0" collapsed="false">
      <c r="A1161" s="6"/>
      <c r="B1161" s="6"/>
      <c r="C1161" s="6"/>
      <c r="D1161" s="6"/>
      <c r="E1161" s="6"/>
      <c r="F1161" s="6"/>
      <c r="G1161" s="6"/>
      <c r="H1161" s="6"/>
      <c r="I1161" s="6"/>
      <c r="J1161" s="6"/>
      <c r="K1161" s="18"/>
      <c r="L1161" s="19" t="str">
        <f aca="false">IF(A1161="","",G1161*K1161)</f>
        <v/>
      </c>
      <c r="M1161" s="20"/>
      <c r="N1161" s="6"/>
      <c r="O1161" s="6"/>
      <c r="P1161" s="5" t="str">
        <f aca="false">IF(A1161="","",H1161/90)</f>
        <v/>
      </c>
      <c r="Q1161" s="5" t="str">
        <f aca="false">IF(A1161="","",IFERROR(INDEX(Parâmetros!$C$6:$C$10,MATCH(F1161,Parâmetros!$B$6:$B$10,0)),""))</f>
        <v/>
      </c>
      <c r="R1161" s="5" t="str">
        <f aca="false">IF(OR(A1161="",P1161="",Q1161=""),"",P1161*Q1161)</f>
        <v/>
      </c>
      <c r="S1161" s="5" t="str">
        <f aca="false">IF(R1161="","",MAX(0,R1161-G1161))</f>
        <v/>
      </c>
      <c r="T1161" s="21" t="str">
        <f aca="false">IF(S1161="","",S1161*K1161)</f>
        <v/>
      </c>
      <c r="U1161" s="5" t="str">
        <f aca="false">IF(A1161="","",IF(J1161&gt;Parâmetros!$C$14,"SIM","NAO"))</f>
        <v/>
      </c>
      <c r="V1161" s="5" t="str">
        <f aca="false">IF(B1161="","",TRIM(LEFT(B1161,IFERROR(FIND(" ",B1161)-1,LEN(B1161)))))</f>
        <v/>
      </c>
      <c r="W1161" s="22"/>
      <c r="X1161" s="5" t="str">
        <f aca="false">IF(A1161="","",IF(W1161&lt;&gt;"",W1161,V1161))</f>
        <v/>
      </c>
      <c r="Y1161" s="5" t="str">
        <f aca="false">IF(A1161="","",IF(COUNTIFS($X$2:$X$2001,X1161,$D$2:$D$2001,"&lt;&gt;"&amp;D1161,$C$2:$C$2001,C1161)&gt;0,"SIM","NAO"))</f>
        <v/>
      </c>
      <c r="Z1161" s="5" t="str">
        <f aca="false">IF(A1161="","",IF(J1161="","",IFERROR(360/J1161,"")))</f>
        <v/>
      </c>
      <c r="AA1161" s="5" t="str">
        <f aca="false">IF(A1161="","",IF(H1161=0,"Parado (sem venda 90d)",IF(Z1161&gt;12,"Alto (&gt;12x/ano)",IF(Z1161&gt;=4,"Medio (4-12x/ano)","Baixo (&lt;4x/ano)"))))</f>
        <v/>
      </c>
    </row>
    <row r="1162" customFormat="false" ht="15" hidden="false" customHeight="true" outlineLevel="0" collapsed="false">
      <c r="A1162" s="6"/>
      <c r="B1162" s="6"/>
      <c r="C1162" s="6"/>
      <c r="D1162" s="6"/>
      <c r="E1162" s="6"/>
      <c r="F1162" s="6"/>
      <c r="G1162" s="6"/>
      <c r="H1162" s="6"/>
      <c r="I1162" s="6"/>
      <c r="J1162" s="6"/>
      <c r="K1162" s="18"/>
      <c r="L1162" s="19" t="str">
        <f aca="false">IF(A1162="","",G1162*K1162)</f>
        <v/>
      </c>
      <c r="M1162" s="20"/>
      <c r="N1162" s="6"/>
      <c r="O1162" s="6"/>
      <c r="P1162" s="5" t="str">
        <f aca="false">IF(A1162="","",H1162/90)</f>
        <v/>
      </c>
      <c r="Q1162" s="5" t="str">
        <f aca="false">IF(A1162="","",IFERROR(INDEX(Parâmetros!$C$6:$C$10,MATCH(F1162,Parâmetros!$B$6:$B$10,0)),""))</f>
        <v/>
      </c>
      <c r="R1162" s="5" t="str">
        <f aca="false">IF(OR(A1162="",P1162="",Q1162=""),"",P1162*Q1162)</f>
        <v/>
      </c>
      <c r="S1162" s="5" t="str">
        <f aca="false">IF(R1162="","",MAX(0,R1162-G1162))</f>
        <v/>
      </c>
      <c r="T1162" s="21" t="str">
        <f aca="false">IF(S1162="","",S1162*K1162)</f>
        <v/>
      </c>
      <c r="U1162" s="5" t="str">
        <f aca="false">IF(A1162="","",IF(J1162&gt;Parâmetros!$C$14,"SIM","NAO"))</f>
        <v/>
      </c>
      <c r="V1162" s="5" t="str">
        <f aca="false">IF(B1162="","",TRIM(LEFT(B1162,IFERROR(FIND(" ",B1162)-1,LEN(B1162)))))</f>
        <v/>
      </c>
      <c r="W1162" s="22"/>
      <c r="X1162" s="5" t="str">
        <f aca="false">IF(A1162="","",IF(W1162&lt;&gt;"",W1162,V1162))</f>
        <v/>
      </c>
      <c r="Y1162" s="5" t="str">
        <f aca="false">IF(A1162="","",IF(COUNTIFS($X$2:$X$2001,X1162,$D$2:$D$2001,"&lt;&gt;"&amp;D1162,$C$2:$C$2001,C1162)&gt;0,"SIM","NAO"))</f>
        <v/>
      </c>
      <c r="Z1162" s="5" t="str">
        <f aca="false">IF(A1162="","",IF(J1162="","",IFERROR(360/J1162,"")))</f>
        <v/>
      </c>
      <c r="AA1162" s="5" t="str">
        <f aca="false">IF(A1162="","",IF(H1162=0,"Parado (sem venda 90d)",IF(Z1162&gt;12,"Alto (&gt;12x/ano)",IF(Z1162&gt;=4,"Medio (4-12x/ano)","Baixo (&lt;4x/ano)"))))</f>
        <v/>
      </c>
    </row>
    <row r="1163" customFormat="false" ht="15" hidden="false" customHeight="true" outlineLevel="0" collapsed="false">
      <c r="A1163" s="6"/>
      <c r="B1163" s="6"/>
      <c r="C1163" s="6"/>
      <c r="D1163" s="6"/>
      <c r="E1163" s="6"/>
      <c r="F1163" s="6"/>
      <c r="G1163" s="6"/>
      <c r="H1163" s="6"/>
      <c r="I1163" s="6"/>
      <c r="J1163" s="6"/>
      <c r="K1163" s="18"/>
      <c r="L1163" s="19" t="str">
        <f aca="false">IF(A1163="","",G1163*K1163)</f>
        <v/>
      </c>
      <c r="M1163" s="20"/>
      <c r="N1163" s="6"/>
      <c r="O1163" s="6"/>
      <c r="P1163" s="5" t="str">
        <f aca="false">IF(A1163="","",H1163/90)</f>
        <v/>
      </c>
      <c r="Q1163" s="5" t="str">
        <f aca="false">IF(A1163="","",IFERROR(INDEX(Parâmetros!$C$6:$C$10,MATCH(F1163,Parâmetros!$B$6:$B$10,0)),""))</f>
        <v/>
      </c>
      <c r="R1163" s="5" t="str">
        <f aca="false">IF(OR(A1163="",P1163="",Q1163=""),"",P1163*Q1163)</f>
        <v/>
      </c>
      <c r="S1163" s="5" t="str">
        <f aca="false">IF(R1163="","",MAX(0,R1163-G1163))</f>
        <v/>
      </c>
      <c r="T1163" s="21" t="str">
        <f aca="false">IF(S1163="","",S1163*K1163)</f>
        <v/>
      </c>
      <c r="U1163" s="5" t="str">
        <f aca="false">IF(A1163="","",IF(J1163&gt;Parâmetros!$C$14,"SIM","NAO"))</f>
        <v/>
      </c>
      <c r="V1163" s="5" t="str">
        <f aca="false">IF(B1163="","",TRIM(LEFT(B1163,IFERROR(FIND(" ",B1163)-1,LEN(B1163)))))</f>
        <v/>
      </c>
      <c r="W1163" s="22"/>
      <c r="X1163" s="5" t="str">
        <f aca="false">IF(A1163="","",IF(W1163&lt;&gt;"",W1163,V1163))</f>
        <v/>
      </c>
      <c r="Y1163" s="5" t="str">
        <f aca="false">IF(A1163="","",IF(COUNTIFS($X$2:$X$2001,X1163,$D$2:$D$2001,"&lt;&gt;"&amp;D1163,$C$2:$C$2001,C1163)&gt;0,"SIM","NAO"))</f>
        <v/>
      </c>
      <c r="Z1163" s="5" t="str">
        <f aca="false">IF(A1163="","",IF(J1163="","",IFERROR(360/J1163,"")))</f>
        <v/>
      </c>
      <c r="AA1163" s="5" t="str">
        <f aca="false">IF(A1163="","",IF(H1163=0,"Parado (sem venda 90d)",IF(Z1163&gt;12,"Alto (&gt;12x/ano)",IF(Z1163&gt;=4,"Medio (4-12x/ano)","Baixo (&lt;4x/ano)"))))</f>
        <v/>
      </c>
    </row>
    <row r="1164" customFormat="false" ht="15" hidden="false" customHeight="true" outlineLevel="0" collapsed="false">
      <c r="A1164" s="6"/>
      <c r="B1164" s="6"/>
      <c r="C1164" s="6"/>
      <c r="D1164" s="6"/>
      <c r="E1164" s="6"/>
      <c r="F1164" s="6"/>
      <c r="G1164" s="6"/>
      <c r="H1164" s="6"/>
      <c r="I1164" s="6"/>
      <c r="J1164" s="6"/>
      <c r="K1164" s="18"/>
      <c r="L1164" s="19" t="str">
        <f aca="false">IF(A1164="","",G1164*K1164)</f>
        <v/>
      </c>
      <c r="M1164" s="20"/>
      <c r="N1164" s="6"/>
      <c r="O1164" s="6"/>
      <c r="P1164" s="5" t="str">
        <f aca="false">IF(A1164="","",H1164/90)</f>
        <v/>
      </c>
      <c r="Q1164" s="5" t="str">
        <f aca="false">IF(A1164="","",IFERROR(INDEX(Parâmetros!$C$6:$C$10,MATCH(F1164,Parâmetros!$B$6:$B$10,0)),""))</f>
        <v/>
      </c>
      <c r="R1164" s="5" t="str">
        <f aca="false">IF(OR(A1164="",P1164="",Q1164=""),"",P1164*Q1164)</f>
        <v/>
      </c>
      <c r="S1164" s="5" t="str">
        <f aca="false">IF(R1164="","",MAX(0,R1164-G1164))</f>
        <v/>
      </c>
      <c r="T1164" s="21" t="str">
        <f aca="false">IF(S1164="","",S1164*K1164)</f>
        <v/>
      </c>
      <c r="U1164" s="5" t="str">
        <f aca="false">IF(A1164="","",IF(J1164&gt;Parâmetros!$C$14,"SIM","NAO"))</f>
        <v/>
      </c>
      <c r="V1164" s="5" t="str">
        <f aca="false">IF(B1164="","",TRIM(LEFT(B1164,IFERROR(FIND(" ",B1164)-1,LEN(B1164)))))</f>
        <v/>
      </c>
      <c r="W1164" s="22"/>
      <c r="X1164" s="5" t="str">
        <f aca="false">IF(A1164="","",IF(W1164&lt;&gt;"",W1164,V1164))</f>
        <v/>
      </c>
      <c r="Y1164" s="5" t="str">
        <f aca="false">IF(A1164="","",IF(COUNTIFS($X$2:$X$2001,X1164,$D$2:$D$2001,"&lt;&gt;"&amp;D1164,$C$2:$C$2001,C1164)&gt;0,"SIM","NAO"))</f>
        <v/>
      </c>
      <c r="Z1164" s="5" t="str">
        <f aca="false">IF(A1164="","",IF(J1164="","",IFERROR(360/J1164,"")))</f>
        <v/>
      </c>
      <c r="AA1164" s="5" t="str">
        <f aca="false">IF(A1164="","",IF(H1164=0,"Parado (sem venda 90d)",IF(Z1164&gt;12,"Alto (&gt;12x/ano)",IF(Z1164&gt;=4,"Medio (4-12x/ano)","Baixo (&lt;4x/ano)"))))</f>
        <v/>
      </c>
    </row>
    <row r="1165" customFormat="false" ht="15" hidden="false" customHeight="true" outlineLevel="0" collapsed="false">
      <c r="A1165" s="6"/>
      <c r="B1165" s="6"/>
      <c r="C1165" s="6"/>
      <c r="D1165" s="6"/>
      <c r="E1165" s="6"/>
      <c r="F1165" s="6"/>
      <c r="G1165" s="6"/>
      <c r="H1165" s="6"/>
      <c r="I1165" s="6"/>
      <c r="J1165" s="6"/>
      <c r="K1165" s="18"/>
      <c r="L1165" s="19" t="str">
        <f aca="false">IF(A1165="","",G1165*K1165)</f>
        <v/>
      </c>
      <c r="M1165" s="20"/>
      <c r="N1165" s="6"/>
      <c r="O1165" s="6"/>
      <c r="P1165" s="5" t="str">
        <f aca="false">IF(A1165="","",H1165/90)</f>
        <v/>
      </c>
      <c r="Q1165" s="5" t="str">
        <f aca="false">IF(A1165="","",IFERROR(INDEX(Parâmetros!$C$6:$C$10,MATCH(F1165,Parâmetros!$B$6:$B$10,0)),""))</f>
        <v/>
      </c>
      <c r="R1165" s="5" t="str">
        <f aca="false">IF(OR(A1165="",P1165="",Q1165=""),"",P1165*Q1165)</f>
        <v/>
      </c>
      <c r="S1165" s="5" t="str">
        <f aca="false">IF(R1165="","",MAX(0,R1165-G1165))</f>
        <v/>
      </c>
      <c r="T1165" s="21" t="str">
        <f aca="false">IF(S1165="","",S1165*K1165)</f>
        <v/>
      </c>
      <c r="U1165" s="5" t="str">
        <f aca="false">IF(A1165="","",IF(J1165&gt;Parâmetros!$C$14,"SIM","NAO"))</f>
        <v/>
      </c>
      <c r="V1165" s="5" t="str">
        <f aca="false">IF(B1165="","",TRIM(LEFT(B1165,IFERROR(FIND(" ",B1165)-1,LEN(B1165)))))</f>
        <v/>
      </c>
      <c r="W1165" s="22"/>
      <c r="X1165" s="5" t="str">
        <f aca="false">IF(A1165="","",IF(W1165&lt;&gt;"",W1165,V1165))</f>
        <v/>
      </c>
      <c r="Y1165" s="5" t="str">
        <f aca="false">IF(A1165="","",IF(COUNTIFS($X$2:$X$2001,X1165,$D$2:$D$2001,"&lt;&gt;"&amp;D1165,$C$2:$C$2001,C1165)&gt;0,"SIM","NAO"))</f>
        <v/>
      </c>
      <c r="Z1165" s="5" t="str">
        <f aca="false">IF(A1165="","",IF(J1165="","",IFERROR(360/J1165,"")))</f>
        <v/>
      </c>
      <c r="AA1165" s="5" t="str">
        <f aca="false">IF(A1165="","",IF(H1165=0,"Parado (sem venda 90d)",IF(Z1165&gt;12,"Alto (&gt;12x/ano)",IF(Z1165&gt;=4,"Medio (4-12x/ano)","Baixo (&lt;4x/ano)"))))</f>
        <v/>
      </c>
    </row>
    <row r="1166" customFormat="false" ht="15" hidden="false" customHeight="true" outlineLevel="0" collapsed="false">
      <c r="A1166" s="6"/>
      <c r="B1166" s="6"/>
      <c r="C1166" s="6"/>
      <c r="D1166" s="6"/>
      <c r="E1166" s="6"/>
      <c r="F1166" s="6"/>
      <c r="G1166" s="6"/>
      <c r="H1166" s="6"/>
      <c r="I1166" s="6"/>
      <c r="J1166" s="6"/>
      <c r="K1166" s="18"/>
      <c r="L1166" s="19" t="str">
        <f aca="false">IF(A1166="","",G1166*K1166)</f>
        <v/>
      </c>
      <c r="M1166" s="20"/>
      <c r="N1166" s="6"/>
      <c r="O1166" s="6"/>
      <c r="P1166" s="5" t="str">
        <f aca="false">IF(A1166="","",H1166/90)</f>
        <v/>
      </c>
      <c r="Q1166" s="5" t="str">
        <f aca="false">IF(A1166="","",IFERROR(INDEX(Parâmetros!$C$6:$C$10,MATCH(F1166,Parâmetros!$B$6:$B$10,0)),""))</f>
        <v/>
      </c>
      <c r="R1166" s="5" t="str">
        <f aca="false">IF(OR(A1166="",P1166="",Q1166=""),"",P1166*Q1166)</f>
        <v/>
      </c>
      <c r="S1166" s="5" t="str">
        <f aca="false">IF(R1166="","",MAX(0,R1166-G1166))</f>
        <v/>
      </c>
      <c r="T1166" s="21" t="str">
        <f aca="false">IF(S1166="","",S1166*K1166)</f>
        <v/>
      </c>
      <c r="U1166" s="5" t="str">
        <f aca="false">IF(A1166="","",IF(J1166&gt;Parâmetros!$C$14,"SIM","NAO"))</f>
        <v/>
      </c>
      <c r="V1166" s="5" t="str">
        <f aca="false">IF(B1166="","",TRIM(LEFT(B1166,IFERROR(FIND(" ",B1166)-1,LEN(B1166)))))</f>
        <v/>
      </c>
      <c r="W1166" s="22"/>
      <c r="X1166" s="5" t="str">
        <f aca="false">IF(A1166="","",IF(W1166&lt;&gt;"",W1166,V1166))</f>
        <v/>
      </c>
      <c r="Y1166" s="5" t="str">
        <f aca="false">IF(A1166="","",IF(COUNTIFS($X$2:$X$2001,X1166,$D$2:$D$2001,"&lt;&gt;"&amp;D1166,$C$2:$C$2001,C1166)&gt;0,"SIM","NAO"))</f>
        <v/>
      </c>
      <c r="Z1166" s="5" t="str">
        <f aca="false">IF(A1166="","",IF(J1166="","",IFERROR(360/J1166,"")))</f>
        <v/>
      </c>
      <c r="AA1166" s="5" t="str">
        <f aca="false">IF(A1166="","",IF(H1166=0,"Parado (sem venda 90d)",IF(Z1166&gt;12,"Alto (&gt;12x/ano)",IF(Z1166&gt;=4,"Medio (4-12x/ano)","Baixo (&lt;4x/ano)"))))</f>
        <v/>
      </c>
    </row>
    <row r="1167" customFormat="false" ht="15" hidden="false" customHeight="true" outlineLevel="0" collapsed="false">
      <c r="A1167" s="6"/>
      <c r="B1167" s="6"/>
      <c r="C1167" s="6"/>
      <c r="D1167" s="6"/>
      <c r="E1167" s="6"/>
      <c r="F1167" s="6"/>
      <c r="G1167" s="6"/>
      <c r="H1167" s="6"/>
      <c r="I1167" s="6"/>
      <c r="J1167" s="6"/>
      <c r="K1167" s="18"/>
      <c r="L1167" s="19" t="str">
        <f aca="false">IF(A1167="","",G1167*K1167)</f>
        <v/>
      </c>
      <c r="M1167" s="20"/>
      <c r="N1167" s="6"/>
      <c r="O1167" s="6"/>
      <c r="P1167" s="5" t="str">
        <f aca="false">IF(A1167="","",H1167/90)</f>
        <v/>
      </c>
      <c r="Q1167" s="5" t="str">
        <f aca="false">IF(A1167="","",IFERROR(INDEX(Parâmetros!$C$6:$C$10,MATCH(F1167,Parâmetros!$B$6:$B$10,0)),""))</f>
        <v/>
      </c>
      <c r="R1167" s="5" t="str">
        <f aca="false">IF(OR(A1167="",P1167="",Q1167=""),"",P1167*Q1167)</f>
        <v/>
      </c>
      <c r="S1167" s="5" t="str">
        <f aca="false">IF(R1167="","",MAX(0,R1167-G1167))</f>
        <v/>
      </c>
      <c r="T1167" s="21" t="str">
        <f aca="false">IF(S1167="","",S1167*K1167)</f>
        <v/>
      </c>
      <c r="U1167" s="5" t="str">
        <f aca="false">IF(A1167="","",IF(J1167&gt;Parâmetros!$C$14,"SIM","NAO"))</f>
        <v/>
      </c>
      <c r="V1167" s="5" t="str">
        <f aca="false">IF(B1167="","",TRIM(LEFT(B1167,IFERROR(FIND(" ",B1167)-1,LEN(B1167)))))</f>
        <v/>
      </c>
      <c r="W1167" s="22"/>
      <c r="X1167" s="5" t="str">
        <f aca="false">IF(A1167="","",IF(W1167&lt;&gt;"",W1167,V1167))</f>
        <v/>
      </c>
      <c r="Y1167" s="5" t="str">
        <f aca="false">IF(A1167="","",IF(COUNTIFS($X$2:$X$2001,X1167,$D$2:$D$2001,"&lt;&gt;"&amp;D1167,$C$2:$C$2001,C1167)&gt;0,"SIM","NAO"))</f>
        <v/>
      </c>
      <c r="Z1167" s="5" t="str">
        <f aca="false">IF(A1167="","",IF(J1167="","",IFERROR(360/J1167,"")))</f>
        <v/>
      </c>
      <c r="AA1167" s="5" t="str">
        <f aca="false">IF(A1167="","",IF(H1167=0,"Parado (sem venda 90d)",IF(Z1167&gt;12,"Alto (&gt;12x/ano)",IF(Z1167&gt;=4,"Medio (4-12x/ano)","Baixo (&lt;4x/ano)"))))</f>
        <v/>
      </c>
    </row>
    <row r="1168" customFormat="false" ht="15" hidden="false" customHeight="true" outlineLevel="0" collapsed="false">
      <c r="A1168" s="6"/>
      <c r="B1168" s="6"/>
      <c r="C1168" s="6"/>
      <c r="D1168" s="6"/>
      <c r="E1168" s="6"/>
      <c r="F1168" s="6"/>
      <c r="G1168" s="6"/>
      <c r="H1168" s="6"/>
      <c r="I1168" s="6"/>
      <c r="J1168" s="6"/>
      <c r="K1168" s="18"/>
      <c r="L1168" s="19" t="str">
        <f aca="false">IF(A1168="","",G1168*K1168)</f>
        <v/>
      </c>
      <c r="M1168" s="20"/>
      <c r="N1168" s="6"/>
      <c r="O1168" s="6"/>
      <c r="P1168" s="5" t="str">
        <f aca="false">IF(A1168="","",H1168/90)</f>
        <v/>
      </c>
      <c r="Q1168" s="5" t="str">
        <f aca="false">IF(A1168="","",IFERROR(INDEX(Parâmetros!$C$6:$C$10,MATCH(F1168,Parâmetros!$B$6:$B$10,0)),""))</f>
        <v/>
      </c>
      <c r="R1168" s="5" t="str">
        <f aca="false">IF(OR(A1168="",P1168="",Q1168=""),"",P1168*Q1168)</f>
        <v/>
      </c>
      <c r="S1168" s="5" t="str">
        <f aca="false">IF(R1168="","",MAX(0,R1168-G1168))</f>
        <v/>
      </c>
      <c r="T1168" s="21" t="str">
        <f aca="false">IF(S1168="","",S1168*K1168)</f>
        <v/>
      </c>
      <c r="U1168" s="5" t="str">
        <f aca="false">IF(A1168="","",IF(J1168&gt;Parâmetros!$C$14,"SIM","NAO"))</f>
        <v/>
      </c>
      <c r="V1168" s="5" t="str">
        <f aca="false">IF(B1168="","",TRIM(LEFT(B1168,IFERROR(FIND(" ",B1168)-1,LEN(B1168)))))</f>
        <v/>
      </c>
      <c r="W1168" s="22"/>
      <c r="X1168" s="5" t="str">
        <f aca="false">IF(A1168="","",IF(W1168&lt;&gt;"",W1168,V1168))</f>
        <v/>
      </c>
      <c r="Y1168" s="5" t="str">
        <f aca="false">IF(A1168="","",IF(COUNTIFS($X$2:$X$2001,X1168,$D$2:$D$2001,"&lt;&gt;"&amp;D1168,$C$2:$C$2001,C1168)&gt;0,"SIM","NAO"))</f>
        <v/>
      </c>
      <c r="Z1168" s="5" t="str">
        <f aca="false">IF(A1168="","",IF(J1168="","",IFERROR(360/J1168,"")))</f>
        <v/>
      </c>
      <c r="AA1168" s="5" t="str">
        <f aca="false">IF(A1168="","",IF(H1168=0,"Parado (sem venda 90d)",IF(Z1168&gt;12,"Alto (&gt;12x/ano)",IF(Z1168&gt;=4,"Medio (4-12x/ano)","Baixo (&lt;4x/ano)"))))</f>
        <v/>
      </c>
    </row>
    <row r="1169" customFormat="false" ht="15" hidden="false" customHeight="true" outlineLevel="0" collapsed="false">
      <c r="A1169" s="6"/>
      <c r="B1169" s="6"/>
      <c r="C1169" s="6"/>
      <c r="D1169" s="6"/>
      <c r="E1169" s="6"/>
      <c r="F1169" s="6"/>
      <c r="G1169" s="6"/>
      <c r="H1169" s="6"/>
      <c r="I1169" s="6"/>
      <c r="J1169" s="6"/>
      <c r="K1169" s="18"/>
      <c r="L1169" s="19" t="str">
        <f aca="false">IF(A1169="","",G1169*K1169)</f>
        <v/>
      </c>
      <c r="M1169" s="20"/>
      <c r="N1169" s="6"/>
      <c r="O1169" s="6"/>
      <c r="P1169" s="5" t="str">
        <f aca="false">IF(A1169="","",H1169/90)</f>
        <v/>
      </c>
      <c r="Q1169" s="5" t="str">
        <f aca="false">IF(A1169="","",IFERROR(INDEX(Parâmetros!$C$6:$C$10,MATCH(F1169,Parâmetros!$B$6:$B$10,0)),""))</f>
        <v/>
      </c>
      <c r="R1169" s="5" t="str">
        <f aca="false">IF(OR(A1169="",P1169="",Q1169=""),"",P1169*Q1169)</f>
        <v/>
      </c>
      <c r="S1169" s="5" t="str">
        <f aca="false">IF(R1169="","",MAX(0,R1169-G1169))</f>
        <v/>
      </c>
      <c r="T1169" s="21" t="str">
        <f aca="false">IF(S1169="","",S1169*K1169)</f>
        <v/>
      </c>
      <c r="U1169" s="5" t="str">
        <f aca="false">IF(A1169="","",IF(J1169&gt;Parâmetros!$C$14,"SIM","NAO"))</f>
        <v/>
      </c>
      <c r="V1169" s="5" t="str">
        <f aca="false">IF(B1169="","",TRIM(LEFT(B1169,IFERROR(FIND(" ",B1169)-1,LEN(B1169)))))</f>
        <v/>
      </c>
      <c r="W1169" s="22"/>
      <c r="X1169" s="5" t="str">
        <f aca="false">IF(A1169="","",IF(W1169&lt;&gt;"",W1169,V1169))</f>
        <v/>
      </c>
      <c r="Y1169" s="5" t="str">
        <f aca="false">IF(A1169="","",IF(COUNTIFS($X$2:$X$2001,X1169,$D$2:$D$2001,"&lt;&gt;"&amp;D1169,$C$2:$C$2001,C1169)&gt;0,"SIM","NAO"))</f>
        <v/>
      </c>
      <c r="Z1169" s="5" t="str">
        <f aca="false">IF(A1169="","",IF(J1169="","",IFERROR(360/J1169,"")))</f>
        <v/>
      </c>
      <c r="AA1169" s="5" t="str">
        <f aca="false">IF(A1169="","",IF(H1169=0,"Parado (sem venda 90d)",IF(Z1169&gt;12,"Alto (&gt;12x/ano)",IF(Z1169&gt;=4,"Medio (4-12x/ano)","Baixo (&lt;4x/ano)"))))</f>
        <v/>
      </c>
    </row>
    <row r="1170" customFormat="false" ht="15" hidden="false" customHeight="true" outlineLevel="0" collapsed="false">
      <c r="A1170" s="6"/>
      <c r="B1170" s="6"/>
      <c r="C1170" s="6"/>
      <c r="D1170" s="6"/>
      <c r="E1170" s="6"/>
      <c r="F1170" s="6"/>
      <c r="G1170" s="6"/>
      <c r="H1170" s="6"/>
      <c r="I1170" s="6"/>
      <c r="J1170" s="6"/>
      <c r="K1170" s="18"/>
      <c r="L1170" s="19" t="str">
        <f aca="false">IF(A1170="","",G1170*K1170)</f>
        <v/>
      </c>
      <c r="M1170" s="20"/>
      <c r="N1170" s="6"/>
      <c r="O1170" s="6"/>
      <c r="P1170" s="5" t="str">
        <f aca="false">IF(A1170="","",H1170/90)</f>
        <v/>
      </c>
      <c r="Q1170" s="5" t="str">
        <f aca="false">IF(A1170="","",IFERROR(INDEX(Parâmetros!$C$6:$C$10,MATCH(F1170,Parâmetros!$B$6:$B$10,0)),""))</f>
        <v/>
      </c>
      <c r="R1170" s="5" t="str">
        <f aca="false">IF(OR(A1170="",P1170="",Q1170=""),"",P1170*Q1170)</f>
        <v/>
      </c>
      <c r="S1170" s="5" t="str">
        <f aca="false">IF(R1170="","",MAX(0,R1170-G1170))</f>
        <v/>
      </c>
      <c r="T1170" s="21" t="str">
        <f aca="false">IF(S1170="","",S1170*K1170)</f>
        <v/>
      </c>
      <c r="U1170" s="5" t="str">
        <f aca="false">IF(A1170="","",IF(J1170&gt;Parâmetros!$C$14,"SIM","NAO"))</f>
        <v/>
      </c>
      <c r="V1170" s="5" t="str">
        <f aca="false">IF(B1170="","",TRIM(LEFT(B1170,IFERROR(FIND(" ",B1170)-1,LEN(B1170)))))</f>
        <v/>
      </c>
      <c r="W1170" s="22"/>
      <c r="X1170" s="5" t="str">
        <f aca="false">IF(A1170="","",IF(W1170&lt;&gt;"",W1170,V1170))</f>
        <v/>
      </c>
      <c r="Y1170" s="5" t="str">
        <f aca="false">IF(A1170="","",IF(COUNTIFS($X$2:$X$2001,X1170,$D$2:$D$2001,"&lt;&gt;"&amp;D1170,$C$2:$C$2001,C1170)&gt;0,"SIM","NAO"))</f>
        <v/>
      </c>
      <c r="Z1170" s="5" t="str">
        <f aca="false">IF(A1170="","",IF(J1170="","",IFERROR(360/J1170,"")))</f>
        <v/>
      </c>
      <c r="AA1170" s="5" t="str">
        <f aca="false">IF(A1170="","",IF(H1170=0,"Parado (sem venda 90d)",IF(Z1170&gt;12,"Alto (&gt;12x/ano)",IF(Z1170&gt;=4,"Medio (4-12x/ano)","Baixo (&lt;4x/ano)"))))</f>
        <v/>
      </c>
    </row>
    <row r="1171" customFormat="false" ht="15" hidden="false" customHeight="true" outlineLevel="0" collapsed="false">
      <c r="A1171" s="6"/>
      <c r="B1171" s="6"/>
      <c r="C1171" s="6"/>
      <c r="D1171" s="6"/>
      <c r="E1171" s="6"/>
      <c r="F1171" s="6"/>
      <c r="G1171" s="6"/>
      <c r="H1171" s="6"/>
      <c r="I1171" s="6"/>
      <c r="J1171" s="6"/>
      <c r="K1171" s="18"/>
      <c r="L1171" s="19" t="str">
        <f aca="false">IF(A1171="","",G1171*K1171)</f>
        <v/>
      </c>
      <c r="M1171" s="20"/>
      <c r="N1171" s="6"/>
      <c r="O1171" s="6"/>
      <c r="P1171" s="5" t="str">
        <f aca="false">IF(A1171="","",H1171/90)</f>
        <v/>
      </c>
      <c r="Q1171" s="5" t="str">
        <f aca="false">IF(A1171="","",IFERROR(INDEX(Parâmetros!$C$6:$C$10,MATCH(F1171,Parâmetros!$B$6:$B$10,0)),""))</f>
        <v/>
      </c>
      <c r="R1171" s="5" t="str">
        <f aca="false">IF(OR(A1171="",P1171="",Q1171=""),"",P1171*Q1171)</f>
        <v/>
      </c>
      <c r="S1171" s="5" t="str">
        <f aca="false">IF(R1171="","",MAX(0,R1171-G1171))</f>
        <v/>
      </c>
      <c r="T1171" s="21" t="str">
        <f aca="false">IF(S1171="","",S1171*K1171)</f>
        <v/>
      </c>
      <c r="U1171" s="5" t="str">
        <f aca="false">IF(A1171="","",IF(J1171&gt;Parâmetros!$C$14,"SIM","NAO"))</f>
        <v/>
      </c>
      <c r="V1171" s="5" t="str">
        <f aca="false">IF(B1171="","",TRIM(LEFT(B1171,IFERROR(FIND(" ",B1171)-1,LEN(B1171)))))</f>
        <v/>
      </c>
      <c r="W1171" s="22"/>
      <c r="X1171" s="5" t="str">
        <f aca="false">IF(A1171="","",IF(W1171&lt;&gt;"",W1171,V1171))</f>
        <v/>
      </c>
      <c r="Y1171" s="5" t="str">
        <f aca="false">IF(A1171="","",IF(COUNTIFS($X$2:$X$2001,X1171,$D$2:$D$2001,"&lt;&gt;"&amp;D1171,$C$2:$C$2001,C1171)&gt;0,"SIM","NAO"))</f>
        <v/>
      </c>
      <c r="Z1171" s="5" t="str">
        <f aca="false">IF(A1171="","",IF(J1171="","",IFERROR(360/J1171,"")))</f>
        <v/>
      </c>
      <c r="AA1171" s="5" t="str">
        <f aca="false">IF(A1171="","",IF(H1171=0,"Parado (sem venda 90d)",IF(Z1171&gt;12,"Alto (&gt;12x/ano)",IF(Z1171&gt;=4,"Medio (4-12x/ano)","Baixo (&lt;4x/ano)"))))</f>
        <v/>
      </c>
    </row>
    <row r="1172" customFormat="false" ht="15" hidden="false" customHeight="true" outlineLevel="0" collapsed="false">
      <c r="A1172" s="6"/>
      <c r="B1172" s="6"/>
      <c r="C1172" s="6"/>
      <c r="D1172" s="6"/>
      <c r="E1172" s="6"/>
      <c r="F1172" s="6"/>
      <c r="G1172" s="6"/>
      <c r="H1172" s="6"/>
      <c r="I1172" s="6"/>
      <c r="J1172" s="6"/>
      <c r="K1172" s="18"/>
      <c r="L1172" s="19" t="str">
        <f aca="false">IF(A1172="","",G1172*K1172)</f>
        <v/>
      </c>
      <c r="M1172" s="20"/>
      <c r="N1172" s="6"/>
      <c r="O1172" s="6"/>
      <c r="P1172" s="5" t="str">
        <f aca="false">IF(A1172="","",H1172/90)</f>
        <v/>
      </c>
      <c r="Q1172" s="5" t="str">
        <f aca="false">IF(A1172="","",IFERROR(INDEX(Parâmetros!$C$6:$C$10,MATCH(F1172,Parâmetros!$B$6:$B$10,0)),""))</f>
        <v/>
      </c>
      <c r="R1172" s="5" t="str">
        <f aca="false">IF(OR(A1172="",P1172="",Q1172=""),"",P1172*Q1172)</f>
        <v/>
      </c>
      <c r="S1172" s="5" t="str">
        <f aca="false">IF(R1172="","",MAX(0,R1172-G1172))</f>
        <v/>
      </c>
      <c r="T1172" s="21" t="str">
        <f aca="false">IF(S1172="","",S1172*K1172)</f>
        <v/>
      </c>
      <c r="U1172" s="5" t="str">
        <f aca="false">IF(A1172="","",IF(J1172&gt;Parâmetros!$C$14,"SIM","NAO"))</f>
        <v/>
      </c>
      <c r="V1172" s="5" t="str">
        <f aca="false">IF(B1172="","",TRIM(LEFT(B1172,IFERROR(FIND(" ",B1172)-1,LEN(B1172)))))</f>
        <v/>
      </c>
      <c r="W1172" s="22"/>
      <c r="X1172" s="5" t="str">
        <f aca="false">IF(A1172="","",IF(W1172&lt;&gt;"",W1172,V1172))</f>
        <v/>
      </c>
      <c r="Y1172" s="5" t="str">
        <f aca="false">IF(A1172="","",IF(COUNTIFS($X$2:$X$2001,X1172,$D$2:$D$2001,"&lt;&gt;"&amp;D1172,$C$2:$C$2001,C1172)&gt;0,"SIM","NAO"))</f>
        <v/>
      </c>
      <c r="Z1172" s="5" t="str">
        <f aca="false">IF(A1172="","",IF(J1172="","",IFERROR(360/J1172,"")))</f>
        <v/>
      </c>
      <c r="AA1172" s="5" t="str">
        <f aca="false">IF(A1172="","",IF(H1172=0,"Parado (sem venda 90d)",IF(Z1172&gt;12,"Alto (&gt;12x/ano)",IF(Z1172&gt;=4,"Medio (4-12x/ano)","Baixo (&lt;4x/ano)"))))</f>
        <v/>
      </c>
    </row>
    <row r="1173" customFormat="false" ht="15" hidden="false" customHeight="true" outlineLevel="0" collapsed="false">
      <c r="A1173" s="6"/>
      <c r="B1173" s="6"/>
      <c r="C1173" s="6"/>
      <c r="D1173" s="6"/>
      <c r="E1173" s="6"/>
      <c r="F1173" s="6"/>
      <c r="G1173" s="6"/>
      <c r="H1173" s="6"/>
      <c r="I1173" s="6"/>
      <c r="J1173" s="6"/>
      <c r="K1173" s="18"/>
      <c r="L1173" s="19" t="str">
        <f aca="false">IF(A1173="","",G1173*K1173)</f>
        <v/>
      </c>
      <c r="M1173" s="20"/>
      <c r="N1173" s="6"/>
      <c r="O1173" s="6"/>
      <c r="P1173" s="5" t="str">
        <f aca="false">IF(A1173="","",H1173/90)</f>
        <v/>
      </c>
      <c r="Q1173" s="5" t="str">
        <f aca="false">IF(A1173="","",IFERROR(INDEX(Parâmetros!$C$6:$C$10,MATCH(F1173,Parâmetros!$B$6:$B$10,0)),""))</f>
        <v/>
      </c>
      <c r="R1173" s="5" t="str">
        <f aca="false">IF(OR(A1173="",P1173="",Q1173=""),"",P1173*Q1173)</f>
        <v/>
      </c>
      <c r="S1173" s="5" t="str">
        <f aca="false">IF(R1173="","",MAX(0,R1173-G1173))</f>
        <v/>
      </c>
      <c r="T1173" s="21" t="str">
        <f aca="false">IF(S1173="","",S1173*K1173)</f>
        <v/>
      </c>
      <c r="U1173" s="5" t="str">
        <f aca="false">IF(A1173="","",IF(J1173&gt;Parâmetros!$C$14,"SIM","NAO"))</f>
        <v/>
      </c>
      <c r="V1173" s="5" t="str">
        <f aca="false">IF(B1173="","",TRIM(LEFT(B1173,IFERROR(FIND(" ",B1173)-1,LEN(B1173)))))</f>
        <v/>
      </c>
      <c r="W1173" s="22"/>
      <c r="X1173" s="5" t="str">
        <f aca="false">IF(A1173="","",IF(W1173&lt;&gt;"",W1173,V1173))</f>
        <v/>
      </c>
      <c r="Y1173" s="5" t="str">
        <f aca="false">IF(A1173="","",IF(COUNTIFS($X$2:$X$2001,X1173,$D$2:$D$2001,"&lt;&gt;"&amp;D1173,$C$2:$C$2001,C1173)&gt;0,"SIM","NAO"))</f>
        <v/>
      </c>
      <c r="Z1173" s="5" t="str">
        <f aca="false">IF(A1173="","",IF(J1173="","",IFERROR(360/J1173,"")))</f>
        <v/>
      </c>
      <c r="AA1173" s="5" t="str">
        <f aca="false">IF(A1173="","",IF(H1173=0,"Parado (sem venda 90d)",IF(Z1173&gt;12,"Alto (&gt;12x/ano)",IF(Z1173&gt;=4,"Medio (4-12x/ano)","Baixo (&lt;4x/ano)"))))</f>
        <v/>
      </c>
    </row>
    <row r="1174" customFormat="false" ht="15" hidden="false" customHeight="true" outlineLevel="0" collapsed="false">
      <c r="A1174" s="6"/>
      <c r="B1174" s="6"/>
      <c r="C1174" s="6"/>
      <c r="D1174" s="6"/>
      <c r="E1174" s="6"/>
      <c r="F1174" s="6"/>
      <c r="G1174" s="6"/>
      <c r="H1174" s="6"/>
      <c r="I1174" s="6"/>
      <c r="J1174" s="6"/>
      <c r="K1174" s="18"/>
      <c r="L1174" s="19" t="str">
        <f aca="false">IF(A1174="","",G1174*K1174)</f>
        <v/>
      </c>
      <c r="M1174" s="20"/>
      <c r="N1174" s="6"/>
      <c r="O1174" s="6"/>
      <c r="P1174" s="5" t="str">
        <f aca="false">IF(A1174="","",H1174/90)</f>
        <v/>
      </c>
      <c r="Q1174" s="5" t="str">
        <f aca="false">IF(A1174="","",IFERROR(INDEX(Parâmetros!$C$6:$C$10,MATCH(F1174,Parâmetros!$B$6:$B$10,0)),""))</f>
        <v/>
      </c>
      <c r="R1174" s="5" t="str">
        <f aca="false">IF(OR(A1174="",P1174="",Q1174=""),"",P1174*Q1174)</f>
        <v/>
      </c>
      <c r="S1174" s="5" t="str">
        <f aca="false">IF(R1174="","",MAX(0,R1174-G1174))</f>
        <v/>
      </c>
      <c r="T1174" s="21" t="str">
        <f aca="false">IF(S1174="","",S1174*K1174)</f>
        <v/>
      </c>
      <c r="U1174" s="5" t="str">
        <f aca="false">IF(A1174="","",IF(J1174&gt;Parâmetros!$C$14,"SIM","NAO"))</f>
        <v/>
      </c>
      <c r="V1174" s="5" t="str">
        <f aca="false">IF(B1174="","",TRIM(LEFT(B1174,IFERROR(FIND(" ",B1174)-1,LEN(B1174)))))</f>
        <v/>
      </c>
      <c r="W1174" s="22"/>
      <c r="X1174" s="5" t="str">
        <f aca="false">IF(A1174="","",IF(W1174&lt;&gt;"",W1174,V1174))</f>
        <v/>
      </c>
      <c r="Y1174" s="5" t="str">
        <f aca="false">IF(A1174="","",IF(COUNTIFS($X$2:$X$2001,X1174,$D$2:$D$2001,"&lt;&gt;"&amp;D1174,$C$2:$C$2001,C1174)&gt;0,"SIM","NAO"))</f>
        <v/>
      </c>
      <c r="Z1174" s="5" t="str">
        <f aca="false">IF(A1174="","",IF(J1174="","",IFERROR(360/J1174,"")))</f>
        <v/>
      </c>
      <c r="AA1174" s="5" t="str">
        <f aca="false">IF(A1174="","",IF(H1174=0,"Parado (sem venda 90d)",IF(Z1174&gt;12,"Alto (&gt;12x/ano)",IF(Z1174&gt;=4,"Medio (4-12x/ano)","Baixo (&lt;4x/ano)"))))</f>
        <v/>
      </c>
    </row>
    <row r="1175" customFormat="false" ht="15" hidden="false" customHeight="true" outlineLevel="0" collapsed="false">
      <c r="A1175" s="6"/>
      <c r="B1175" s="6"/>
      <c r="C1175" s="6"/>
      <c r="D1175" s="6"/>
      <c r="E1175" s="6"/>
      <c r="F1175" s="6"/>
      <c r="G1175" s="6"/>
      <c r="H1175" s="6"/>
      <c r="I1175" s="6"/>
      <c r="J1175" s="6"/>
      <c r="K1175" s="18"/>
      <c r="L1175" s="19" t="str">
        <f aca="false">IF(A1175="","",G1175*K1175)</f>
        <v/>
      </c>
      <c r="M1175" s="20"/>
      <c r="N1175" s="6"/>
      <c r="O1175" s="6"/>
      <c r="P1175" s="5" t="str">
        <f aca="false">IF(A1175="","",H1175/90)</f>
        <v/>
      </c>
      <c r="Q1175" s="5" t="str">
        <f aca="false">IF(A1175="","",IFERROR(INDEX(Parâmetros!$C$6:$C$10,MATCH(F1175,Parâmetros!$B$6:$B$10,0)),""))</f>
        <v/>
      </c>
      <c r="R1175" s="5" t="str">
        <f aca="false">IF(OR(A1175="",P1175="",Q1175=""),"",P1175*Q1175)</f>
        <v/>
      </c>
      <c r="S1175" s="5" t="str">
        <f aca="false">IF(R1175="","",MAX(0,R1175-G1175))</f>
        <v/>
      </c>
      <c r="T1175" s="21" t="str">
        <f aca="false">IF(S1175="","",S1175*K1175)</f>
        <v/>
      </c>
      <c r="U1175" s="5" t="str">
        <f aca="false">IF(A1175="","",IF(J1175&gt;Parâmetros!$C$14,"SIM","NAO"))</f>
        <v/>
      </c>
      <c r="V1175" s="5" t="str">
        <f aca="false">IF(B1175="","",TRIM(LEFT(B1175,IFERROR(FIND(" ",B1175)-1,LEN(B1175)))))</f>
        <v/>
      </c>
      <c r="W1175" s="22"/>
      <c r="X1175" s="5" t="str">
        <f aca="false">IF(A1175="","",IF(W1175&lt;&gt;"",W1175,V1175))</f>
        <v/>
      </c>
      <c r="Y1175" s="5" t="str">
        <f aca="false">IF(A1175="","",IF(COUNTIFS($X$2:$X$2001,X1175,$D$2:$D$2001,"&lt;&gt;"&amp;D1175,$C$2:$C$2001,C1175)&gt;0,"SIM","NAO"))</f>
        <v/>
      </c>
      <c r="Z1175" s="5" t="str">
        <f aca="false">IF(A1175="","",IF(J1175="","",IFERROR(360/J1175,"")))</f>
        <v/>
      </c>
      <c r="AA1175" s="5" t="str">
        <f aca="false">IF(A1175="","",IF(H1175=0,"Parado (sem venda 90d)",IF(Z1175&gt;12,"Alto (&gt;12x/ano)",IF(Z1175&gt;=4,"Medio (4-12x/ano)","Baixo (&lt;4x/ano)"))))</f>
        <v/>
      </c>
    </row>
    <row r="1176" customFormat="false" ht="15" hidden="false" customHeight="true" outlineLevel="0" collapsed="false">
      <c r="A1176" s="6"/>
      <c r="B1176" s="6"/>
      <c r="C1176" s="6"/>
      <c r="D1176" s="6"/>
      <c r="E1176" s="6"/>
      <c r="F1176" s="6"/>
      <c r="G1176" s="6"/>
      <c r="H1176" s="6"/>
      <c r="I1176" s="6"/>
      <c r="J1176" s="6"/>
      <c r="K1176" s="18"/>
      <c r="L1176" s="19" t="str">
        <f aca="false">IF(A1176="","",G1176*K1176)</f>
        <v/>
      </c>
      <c r="M1176" s="20"/>
      <c r="N1176" s="6"/>
      <c r="O1176" s="6"/>
      <c r="P1176" s="5" t="str">
        <f aca="false">IF(A1176="","",H1176/90)</f>
        <v/>
      </c>
      <c r="Q1176" s="5" t="str">
        <f aca="false">IF(A1176="","",IFERROR(INDEX(Parâmetros!$C$6:$C$10,MATCH(F1176,Parâmetros!$B$6:$B$10,0)),""))</f>
        <v/>
      </c>
      <c r="R1176" s="5" t="str">
        <f aca="false">IF(OR(A1176="",P1176="",Q1176=""),"",P1176*Q1176)</f>
        <v/>
      </c>
      <c r="S1176" s="5" t="str">
        <f aca="false">IF(R1176="","",MAX(0,R1176-G1176))</f>
        <v/>
      </c>
      <c r="T1176" s="21" t="str">
        <f aca="false">IF(S1176="","",S1176*K1176)</f>
        <v/>
      </c>
      <c r="U1176" s="5" t="str">
        <f aca="false">IF(A1176="","",IF(J1176&gt;Parâmetros!$C$14,"SIM","NAO"))</f>
        <v/>
      </c>
      <c r="V1176" s="5" t="str">
        <f aca="false">IF(B1176="","",TRIM(LEFT(B1176,IFERROR(FIND(" ",B1176)-1,LEN(B1176)))))</f>
        <v/>
      </c>
      <c r="W1176" s="22"/>
      <c r="X1176" s="5" t="str">
        <f aca="false">IF(A1176="","",IF(W1176&lt;&gt;"",W1176,V1176))</f>
        <v/>
      </c>
      <c r="Y1176" s="5" t="str">
        <f aca="false">IF(A1176="","",IF(COUNTIFS($X$2:$X$2001,X1176,$D$2:$D$2001,"&lt;&gt;"&amp;D1176,$C$2:$C$2001,C1176)&gt;0,"SIM","NAO"))</f>
        <v/>
      </c>
      <c r="Z1176" s="5" t="str">
        <f aca="false">IF(A1176="","",IF(J1176="","",IFERROR(360/J1176,"")))</f>
        <v/>
      </c>
      <c r="AA1176" s="5" t="str">
        <f aca="false">IF(A1176="","",IF(H1176=0,"Parado (sem venda 90d)",IF(Z1176&gt;12,"Alto (&gt;12x/ano)",IF(Z1176&gt;=4,"Medio (4-12x/ano)","Baixo (&lt;4x/ano)"))))</f>
        <v/>
      </c>
    </row>
    <row r="1177" customFormat="false" ht="15" hidden="false" customHeight="true" outlineLevel="0" collapsed="false">
      <c r="A1177" s="6"/>
      <c r="B1177" s="6"/>
      <c r="C1177" s="6"/>
      <c r="D1177" s="6"/>
      <c r="E1177" s="6"/>
      <c r="F1177" s="6"/>
      <c r="G1177" s="6"/>
      <c r="H1177" s="6"/>
      <c r="I1177" s="6"/>
      <c r="J1177" s="6"/>
      <c r="K1177" s="18"/>
      <c r="L1177" s="19" t="str">
        <f aca="false">IF(A1177="","",G1177*K1177)</f>
        <v/>
      </c>
      <c r="M1177" s="20"/>
      <c r="N1177" s="6"/>
      <c r="O1177" s="6"/>
      <c r="P1177" s="5" t="str">
        <f aca="false">IF(A1177="","",H1177/90)</f>
        <v/>
      </c>
      <c r="Q1177" s="5" t="str">
        <f aca="false">IF(A1177="","",IFERROR(INDEX(Parâmetros!$C$6:$C$10,MATCH(F1177,Parâmetros!$B$6:$B$10,0)),""))</f>
        <v/>
      </c>
      <c r="R1177" s="5" t="str">
        <f aca="false">IF(OR(A1177="",P1177="",Q1177=""),"",P1177*Q1177)</f>
        <v/>
      </c>
      <c r="S1177" s="5" t="str">
        <f aca="false">IF(R1177="","",MAX(0,R1177-G1177))</f>
        <v/>
      </c>
      <c r="T1177" s="21" t="str">
        <f aca="false">IF(S1177="","",S1177*K1177)</f>
        <v/>
      </c>
      <c r="U1177" s="5" t="str">
        <f aca="false">IF(A1177="","",IF(J1177&gt;Parâmetros!$C$14,"SIM","NAO"))</f>
        <v/>
      </c>
      <c r="V1177" s="5" t="str">
        <f aca="false">IF(B1177="","",TRIM(LEFT(B1177,IFERROR(FIND(" ",B1177)-1,LEN(B1177)))))</f>
        <v/>
      </c>
      <c r="W1177" s="22"/>
      <c r="X1177" s="5" t="str">
        <f aca="false">IF(A1177="","",IF(W1177&lt;&gt;"",W1177,V1177))</f>
        <v/>
      </c>
      <c r="Y1177" s="5" t="str">
        <f aca="false">IF(A1177="","",IF(COUNTIFS($X$2:$X$2001,X1177,$D$2:$D$2001,"&lt;&gt;"&amp;D1177,$C$2:$C$2001,C1177)&gt;0,"SIM","NAO"))</f>
        <v/>
      </c>
      <c r="Z1177" s="5" t="str">
        <f aca="false">IF(A1177="","",IF(J1177="","",IFERROR(360/J1177,"")))</f>
        <v/>
      </c>
      <c r="AA1177" s="5" t="str">
        <f aca="false">IF(A1177="","",IF(H1177=0,"Parado (sem venda 90d)",IF(Z1177&gt;12,"Alto (&gt;12x/ano)",IF(Z1177&gt;=4,"Medio (4-12x/ano)","Baixo (&lt;4x/ano)"))))</f>
        <v/>
      </c>
    </row>
    <row r="1178" customFormat="false" ht="15" hidden="false" customHeight="true" outlineLevel="0" collapsed="false">
      <c r="A1178" s="6"/>
      <c r="B1178" s="6"/>
      <c r="C1178" s="6"/>
      <c r="D1178" s="6"/>
      <c r="E1178" s="6"/>
      <c r="F1178" s="6"/>
      <c r="G1178" s="6"/>
      <c r="H1178" s="6"/>
      <c r="I1178" s="6"/>
      <c r="J1178" s="6"/>
      <c r="K1178" s="18"/>
      <c r="L1178" s="19" t="str">
        <f aca="false">IF(A1178="","",G1178*K1178)</f>
        <v/>
      </c>
      <c r="M1178" s="20"/>
      <c r="N1178" s="6"/>
      <c r="O1178" s="6"/>
      <c r="P1178" s="5" t="str">
        <f aca="false">IF(A1178="","",H1178/90)</f>
        <v/>
      </c>
      <c r="Q1178" s="5" t="str">
        <f aca="false">IF(A1178="","",IFERROR(INDEX(Parâmetros!$C$6:$C$10,MATCH(F1178,Parâmetros!$B$6:$B$10,0)),""))</f>
        <v/>
      </c>
      <c r="R1178" s="5" t="str">
        <f aca="false">IF(OR(A1178="",P1178="",Q1178=""),"",P1178*Q1178)</f>
        <v/>
      </c>
      <c r="S1178" s="5" t="str">
        <f aca="false">IF(R1178="","",MAX(0,R1178-G1178))</f>
        <v/>
      </c>
      <c r="T1178" s="21" t="str">
        <f aca="false">IF(S1178="","",S1178*K1178)</f>
        <v/>
      </c>
      <c r="U1178" s="5" t="str">
        <f aca="false">IF(A1178="","",IF(J1178&gt;Parâmetros!$C$14,"SIM","NAO"))</f>
        <v/>
      </c>
      <c r="V1178" s="5" t="str">
        <f aca="false">IF(B1178="","",TRIM(LEFT(B1178,IFERROR(FIND(" ",B1178)-1,LEN(B1178)))))</f>
        <v/>
      </c>
      <c r="W1178" s="22"/>
      <c r="X1178" s="5" t="str">
        <f aca="false">IF(A1178="","",IF(W1178&lt;&gt;"",W1178,V1178))</f>
        <v/>
      </c>
      <c r="Y1178" s="5" t="str">
        <f aca="false">IF(A1178="","",IF(COUNTIFS($X$2:$X$2001,X1178,$D$2:$D$2001,"&lt;&gt;"&amp;D1178,$C$2:$C$2001,C1178)&gt;0,"SIM","NAO"))</f>
        <v/>
      </c>
      <c r="Z1178" s="5" t="str">
        <f aca="false">IF(A1178="","",IF(J1178="","",IFERROR(360/J1178,"")))</f>
        <v/>
      </c>
      <c r="AA1178" s="5" t="str">
        <f aca="false">IF(A1178="","",IF(H1178=0,"Parado (sem venda 90d)",IF(Z1178&gt;12,"Alto (&gt;12x/ano)",IF(Z1178&gt;=4,"Medio (4-12x/ano)","Baixo (&lt;4x/ano)"))))</f>
        <v/>
      </c>
    </row>
    <row r="1179" customFormat="false" ht="15" hidden="false" customHeight="true" outlineLevel="0" collapsed="false">
      <c r="A1179" s="6"/>
      <c r="B1179" s="6"/>
      <c r="C1179" s="6"/>
      <c r="D1179" s="6"/>
      <c r="E1179" s="6"/>
      <c r="F1179" s="6"/>
      <c r="G1179" s="6"/>
      <c r="H1179" s="6"/>
      <c r="I1179" s="6"/>
      <c r="J1179" s="6"/>
      <c r="K1179" s="18"/>
      <c r="L1179" s="19" t="str">
        <f aca="false">IF(A1179="","",G1179*K1179)</f>
        <v/>
      </c>
      <c r="M1179" s="20"/>
      <c r="N1179" s="6"/>
      <c r="O1179" s="6"/>
      <c r="P1179" s="5" t="str">
        <f aca="false">IF(A1179="","",H1179/90)</f>
        <v/>
      </c>
      <c r="Q1179" s="5" t="str">
        <f aca="false">IF(A1179="","",IFERROR(INDEX(Parâmetros!$C$6:$C$10,MATCH(F1179,Parâmetros!$B$6:$B$10,0)),""))</f>
        <v/>
      </c>
      <c r="R1179" s="5" t="str">
        <f aca="false">IF(OR(A1179="",P1179="",Q1179=""),"",P1179*Q1179)</f>
        <v/>
      </c>
      <c r="S1179" s="5" t="str">
        <f aca="false">IF(R1179="","",MAX(0,R1179-G1179))</f>
        <v/>
      </c>
      <c r="T1179" s="21" t="str">
        <f aca="false">IF(S1179="","",S1179*K1179)</f>
        <v/>
      </c>
      <c r="U1179" s="5" t="str">
        <f aca="false">IF(A1179="","",IF(J1179&gt;Parâmetros!$C$14,"SIM","NAO"))</f>
        <v/>
      </c>
      <c r="V1179" s="5" t="str">
        <f aca="false">IF(B1179="","",TRIM(LEFT(B1179,IFERROR(FIND(" ",B1179)-1,LEN(B1179)))))</f>
        <v/>
      </c>
      <c r="W1179" s="22"/>
      <c r="X1179" s="5" t="str">
        <f aca="false">IF(A1179="","",IF(W1179&lt;&gt;"",W1179,V1179))</f>
        <v/>
      </c>
      <c r="Y1179" s="5" t="str">
        <f aca="false">IF(A1179="","",IF(COUNTIFS($X$2:$X$2001,X1179,$D$2:$D$2001,"&lt;&gt;"&amp;D1179,$C$2:$C$2001,C1179)&gt;0,"SIM","NAO"))</f>
        <v/>
      </c>
      <c r="Z1179" s="5" t="str">
        <f aca="false">IF(A1179="","",IF(J1179="","",IFERROR(360/J1179,"")))</f>
        <v/>
      </c>
      <c r="AA1179" s="5" t="str">
        <f aca="false">IF(A1179="","",IF(H1179=0,"Parado (sem venda 90d)",IF(Z1179&gt;12,"Alto (&gt;12x/ano)",IF(Z1179&gt;=4,"Medio (4-12x/ano)","Baixo (&lt;4x/ano)"))))</f>
        <v/>
      </c>
    </row>
    <row r="1180" customFormat="false" ht="15" hidden="false" customHeight="true" outlineLevel="0" collapsed="false">
      <c r="A1180" s="6"/>
      <c r="B1180" s="6"/>
      <c r="C1180" s="6"/>
      <c r="D1180" s="6"/>
      <c r="E1180" s="6"/>
      <c r="F1180" s="6"/>
      <c r="G1180" s="6"/>
      <c r="H1180" s="6"/>
      <c r="I1180" s="6"/>
      <c r="J1180" s="6"/>
      <c r="K1180" s="18"/>
      <c r="L1180" s="19" t="str">
        <f aca="false">IF(A1180="","",G1180*K1180)</f>
        <v/>
      </c>
      <c r="M1180" s="20"/>
      <c r="N1180" s="6"/>
      <c r="O1180" s="6"/>
      <c r="P1180" s="5" t="str">
        <f aca="false">IF(A1180="","",H1180/90)</f>
        <v/>
      </c>
      <c r="Q1180" s="5" t="str">
        <f aca="false">IF(A1180="","",IFERROR(INDEX(Parâmetros!$C$6:$C$10,MATCH(F1180,Parâmetros!$B$6:$B$10,0)),""))</f>
        <v/>
      </c>
      <c r="R1180" s="5" t="str">
        <f aca="false">IF(OR(A1180="",P1180="",Q1180=""),"",P1180*Q1180)</f>
        <v/>
      </c>
      <c r="S1180" s="5" t="str">
        <f aca="false">IF(R1180="","",MAX(0,R1180-G1180))</f>
        <v/>
      </c>
      <c r="T1180" s="21" t="str">
        <f aca="false">IF(S1180="","",S1180*K1180)</f>
        <v/>
      </c>
      <c r="U1180" s="5" t="str">
        <f aca="false">IF(A1180="","",IF(J1180&gt;Parâmetros!$C$14,"SIM","NAO"))</f>
        <v/>
      </c>
      <c r="V1180" s="5" t="str">
        <f aca="false">IF(B1180="","",TRIM(LEFT(B1180,IFERROR(FIND(" ",B1180)-1,LEN(B1180)))))</f>
        <v/>
      </c>
      <c r="W1180" s="22"/>
      <c r="X1180" s="5" t="str">
        <f aca="false">IF(A1180="","",IF(W1180&lt;&gt;"",W1180,V1180))</f>
        <v/>
      </c>
      <c r="Y1180" s="5" t="str">
        <f aca="false">IF(A1180="","",IF(COUNTIFS($X$2:$X$2001,X1180,$D$2:$D$2001,"&lt;&gt;"&amp;D1180,$C$2:$C$2001,C1180)&gt;0,"SIM","NAO"))</f>
        <v/>
      </c>
      <c r="Z1180" s="5" t="str">
        <f aca="false">IF(A1180="","",IF(J1180="","",IFERROR(360/J1180,"")))</f>
        <v/>
      </c>
      <c r="AA1180" s="5" t="str">
        <f aca="false">IF(A1180="","",IF(H1180=0,"Parado (sem venda 90d)",IF(Z1180&gt;12,"Alto (&gt;12x/ano)",IF(Z1180&gt;=4,"Medio (4-12x/ano)","Baixo (&lt;4x/ano)"))))</f>
        <v/>
      </c>
    </row>
    <row r="1181" customFormat="false" ht="15" hidden="false" customHeight="true" outlineLevel="0" collapsed="false">
      <c r="A1181" s="6"/>
      <c r="B1181" s="6"/>
      <c r="C1181" s="6"/>
      <c r="D1181" s="6"/>
      <c r="E1181" s="6"/>
      <c r="F1181" s="6"/>
      <c r="G1181" s="6"/>
      <c r="H1181" s="6"/>
      <c r="I1181" s="6"/>
      <c r="J1181" s="6"/>
      <c r="K1181" s="18"/>
      <c r="L1181" s="19" t="str">
        <f aca="false">IF(A1181="","",G1181*K1181)</f>
        <v/>
      </c>
      <c r="M1181" s="20"/>
      <c r="N1181" s="6"/>
      <c r="O1181" s="6"/>
      <c r="P1181" s="5" t="str">
        <f aca="false">IF(A1181="","",H1181/90)</f>
        <v/>
      </c>
      <c r="Q1181" s="5" t="str">
        <f aca="false">IF(A1181="","",IFERROR(INDEX(Parâmetros!$C$6:$C$10,MATCH(F1181,Parâmetros!$B$6:$B$10,0)),""))</f>
        <v/>
      </c>
      <c r="R1181" s="5" t="str">
        <f aca="false">IF(OR(A1181="",P1181="",Q1181=""),"",P1181*Q1181)</f>
        <v/>
      </c>
      <c r="S1181" s="5" t="str">
        <f aca="false">IF(R1181="","",MAX(0,R1181-G1181))</f>
        <v/>
      </c>
      <c r="T1181" s="21" t="str">
        <f aca="false">IF(S1181="","",S1181*K1181)</f>
        <v/>
      </c>
      <c r="U1181" s="5" t="str">
        <f aca="false">IF(A1181="","",IF(J1181&gt;Parâmetros!$C$14,"SIM","NAO"))</f>
        <v/>
      </c>
      <c r="V1181" s="5" t="str">
        <f aca="false">IF(B1181="","",TRIM(LEFT(B1181,IFERROR(FIND(" ",B1181)-1,LEN(B1181)))))</f>
        <v/>
      </c>
      <c r="W1181" s="22"/>
      <c r="X1181" s="5" t="str">
        <f aca="false">IF(A1181="","",IF(W1181&lt;&gt;"",W1181,V1181))</f>
        <v/>
      </c>
      <c r="Y1181" s="5" t="str">
        <f aca="false">IF(A1181="","",IF(COUNTIFS($X$2:$X$2001,X1181,$D$2:$D$2001,"&lt;&gt;"&amp;D1181,$C$2:$C$2001,C1181)&gt;0,"SIM","NAO"))</f>
        <v/>
      </c>
      <c r="Z1181" s="5" t="str">
        <f aca="false">IF(A1181="","",IF(J1181="","",IFERROR(360/J1181,"")))</f>
        <v/>
      </c>
      <c r="AA1181" s="5" t="str">
        <f aca="false">IF(A1181="","",IF(H1181=0,"Parado (sem venda 90d)",IF(Z1181&gt;12,"Alto (&gt;12x/ano)",IF(Z1181&gt;=4,"Medio (4-12x/ano)","Baixo (&lt;4x/ano)"))))</f>
        <v/>
      </c>
    </row>
    <row r="1182" customFormat="false" ht="15" hidden="false" customHeight="true" outlineLevel="0" collapsed="false">
      <c r="A1182" s="6"/>
      <c r="B1182" s="6"/>
      <c r="C1182" s="6"/>
      <c r="D1182" s="6"/>
      <c r="E1182" s="6"/>
      <c r="F1182" s="6"/>
      <c r="G1182" s="6"/>
      <c r="H1182" s="6"/>
      <c r="I1182" s="6"/>
      <c r="J1182" s="6"/>
      <c r="K1182" s="18"/>
      <c r="L1182" s="19" t="str">
        <f aca="false">IF(A1182="","",G1182*K1182)</f>
        <v/>
      </c>
      <c r="M1182" s="20"/>
      <c r="N1182" s="6"/>
      <c r="O1182" s="6"/>
      <c r="P1182" s="5" t="str">
        <f aca="false">IF(A1182="","",H1182/90)</f>
        <v/>
      </c>
      <c r="Q1182" s="5" t="str">
        <f aca="false">IF(A1182="","",IFERROR(INDEX(Parâmetros!$C$6:$C$10,MATCH(F1182,Parâmetros!$B$6:$B$10,0)),""))</f>
        <v/>
      </c>
      <c r="R1182" s="5" t="str">
        <f aca="false">IF(OR(A1182="",P1182="",Q1182=""),"",P1182*Q1182)</f>
        <v/>
      </c>
      <c r="S1182" s="5" t="str">
        <f aca="false">IF(R1182="","",MAX(0,R1182-G1182))</f>
        <v/>
      </c>
      <c r="T1182" s="21" t="str">
        <f aca="false">IF(S1182="","",S1182*K1182)</f>
        <v/>
      </c>
      <c r="U1182" s="5" t="str">
        <f aca="false">IF(A1182="","",IF(J1182&gt;Parâmetros!$C$14,"SIM","NAO"))</f>
        <v/>
      </c>
      <c r="V1182" s="5" t="str">
        <f aca="false">IF(B1182="","",TRIM(LEFT(B1182,IFERROR(FIND(" ",B1182)-1,LEN(B1182)))))</f>
        <v/>
      </c>
      <c r="W1182" s="22"/>
      <c r="X1182" s="5" t="str">
        <f aca="false">IF(A1182="","",IF(W1182&lt;&gt;"",W1182,V1182))</f>
        <v/>
      </c>
      <c r="Y1182" s="5" t="str">
        <f aca="false">IF(A1182="","",IF(COUNTIFS($X$2:$X$2001,X1182,$D$2:$D$2001,"&lt;&gt;"&amp;D1182,$C$2:$C$2001,C1182)&gt;0,"SIM","NAO"))</f>
        <v/>
      </c>
      <c r="Z1182" s="5" t="str">
        <f aca="false">IF(A1182="","",IF(J1182="","",IFERROR(360/J1182,"")))</f>
        <v/>
      </c>
      <c r="AA1182" s="5" t="str">
        <f aca="false">IF(A1182="","",IF(H1182=0,"Parado (sem venda 90d)",IF(Z1182&gt;12,"Alto (&gt;12x/ano)",IF(Z1182&gt;=4,"Medio (4-12x/ano)","Baixo (&lt;4x/ano)"))))</f>
        <v/>
      </c>
    </row>
    <row r="1183" customFormat="false" ht="15" hidden="false" customHeight="true" outlineLevel="0" collapsed="false">
      <c r="A1183" s="6"/>
      <c r="B1183" s="6"/>
      <c r="C1183" s="6"/>
      <c r="D1183" s="6"/>
      <c r="E1183" s="6"/>
      <c r="F1183" s="6"/>
      <c r="G1183" s="6"/>
      <c r="H1183" s="6"/>
      <c r="I1183" s="6"/>
      <c r="J1183" s="6"/>
      <c r="K1183" s="18"/>
      <c r="L1183" s="19" t="str">
        <f aca="false">IF(A1183="","",G1183*K1183)</f>
        <v/>
      </c>
      <c r="M1183" s="20"/>
      <c r="N1183" s="6"/>
      <c r="O1183" s="6"/>
      <c r="P1183" s="5" t="str">
        <f aca="false">IF(A1183="","",H1183/90)</f>
        <v/>
      </c>
      <c r="Q1183" s="5" t="str">
        <f aca="false">IF(A1183="","",IFERROR(INDEX(Parâmetros!$C$6:$C$10,MATCH(F1183,Parâmetros!$B$6:$B$10,0)),""))</f>
        <v/>
      </c>
      <c r="R1183" s="5" t="str">
        <f aca="false">IF(OR(A1183="",P1183="",Q1183=""),"",P1183*Q1183)</f>
        <v/>
      </c>
      <c r="S1183" s="5" t="str">
        <f aca="false">IF(R1183="","",MAX(0,R1183-G1183))</f>
        <v/>
      </c>
      <c r="T1183" s="21" t="str">
        <f aca="false">IF(S1183="","",S1183*K1183)</f>
        <v/>
      </c>
      <c r="U1183" s="5" t="str">
        <f aca="false">IF(A1183="","",IF(J1183&gt;Parâmetros!$C$14,"SIM","NAO"))</f>
        <v/>
      </c>
      <c r="V1183" s="5" t="str">
        <f aca="false">IF(B1183="","",TRIM(LEFT(B1183,IFERROR(FIND(" ",B1183)-1,LEN(B1183)))))</f>
        <v/>
      </c>
      <c r="W1183" s="22"/>
      <c r="X1183" s="5" t="str">
        <f aca="false">IF(A1183="","",IF(W1183&lt;&gt;"",W1183,V1183))</f>
        <v/>
      </c>
      <c r="Y1183" s="5" t="str">
        <f aca="false">IF(A1183="","",IF(COUNTIFS($X$2:$X$2001,X1183,$D$2:$D$2001,"&lt;&gt;"&amp;D1183,$C$2:$C$2001,C1183)&gt;0,"SIM","NAO"))</f>
        <v/>
      </c>
      <c r="Z1183" s="5" t="str">
        <f aca="false">IF(A1183="","",IF(J1183="","",IFERROR(360/J1183,"")))</f>
        <v/>
      </c>
      <c r="AA1183" s="5" t="str">
        <f aca="false">IF(A1183="","",IF(H1183=0,"Parado (sem venda 90d)",IF(Z1183&gt;12,"Alto (&gt;12x/ano)",IF(Z1183&gt;=4,"Medio (4-12x/ano)","Baixo (&lt;4x/ano)"))))</f>
        <v/>
      </c>
    </row>
    <row r="1184" customFormat="false" ht="15" hidden="false" customHeight="true" outlineLevel="0" collapsed="false">
      <c r="A1184" s="6"/>
      <c r="B1184" s="6"/>
      <c r="C1184" s="6"/>
      <c r="D1184" s="6"/>
      <c r="E1184" s="6"/>
      <c r="F1184" s="6"/>
      <c r="G1184" s="6"/>
      <c r="H1184" s="6"/>
      <c r="I1184" s="6"/>
      <c r="J1184" s="6"/>
      <c r="K1184" s="18"/>
      <c r="L1184" s="19" t="str">
        <f aca="false">IF(A1184="","",G1184*K1184)</f>
        <v/>
      </c>
      <c r="M1184" s="20"/>
      <c r="N1184" s="6"/>
      <c r="O1184" s="6"/>
      <c r="P1184" s="5" t="str">
        <f aca="false">IF(A1184="","",H1184/90)</f>
        <v/>
      </c>
      <c r="Q1184" s="5" t="str">
        <f aca="false">IF(A1184="","",IFERROR(INDEX(Parâmetros!$C$6:$C$10,MATCH(F1184,Parâmetros!$B$6:$B$10,0)),""))</f>
        <v/>
      </c>
      <c r="R1184" s="5" t="str">
        <f aca="false">IF(OR(A1184="",P1184="",Q1184=""),"",P1184*Q1184)</f>
        <v/>
      </c>
      <c r="S1184" s="5" t="str">
        <f aca="false">IF(R1184="","",MAX(0,R1184-G1184))</f>
        <v/>
      </c>
      <c r="T1184" s="21" t="str">
        <f aca="false">IF(S1184="","",S1184*K1184)</f>
        <v/>
      </c>
      <c r="U1184" s="5" t="str">
        <f aca="false">IF(A1184="","",IF(J1184&gt;Parâmetros!$C$14,"SIM","NAO"))</f>
        <v/>
      </c>
      <c r="V1184" s="5" t="str">
        <f aca="false">IF(B1184="","",TRIM(LEFT(B1184,IFERROR(FIND(" ",B1184)-1,LEN(B1184)))))</f>
        <v/>
      </c>
      <c r="W1184" s="22"/>
      <c r="X1184" s="5" t="str">
        <f aca="false">IF(A1184="","",IF(W1184&lt;&gt;"",W1184,V1184))</f>
        <v/>
      </c>
      <c r="Y1184" s="5" t="str">
        <f aca="false">IF(A1184="","",IF(COUNTIFS($X$2:$X$2001,X1184,$D$2:$D$2001,"&lt;&gt;"&amp;D1184,$C$2:$C$2001,C1184)&gt;0,"SIM","NAO"))</f>
        <v/>
      </c>
      <c r="Z1184" s="5" t="str">
        <f aca="false">IF(A1184="","",IF(J1184="","",IFERROR(360/J1184,"")))</f>
        <v/>
      </c>
      <c r="AA1184" s="5" t="str">
        <f aca="false">IF(A1184="","",IF(H1184=0,"Parado (sem venda 90d)",IF(Z1184&gt;12,"Alto (&gt;12x/ano)",IF(Z1184&gt;=4,"Medio (4-12x/ano)","Baixo (&lt;4x/ano)"))))</f>
        <v/>
      </c>
    </row>
    <row r="1185" customFormat="false" ht="15" hidden="false" customHeight="true" outlineLevel="0" collapsed="false">
      <c r="A1185" s="6"/>
      <c r="B1185" s="6"/>
      <c r="C1185" s="6"/>
      <c r="D1185" s="6"/>
      <c r="E1185" s="6"/>
      <c r="F1185" s="6"/>
      <c r="G1185" s="6"/>
      <c r="H1185" s="6"/>
      <c r="I1185" s="6"/>
      <c r="J1185" s="6"/>
      <c r="K1185" s="18"/>
      <c r="L1185" s="19" t="str">
        <f aca="false">IF(A1185="","",G1185*K1185)</f>
        <v/>
      </c>
      <c r="M1185" s="20"/>
      <c r="N1185" s="6"/>
      <c r="O1185" s="6"/>
      <c r="P1185" s="5" t="str">
        <f aca="false">IF(A1185="","",H1185/90)</f>
        <v/>
      </c>
      <c r="Q1185" s="5" t="str">
        <f aca="false">IF(A1185="","",IFERROR(INDEX(Parâmetros!$C$6:$C$10,MATCH(F1185,Parâmetros!$B$6:$B$10,0)),""))</f>
        <v/>
      </c>
      <c r="R1185" s="5" t="str">
        <f aca="false">IF(OR(A1185="",P1185="",Q1185=""),"",P1185*Q1185)</f>
        <v/>
      </c>
      <c r="S1185" s="5" t="str">
        <f aca="false">IF(R1185="","",MAX(0,R1185-G1185))</f>
        <v/>
      </c>
      <c r="T1185" s="21" t="str">
        <f aca="false">IF(S1185="","",S1185*K1185)</f>
        <v/>
      </c>
      <c r="U1185" s="5" t="str">
        <f aca="false">IF(A1185="","",IF(J1185&gt;Parâmetros!$C$14,"SIM","NAO"))</f>
        <v/>
      </c>
      <c r="V1185" s="5" t="str">
        <f aca="false">IF(B1185="","",TRIM(LEFT(B1185,IFERROR(FIND(" ",B1185)-1,LEN(B1185)))))</f>
        <v/>
      </c>
      <c r="W1185" s="22"/>
      <c r="X1185" s="5" t="str">
        <f aca="false">IF(A1185="","",IF(W1185&lt;&gt;"",W1185,V1185))</f>
        <v/>
      </c>
      <c r="Y1185" s="5" t="str">
        <f aca="false">IF(A1185="","",IF(COUNTIFS($X$2:$X$2001,X1185,$D$2:$D$2001,"&lt;&gt;"&amp;D1185,$C$2:$C$2001,C1185)&gt;0,"SIM","NAO"))</f>
        <v/>
      </c>
      <c r="Z1185" s="5" t="str">
        <f aca="false">IF(A1185="","",IF(J1185="","",IFERROR(360/J1185,"")))</f>
        <v/>
      </c>
      <c r="AA1185" s="5" t="str">
        <f aca="false">IF(A1185="","",IF(H1185=0,"Parado (sem venda 90d)",IF(Z1185&gt;12,"Alto (&gt;12x/ano)",IF(Z1185&gt;=4,"Medio (4-12x/ano)","Baixo (&lt;4x/ano)"))))</f>
        <v/>
      </c>
    </row>
    <row r="1186" customFormat="false" ht="15" hidden="false" customHeight="true" outlineLevel="0" collapsed="false">
      <c r="A1186" s="6"/>
      <c r="B1186" s="6"/>
      <c r="C1186" s="6"/>
      <c r="D1186" s="6"/>
      <c r="E1186" s="6"/>
      <c r="F1186" s="6"/>
      <c r="G1186" s="6"/>
      <c r="H1186" s="6"/>
      <c r="I1186" s="6"/>
      <c r="J1186" s="6"/>
      <c r="K1186" s="18"/>
      <c r="L1186" s="19" t="str">
        <f aca="false">IF(A1186="","",G1186*K1186)</f>
        <v/>
      </c>
      <c r="M1186" s="20"/>
      <c r="N1186" s="6"/>
      <c r="O1186" s="6"/>
      <c r="P1186" s="5" t="str">
        <f aca="false">IF(A1186="","",H1186/90)</f>
        <v/>
      </c>
      <c r="Q1186" s="5" t="str">
        <f aca="false">IF(A1186="","",IFERROR(INDEX(Parâmetros!$C$6:$C$10,MATCH(F1186,Parâmetros!$B$6:$B$10,0)),""))</f>
        <v/>
      </c>
      <c r="R1186" s="5" t="str">
        <f aca="false">IF(OR(A1186="",P1186="",Q1186=""),"",P1186*Q1186)</f>
        <v/>
      </c>
      <c r="S1186" s="5" t="str">
        <f aca="false">IF(R1186="","",MAX(0,R1186-G1186))</f>
        <v/>
      </c>
      <c r="T1186" s="21" t="str">
        <f aca="false">IF(S1186="","",S1186*K1186)</f>
        <v/>
      </c>
      <c r="U1186" s="5" t="str">
        <f aca="false">IF(A1186="","",IF(J1186&gt;Parâmetros!$C$14,"SIM","NAO"))</f>
        <v/>
      </c>
      <c r="V1186" s="5" t="str">
        <f aca="false">IF(B1186="","",TRIM(LEFT(B1186,IFERROR(FIND(" ",B1186)-1,LEN(B1186)))))</f>
        <v/>
      </c>
      <c r="W1186" s="22"/>
      <c r="X1186" s="5" t="str">
        <f aca="false">IF(A1186="","",IF(W1186&lt;&gt;"",W1186,V1186))</f>
        <v/>
      </c>
      <c r="Y1186" s="5" t="str">
        <f aca="false">IF(A1186="","",IF(COUNTIFS($X$2:$X$2001,X1186,$D$2:$D$2001,"&lt;&gt;"&amp;D1186,$C$2:$C$2001,C1186)&gt;0,"SIM","NAO"))</f>
        <v/>
      </c>
      <c r="Z1186" s="5" t="str">
        <f aca="false">IF(A1186="","",IF(J1186="","",IFERROR(360/J1186,"")))</f>
        <v/>
      </c>
      <c r="AA1186" s="5" t="str">
        <f aca="false">IF(A1186="","",IF(H1186=0,"Parado (sem venda 90d)",IF(Z1186&gt;12,"Alto (&gt;12x/ano)",IF(Z1186&gt;=4,"Medio (4-12x/ano)","Baixo (&lt;4x/ano)"))))</f>
        <v/>
      </c>
    </row>
    <row r="1187" customFormat="false" ht="15" hidden="false" customHeight="true" outlineLevel="0" collapsed="false">
      <c r="A1187" s="6"/>
      <c r="B1187" s="6"/>
      <c r="C1187" s="6"/>
      <c r="D1187" s="6"/>
      <c r="E1187" s="6"/>
      <c r="F1187" s="6"/>
      <c r="G1187" s="6"/>
      <c r="H1187" s="6"/>
      <c r="I1187" s="6"/>
      <c r="J1187" s="6"/>
      <c r="K1187" s="18"/>
      <c r="L1187" s="19" t="str">
        <f aca="false">IF(A1187="","",G1187*K1187)</f>
        <v/>
      </c>
      <c r="M1187" s="20"/>
      <c r="N1187" s="6"/>
      <c r="O1187" s="6"/>
      <c r="P1187" s="5" t="str">
        <f aca="false">IF(A1187="","",H1187/90)</f>
        <v/>
      </c>
      <c r="Q1187" s="5" t="str">
        <f aca="false">IF(A1187="","",IFERROR(INDEX(Parâmetros!$C$6:$C$10,MATCH(F1187,Parâmetros!$B$6:$B$10,0)),""))</f>
        <v/>
      </c>
      <c r="R1187" s="5" t="str">
        <f aca="false">IF(OR(A1187="",P1187="",Q1187=""),"",P1187*Q1187)</f>
        <v/>
      </c>
      <c r="S1187" s="5" t="str">
        <f aca="false">IF(R1187="","",MAX(0,R1187-G1187))</f>
        <v/>
      </c>
      <c r="T1187" s="21" t="str">
        <f aca="false">IF(S1187="","",S1187*K1187)</f>
        <v/>
      </c>
      <c r="U1187" s="5" t="str">
        <f aca="false">IF(A1187="","",IF(J1187&gt;Parâmetros!$C$14,"SIM","NAO"))</f>
        <v/>
      </c>
      <c r="V1187" s="5" t="str">
        <f aca="false">IF(B1187="","",TRIM(LEFT(B1187,IFERROR(FIND(" ",B1187)-1,LEN(B1187)))))</f>
        <v/>
      </c>
      <c r="W1187" s="22"/>
      <c r="X1187" s="5" t="str">
        <f aca="false">IF(A1187="","",IF(W1187&lt;&gt;"",W1187,V1187))</f>
        <v/>
      </c>
      <c r="Y1187" s="5" t="str">
        <f aca="false">IF(A1187="","",IF(COUNTIFS($X$2:$X$2001,X1187,$D$2:$D$2001,"&lt;&gt;"&amp;D1187,$C$2:$C$2001,C1187)&gt;0,"SIM","NAO"))</f>
        <v/>
      </c>
      <c r="Z1187" s="5" t="str">
        <f aca="false">IF(A1187="","",IF(J1187="","",IFERROR(360/J1187,"")))</f>
        <v/>
      </c>
      <c r="AA1187" s="5" t="str">
        <f aca="false">IF(A1187="","",IF(H1187=0,"Parado (sem venda 90d)",IF(Z1187&gt;12,"Alto (&gt;12x/ano)",IF(Z1187&gt;=4,"Medio (4-12x/ano)","Baixo (&lt;4x/ano)"))))</f>
        <v/>
      </c>
    </row>
    <row r="1188" customFormat="false" ht="15" hidden="false" customHeight="true" outlineLevel="0" collapsed="false">
      <c r="A1188" s="6"/>
      <c r="B1188" s="6"/>
      <c r="C1188" s="6"/>
      <c r="D1188" s="6"/>
      <c r="E1188" s="6"/>
      <c r="F1188" s="6"/>
      <c r="G1188" s="6"/>
      <c r="H1188" s="6"/>
      <c r="I1188" s="6"/>
      <c r="J1188" s="6"/>
      <c r="K1188" s="18"/>
      <c r="L1188" s="19" t="str">
        <f aca="false">IF(A1188="","",G1188*K1188)</f>
        <v/>
      </c>
      <c r="M1188" s="20"/>
      <c r="N1188" s="6"/>
      <c r="O1188" s="6"/>
      <c r="P1188" s="5" t="str">
        <f aca="false">IF(A1188="","",H1188/90)</f>
        <v/>
      </c>
      <c r="Q1188" s="5" t="str">
        <f aca="false">IF(A1188="","",IFERROR(INDEX(Parâmetros!$C$6:$C$10,MATCH(F1188,Parâmetros!$B$6:$B$10,0)),""))</f>
        <v/>
      </c>
      <c r="R1188" s="5" t="str">
        <f aca="false">IF(OR(A1188="",P1188="",Q1188=""),"",P1188*Q1188)</f>
        <v/>
      </c>
      <c r="S1188" s="5" t="str">
        <f aca="false">IF(R1188="","",MAX(0,R1188-G1188))</f>
        <v/>
      </c>
      <c r="T1188" s="21" t="str">
        <f aca="false">IF(S1188="","",S1188*K1188)</f>
        <v/>
      </c>
      <c r="U1188" s="5" t="str">
        <f aca="false">IF(A1188="","",IF(J1188&gt;Parâmetros!$C$14,"SIM","NAO"))</f>
        <v/>
      </c>
      <c r="V1188" s="5" t="str">
        <f aca="false">IF(B1188="","",TRIM(LEFT(B1188,IFERROR(FIND(" ",B1188)-1,LEN(B1188)))))</f>
        <v/>
      </c>
      <c r="W1188" s="22"/>
      <c r="X1188" s="5" t="str">
        <f aca="false">IF(A1188="","",IF(W1188&lt;&gt;"",W1188,V1188))</f>
        <v/>
      </c>
      <c r="Y1188" s="5" t="str">
        <f aca="false">IF(A1188="","",IF(COUNTIFS($X$2:$X$2001,X1188,$D$2:$D$2001,"&lt;&gt;"&amp;D1188,$C$2:$C$2001,C1188)&gt;0,"SIM","NAO"))</f>
        <v/>
      </c>
      <c r="Z1188" s="5" t="str">
        <f aca="false">IF(A1188="","",IF(J1188="","",IFERROR(360/J1188,"")))</f>
        <v/>
      </c>
      <c r="AA1188" s="5" t="str">
        <f aca="false">IF(A1188="","",IF(H1188=0,"Parado (sem venda 90d)",IF(Z1188&gt;12,"Alto (&gt;12x/ano)",IF(Z1188&gt;=4,"Medio (4-12x/ano)","Baixo (&lt;4x/ano)"))))</f>
        <v/>
      </c>
    </row>
    <row r="1189" customFormat="false" ht="15" hidden="false" customHeight="true" outlineLevel="0" collapsed="false">
      <c r="A1189" s="6"/>
      <c r="B1189" s="6"/>
      <c r="C1189" s="6"/>
      <c r="D1189" s="6"/>
      <c r="E1189" s="6"/>
      <c r="F1189" s="6"/>
      <c r="G1189" s="6"/>
      <c r="H1189" s="6"/>
      <c r="I1189" s="6"/>
      <c r="J1189" s="6"/>
      <c r="K1189" s="18"/>
      <c r="L1189" s="19" t="str">
        <f aca="false">IF(A1189="","",G1189*K1189)</f>
        <v/>
      </c>
      <c r="M1189" s="20"/>
      <c r="N1189" s="6"/>
      <c r="O1189" s="6"/>
      <c r="P1189" s="5" t="str">
        <f aca="false">IF(A1189="","",H1189/90)</f>
        <v/>
      </c>
      <c r="Q1189" s="5" t="str">
        <f aca="false">IF(A1189="","",IFERROR(INDEX(Parâmetros!$C$6:$C$10,MATCH(F1189,Parâmetros!$B$6:$B$10,0)),""))</f>
        <v/>
      </c>
      <c r="R1189" s="5" t="str">
        <f aca="false">IF(OR(A1189="",P1189="",Q1189=""),"",P1189*Q1189)</f>
        <v/>
      </c>
      <c r="S1189" s="5" t="str">
        <f aca="false">IF(R1189="","",MAX(0,R1189-G1189))</f>
        <v/>
      </c>
      <c r="T1189" s="21" t="str">
        <f aca="false">IF(S1189="","",S1189*K1189)</f>
        <v/>
      </c>
      <c r="U1189" s="5" t="str">
        <f aca="false">IF(A1189="","",IF(J1189&gt;Parâmetros!$C$14,"SIM","NAO"))</f>
        <v/>
      </c>
      <c r="V1189" s="5" t="str">
        <f aca="false">IF(B1189="","",TRIM(LEFT(B1189,IFERROR(FIND(" ",B1189)-1,LEN(B1189)))))</f>
        <v/>
      </c>
      <c r="W1189" s="22"/>
      <c r="X1189" s="5" t="str">
        <f aca="false">IF(A1189="","",IF(W1189&lt;&gt;"",W1189,V1189))</f>
        <v/>
      </c>
      <c r="Y1189" s="5" t="str">
        <f aca="false">IF(A1189="","",IF(COUNTIFS($X$2:$X$2001,X1189,$D$2:$D$2001,"&lt;&gt;"&amp;D1189,$C$2:$C$2001,C1189)&gt;0,"SIM","NAO"))</f>
        <v/>
      </c>
      <c r="Z1189" s="5" t="str">
        <f aca="false">IF(A1189="","",IF(J1189="","",IFERROR(360/J1189,"")))</f>
        <v/>
      </c>
      <c r="AA1189" s="5" t="str">
        <f aca="false">IF(A1189="","",IF(H1189=0,"Parado (sem venda 90d)",IF(Z1189&gt;12,"Alto (&gt;12x/ano)",IF(Z1189&gt;=4,"Medio (4-12x/ano)","Baixo (&lt;4x/ano)"))))</f>
        <v/>
      </c>
    </row>
    <row r="1190" customFormat="false" ht="15" hidden="false" customHeight="true" outlineLevel="0" collapsed="false">
      <c r="A1190" s="6"/>
      <c r="B1190" s="6"/>
      <c r="C1190" s="6"/>
      <c r="D1190" s="6"/>
      <c r="E1190" s="6"/>
      <c r="F1190" s="6"/>
      <c r="G1190" s="6"/>
      <c r="H1190" s="6"/>
      <c r="I1190" s="6"/>
      <c r="J1190" s="6"/>
      <c r="K1190" s="18"/>
      <c r="L1190" s="19" t="str">
        <f aca="false">IF(A1190="","",G1190*K1190)</f>
        <v/>
      </c>
      <c r="M1190" s="20"/>
      <c r="N1190" s="6"/>
      <c r="O1190" s="6"/>
      <c r="P1190" s="5" t="str">
        <f aca="false">IF(A1190="","",H1190/90)</f>
        <v/>
      </c>
      <c r="Q1190" s="5" t="str">
        <f aca="false">IF(A1190="","",IFERROR(INDEX(Parâmetros!$C$6:$C$10,MATCH(F1190,Parâmetros!$B$6:$B$10,0)),""))</f>
        <v/>
      </c>
      <c r="R1190" s="5" t="str">
        <f aca="false">IF(OR(A1190="",P1190="",Q1190=""),"",P1190*Q1190)</f>
        <v/>
      </c>
      <c r="S1190" s="5" t="str">
        <f aca="false">IF(R1190="","",MAX(0,R1190-G1190))</f>
        <v/>
      </c>
      <c r="T1190" s="21" t="str">
        <f aca="false">IF(S1190="","",S1190*K1190)</f>
        <v/>
      </c>
      <c r="U1190" s="5" t="str">
        <f aca="false">IF(A1190="","",IF(J1190&gt;Parâmetros!$C$14,"SIM","NAO"))</f>
        <v/>
      </c>
      <c r="V1190" s="5" t="str">
        <f aca="false">IF(B1190="","",TRIM(LEFT(B1190,IFERROR(FIND(" ",B1190)-1,LEN(B1190)))))</f>
        <v/>
      </c>
      <c r="W1190" s="22"/>
      <c r="X1190" s="5" t="str">
        <f aca="false">IF(A1190="","",IF(W1190&lt;&gt;"",W1190,V1190))</f>
        <v/>
      </c>
      <c r="Y1190" s="5" t="str">
        <f aca="false">IF(A1190="","",IF(COUNTIFS($X$2:$X$2001,X1190,$D$2:$D$2001,"&lt;&gt;"&amp;D1190,$C$2:$C$2001,C1190)&gt;0,"SIM","NAO"))</f>
        <v/>
      </c>
      <c r="Z1190" s="5" t="str">
        <f aca="false">IF(A1190="","",IF(J1190="","",IFERROR(360/J1190,"")))</f>
        <v/>
      </c>
      <c r="AA1190" s="5" t="str">
        <f aca="false">IF(A1190="","",IF(H1190=0,"Parado (sem venda 90d)",IF(Z1190&gt;12,"Alto (&gt;12x/ano)",IF(Z1190&gt;=4,"Medio (4-12x/ano)","Baixo (&lt;4x/ano)"))))</f>
        <v/>
      </c>
    </row>
    <row r="1191" customFormat="false" ht="15" hidden="false" customHeight="true" outlineLevel="0" collapsed="false">
      <c r="A1191" s="6"/>
      <c r="B1191" s="6"/>
      <c r="C1191" s="6"/>
      <c r="D1191" s="6"/>
      <c r="E1191" s="6"/>
      <c r="F1191" s="6"/>
      <c r="G1191" s="6"/>
      <c r="H1191" s="6"/>
      <c r="I1191" s="6"/>
      <c r="J1191" s="6"/>
      <c r="K1191" s="18"/>
      <c r="L1191" s="19" t="str">
        <f aca="false">IF(A1191="","",G1191*K1191)</f>
        <v/>
      </c>
      <c r="M1191" s="20"/>
      <c r="N1191" s="6"/>
      <c r="O1191" s="6"/>
      <c r="P1191" s="5" t="str">
        <f aca="false">IF(A1191="","",H1191/90)</f>
        <v/>
      </c>
      <c r="Q1191" s="5" t="str">
        <f aca="false">IF(A1191="","",IFERROR(INDEX(Parâmetros!$C$6:$C$10,MATCH(F1191,Parâmetros!$B$6:$B$10,0)),""))</f>
        <v/>
      </c>
      <c r="R1191" s="5" t="str">
        <f aca="false">IF(OR(A1191="",P1191="",Q1191=""),"",P1191*Q1191)</f>
        <v/>
      </c>
      <c r="S1191" s="5" t="str">
        <f aca="false">IF(R1191="","",MAX(0,R1191-G1191))</f>
        <v/>
      </c>
      <c r="T1191" s="21" t="str">
        <f aca="false">IF(S1191="","",S1191*K1191)</f>
        <v/>
      </c>
      <c r="U1191" s="5" t="str">
        <f aca="false">IF(A1191="","",IF(J1191&gt;Parâmetros!$C$14,"SIM","NAO"))</f>
        <v/>
      </c>
      <c r="V1191" s="5" t="str">
        <f aca="false">IF(B1191="","",TRIM(LEFT(B1191,IFERROR(FIND(" ",B1191)-1,LEN(B1191)))))</f>
        <v/>
      </c>
      <c r="W1191" s="22"/>
      <c r="X1191" s="5" t="str">
        <f aca="false">IF(A1191="","",IF(W1191&lt;&gt;"",W1191,V1191))</f>
        <v/>
      </c>
      <c r="Y1191" s="5" t="str">
        <f aca="false">IF(A1191="","",IF(COUNTIFS($X$2:$X$2001,X1191,$D$2:$D$2001,"&lt;&gt;"&amp;D1191,$C$2:$C$2001,C1191)&gt;0,"SIM","NAO"))</f>
        <v/>
      </c>
      <c r="Z1191" s="5" t="str">
        <f aca="false">IF(A1191="","",IF(J1191="","",IFERROR(360/J1191,"")))</f>
        <v/>
      </c>
      <c r="AA1191" s="5" t="str">
        <f aca="false">IF(A1191="","",IF(H1191=0,"Parado (sem venda 90d)",IF(Z1191&gt;12,"Alto (&gt;12x/ano)",IF(Z1191&gt;=4,"Medio (4-12x/ano)","Baixo (&lt;4x/ano)"))))</f>
        <v/>
      </c>
    </row>
    <row r="1192" customFormat="false" ht="15" hidden="false" customHeight="true" outlineLevel="0" collapsed="false">
      <c r="A1192" s="6"/>
      <c r="B1192" s="6"/>
      <c r="C1192" s="6"/>
      <c r="D1192" s="6"/>
      <c r="E1192" s="6"/>
      <c r="F1192" s="6"/>
      <c r="G1192" s="6"/>
      <c r="H1192" s="6"/>
      <c r="I1192" s="6"/>
      <c r="J1192" s="6"/>
      <c r="K1192" s="18"/>
      <c r="L1192" s="19" t="str">
        <f aca="false">IF(A1192="","",G1192*K1192)</f>
        <v/>
      </c>
      <c r="M1192" s="20"/>
      <c r="N1192" s="6"/>
      <c r="O1192" s="6"/>
      <c r="P1192" s="5" t="str">
        <f aca="false">IF(A1192="","",H1192/90)</f>
        <v/>
      </c>
      <c r="Q1192" s="5" t="str">
        <f aca="false">IF(A1192="","",IFERROR(INDEX(Parâmetros!$C$6:$C$10,MATCH(F1192,Parâmetros!$B$6:$B$10,0)),""))</f>
        <v/>
      </c>
      <c r="R1192" s="5" t="str">
        <f aca="false">IF(OR(A1192="",P1192="",Q1192=""),"",P1192*Q1192)</f>
        <v/>
      </c>
      <c r="S1192" s="5" t="str">
        <f aca="false">IF(R1192="","",MAX(0,R1192-G1192))</f>
        <v/>
      </c>
      <c r="T1192" s="21" t="str">
        <f aca="false">IF(S1192="","",S1192*K1192)</f>
        <v/>
      </c>
      <c r="U1192" s="5" t="str">
        <f aca="false">IF(A1192="","",IF(J1192&gt;Parâmetros!$C$14,"SIM","NAO"))</f>
        <v/>
      </c>
      <c r="V1192" s="5" t="str">
        <f aca="false">IF(B1192="","",TRIM(LEFT(B1192,IFERROR(FIND(" ",B1192)-1,LEN(B1192)))))</f>
        <v/>
      </c>
      <c r="W1192" s="22"/>
      <c r="X1192" s="5" t="str">
        <f aca="false">IF(A1192="","",IF(W1192&lt;&gt;"",W1192,V1192))</f>
        <v/>
      </c>
      <c r="Y1192" s="5" t="str">
        <f aca="false">IF(A1192="","",IF(COUNTIFS($X$2:$X$2001,X1192,$D$2:$D$2001,"&lt;&gt;"&amp;D1192,$C$2:$C$2001,C1192)&gt;0,"SIM","NAO"))</f>
        <v/>
      </c>
      <c r="Z1192" s="5" t="str">
        <f aca="false">IF(A1192="","",IF(J1192="","",IFERROR(360/J1192,"")))</f>
        <v/>
      </c>
      <c r="AA1192" s="5" t="str">
        <f aca="false">IF(A1192="","",IF(H1192=0,"Parado (sem venda 90d)",IF(Z1192&gt;12,"Alto (&gt;12x/ano)",IF(Z1192&gt;=4,"Medio (4-12x/ano)","Baixo (&lt;4x/ano)"))))</f>
        <v/>
      </c>
    </row>
    <row r="1193" customFormat="false" ht="15" hidden="false" customHeight="true" outlineLevel="0" collapsed="false">
      <c r="A1193" s="6"/>
      <c r="B1193" s="6"/>
      <c r="C1193" s="6"/>
      <c r="D1193" s="6"/>
      <c r="E1193" s="6"/>
      <c r="F1193" s="6"/>
      <c r="G1193" s="6"/>
      <c r="H1193" s="6"/>
      <c r="I1193" s="6"/>
      <c r="J1193" s="6"/>
      <c r="K1193" s="18"/>
      <c r="L1193" s="19" t="str">
        <f aca="false">IF(A1193="","",G1193*K1193)</f>
        <v/>
      </c>
      <c r="M1193" s="20"/>
      <c r="N1193" s="6"/>
      <c r="O1193" s="6"/>
      <c r="P1193" s="5" t="str">
        <f aca="false">IF(A1193="","",H1193/90)</f>
        <v/>
      </c>
      <c r="Q1193" s="5" t="str">
        <f aca="false">IF(A1193="","",IFERROR(INDEX(Parâmetros!$C$6:$C$10,MATCH(F1193,Parâmetros!$B$6:$B$10,0)),""))</f>
        <v/>
      </c>
      <c r="R1193" s="5" t="str">
        <f aca="false">IF(OR(A1193="",P1193="",Q1193=""),"",P1193*Q1193)</f>
        <v/>
      </c>
      <c r="S1193" s="5" t="str">
        <f aca="false">IF(R1193="","",MAX(0,R1193-G1193))</f>
        <v/>
      </c>
      <c r="T1193" s="21" t="str">
        <f aca="false">IF(S1193="","",S1193*K1193)</f>
        <v/>
      </c>
      <c r="U1193" s="5" t="str">
        <f aca="false">IF(A1193="","",IF(J1193&gt;Parâmetros!$C$14,"SIM","NAO"))</f>
        <v/>
      </c>
      <c r="V1193" s="5" t="str">
        <f aca="false">IF(B1193="","",TRIM(LEFT(B1193,IFERROR(FIND(" ",B1193)-1,LEN(B1193)))))</f>
        <v/>
      </c>
      <c r="W1193" s="22"/>
      <c r="X1193" s="5" t="str">
        <f aca="false">IF(A1193="","",IF(W1193&lt;&gt;"",W1193,V1193))</f>
        <v/>
      </c>
      <c r="Y1193" s="5" t="str">
        <f aca="false">IF(A1193="","",IF(COUNTIFS($X$2:$X$2001,X1193,$D$2:$D$2001,"&lt;&gt;"&amp;D1193,$C$2:$C$2001,C1193)&gt;0,"SIM","NAO"))</f>
        <v/>
      </c>
      <c r="Z1193" s="5" t="str">
        <f aca="false">IF(A1193="","",IF(J1193="","",IFERROR(360/J1193,"")))</f>
        <v/>
      </c>
      <c r="AA1193" s="5" t="str">
        <f aca="false">IF(A1193="","",IF(H1193=0,"Parado (sem venda 90d)",IF(Z1193&gt;12,"Alto (&gt;12x/ano)",IF(Z1193&gt;=4,"Medio (4-12x/ano)","Baixo (&lt;4x/ano)"))))</f>
        <v/>
      </c>
    </row>
    <row r="1194" customFormat="false" ht="15" hidden="false" customHeight="true" outlineLevel="0" collapsed="false">
      <c r="A1194" s="6"/>
      <c r="B1194" s="6"/>
      <c r="C1194" s="6"/>
      <c r="D1194" s="6"/>
      <c r="E1194" s="6"/>
      <c r="F1194" s="6"/>
      <c r="G1194" s="6"/>
      <c r="H1194" s="6"/>
      <c r="I1194" s="6"/>
      <c r="J1194" s="6"/>
      <c r="K1194" s="18"/>
      <c r="L1194" s="19" t="str">
        <f aca="false">IF(A1194="","",G1194*K1194)</f>
        <v/>
      </c>
      <c r="M1194" s="20"/>
      <c r="N1194" s="6"/>
      <c r="O1194" s="6"/>
      <c r="P1194" s="5" t="str">
        <f aca="false">IF(A1194="","",H1194/90)</f>
        <v/>
      </c>
      <c r="Q1194" s="5" t="str">
        <f aca="false">IF(A1194="","",IFERROR(INDEX(Parâmetros!$C$6:$C$10,MATCH(F1194,Parâmetros!$B$6:$B$10,0)),""))</f>
        <v/>
      </c>
      <c r="R1194" s="5" t="str">
        <f aca="false">IF(OR(A1194="",P1194="",Q1194=""),"",P1194*Q1194)</f>
        <v/>
      </c>
      <c r="S1194" s="5" t="str">
        <f aca="false">IF(R1194="","",MAX(0,R1194-G1194))</f>
        <v/>
      </c>
      <c r="T1194" s="21" t="str">
        <f aca="false">IF(S1194="","",S1194*K1194)</f>
        <v/>
      </c>
      <c r="U1194" s="5" t="str">
        <f aca="false">IF(A1194="","",IF(J1194&gt;Parâmetros!$C$14,"SIM","NAO"))</f>
        <v/>
      </c>
      <c r="V1194" s="5" t="str">
        <f aca="false">IF(B1194="","",TRIM(LEFT(B1194,IFERROR(FIND(" ",B1194)-1,LEN(B1194)))))</f>
        <v/>
      </c>
      <c r="W1194" s="22"/>
      <c r="X1194" s="5" t="str">
        <f aca="false">IF(A1194="","",IF(W1194&lt;&gt;"",W1194,V1194))</f>
        <v/>
      </c>
      <c r="Y1194" s="5" t="str">
        <f aca="false">IF(A1194="","",IF(COUNTIFS($X$2:$X$2001,X1194,$D$2:$D$2001,"&lt;&gt;"&amp;D1194,$C$2:$C$2001,C1194)&gt;0,"SIM","NAO"))</f>
        <v/>
      </c>
      <c r="Z1194" s="5" t="str">
        <f aca="false">IF(A1194="","",IF(J1194="","",IFERROR(360/J1194,"")))</f>
        <v/>
      </c>
      <c r="AA1194" s="5" t="str">
        <f aca="false">IF(A1194="","",IF(H1194=0,"Parado (sem venda 90d)",IF(Z1194&gt;12,"Alto (&gt;12x/ano)",IF(Z1194&gt;=4,"Medio (4-12x/ano)","Baixo (&lt;4x/ano)"))))</f>
        <v/>
      </c>
    </row>
    <row r="1195" customFormat="false" ht="15" hidden="false" customHeight="true" outlineLevel="0" collapsed="false">
      <c r="A1195" s="6"/>
      <c r="B1195" s="6"/>
      <c r="C1195" s="6"/>
      <c r="D1195" s="6"/>
      <c r="E1195" s="6"/>
      <c r="F1195" s="6"/>
      <c r="G1195" s="6"/>
      <c r="H1195" s="6"/>
      <c r="I1195" s="6"/>
      <c r="J1195" s="6"/>
      <c r="K1195" s="18"/>
      <c r="L1195" s="19" t="str">
        <f aca="false">IF(A1195="","",G1195*K1195)</f>
        <v/>
      </c>
      <c r="M1195" s="20"/>
      <c r="N1195" s="6"/>
      <c r="O1195" s="6"/>
      <c r="P1195" s="5" t="str">
        <f aca="false">IF(A1195="","",H1195/90)</f>
        <v/>
      </c>
      <c r="Q1195" s="5" t="str">
        <f aca="false">IF(A1195="","",IFERROR(INDEX(Parâmetros!$C$6:$C$10,MATCH(F1195,Parâmetros!$B$6:$B$10,0)),""))</f>
        <v/>
      </c>
      <c r="R1195" s="5" t="str">
        <f aca="false">IF(OR(A1195="",P1195="",Q1195=""),"",P1195*Q1195)</f>
        <v/>
      </c>
      <c r="S1195" s="5" t="str">
        <f aca="false">IF(R1195="","",MAX(0,R1195-G1195))</f>
        <v/>
      </c>
      <c r="T1195" s="21" t="str">
        <f aca="false">IF(S1195="","",S1195*K1195)</f>
        <v/>
      </c>
      <c r="U1195" s="5" t="str">
        <f aca="false">IF(A1195="","",IF(J1195&gt;Parâmetros!$C$14,"SIM","NAO"))</f>
        <v/>
      </c>
      <c r="V1195" s="5" t="str">
        <f aca="false">IF(B1195="","",TRIM(LEFT(B1195,IFERROR(FIND(" ",B1195)-1,LEN(B1195)))))</f>
        <v/>
      </c>
      <c r="W1195" s="22"/>
      <c r="X1195" s="5" t="str">
        <f aca="false">IF(A1195="","",IF(W1195&lt;&gt;"",W1195,V1195))</f>
        <v/>
      </c>
      <c r="Y1195" s="5" t="str">
        <f aca="false">IF(A1195="","",IF(COUNTIFS($X$2:$X$2001,X1195,$D$2:$D$2001,"&lt;&gt;"&amp;D1195,$C$2:$C$2001,C1195)&gt;0,"SIM","NAO"))</f>
        <v/>
      </c>
      <c r="Z1195" s="5" t="str">
        <f aca="false">IF(A1195="","",IF(J1195="","",IFERROR(360/J1195,"")))</f>
        <v/>
      </c>
      <c r="AA1195" s="5" t="str">
        <f aca="false">IF(A1195="","",IF(H1195=0,"Parado (sem venda 90d)",IF(Z1195&gt;12,"Alto (&gt;12x/ano)",IF(Z1195&gt;=4,"Medio (4-12x/ano)","Baixo (&lt;4x/ano)"))))</f>
        <v/>
      </c>
    </row>
    <row r="1196" customFormat="false" ht="15" hidden="false" customHeight="true" outlineLevel="0" collapsed="false">
      <c r="A1196" s="6"/>
      <c r="B1196" s="6"/>
      <c r="C1196" s="6"/>
      <c r="D1196" s="6"/>
      <c r="E1196" s="6"/>
      <c r="F1196" s="6"/>
      <c r="G1196" s="6"/>
      <c r="H1196" s="6"/>
      <c r="I1196" s="6"/>
      <c r="J1196" s="6"/>
      <c r="K1196" s="18"/>
      <c r="L1196" s="19" t="str">
        <f aca="false">IF(A1196="","",G1196*K1196)</f>
        <v/>
      </c>
      <c r="M1196" s="20"/>
      <c r="N1196" s="6"/>
      <c r="O1196" s="6"/>
      <c r="P1196" s="5" t="str">
        <f aca="false">IF(A1196="","",H1196/90)</f>
        <v/>
      </c>
      <c r="Q1196" s="5" t="str">
        <f aca="false">IF(A1196="","",IFERROR(INDEX(Parâmetros!$C$6:$C$10,MATCH(F1196,Parâmetros!$B$6:$B$10,0)),""))</f>
        <v/>
      </c>
      <c r="R1196" s="5" t="str">
        <f aca="false">IF(OR(A1196="",P1196="",Q1196=""),"",P1196*Q1196)</f>
        <v/>
      </c>
      <c r="S1196" s="5" t="str">
        <f aca="false">IF(R1196="","",MAX(0,R1196-G1196))</f>
        <v/>
      </c>
      <c r="T1196" s="21" t="str">
        <f aca="false">IF(S1196="","",S1196*K1196)</f>
        <v/>
      </c>
      <c r="U1196" s="5" t="str">
        <f aca="false">IF(A1196="","",IF(J1196&gt;Parâmetros!$C$14,"SIM","NAO"))</f>
        <v/>
      </c>
      <c r="V1196" s="5" t="str">
        <f aca="false">IF(B1196="","",TRIM(LEFT(B1196,IFERROR(FIND(" ",B1196)-1,LEN(B1196)))))</f>
        <v/>
      </c>
      <c r="W1196" s="22"/>
      <c r="X1196" s="5" t="str">
        <f aca="false">IF(A1196="","",IF(W1196&lt;&gt;"",W1196,V1196))</f>
        <v/>
      </c>
      <c r="Y1196" s="5" t="str">
        <f aca="false">IF(A1196="","",IF(COUNTIFS($X$2:$X$2001,X1196,$D$2:$D$2001,"&lt;&gt;"&amp;D1196,$C$2:$C$2001,C1196)&gt;0,"SIM","NAO"))</f>
        <v/>
      </c>
      <c r="Z1196" s="5" t="str">
        <f aca="false">IF(A1196="","",IF(J1196="","",IFERROR(360/J1196,"")))</f>
        <v/>
      </c>
      <c r="AA1196" s="5" t="str">
        <f aca="false">IF(A1196="","",IF(H1196=0,"Parado (sem venda 90d)",IF(Z1196&gt;12,"Alto (&gt;12x/ano)",IF(Z1196&gt;=4,"Medio (4-12x/ano)","Baixo (&lt;4x/ano)"))))</f>
        <v/>
      </c>
    </row>
    <row r="1197" customFormat="false" ht="15" hidden="false" customHeight="true" outlineLevel="0" collapsed="false">
      <c r="A1197" s="6"/>
      <c r="B1197" s="6"/>
      <c r="C1197" s="6"/>
      <c r="D1197" s="6"/>
      <c r="E1197" s="6"/>
      <c r="F1197" s="6"/>
      <c r="G1197" s="6"/>
      <c r="H1197" s="6"/>
      <c r="I1197" s="6"/>
      <c r="J1197" s="6"/>
      <c r="K1197" s="18"/>
      <c r="L1197" s="19" t="str">
        <f aca="false">IF(A1197="","",G1197*K1197)</f>
        <v/>
      </c>
      <c r="M1197" s="20"/>
      <c r="N1197" s="6"/>
      <c r="O1197" s="6"/>
      <c r="P1197" s="5" t="str">
        <f aca="false">IF(A1197="","",H1197/90)</f>
        <v/>
      </c>
      <c r="Q1197" s="5" t="str">
        <f aca="false">IF(A1197="","",IFERROR(INDEX(Parâmetros!$C$6:$C$10,MATCH(F1197,Parâmetros!$B$6:$B$10,0)),""))</f>
        <v/>
      </c>
      <c r="R1197" s="5" t="str">
        <f aca="false">IF(OR(A1197="",P1197="",Q1197=""),"",P1197*Q1197)</f>
        <v/>
      </c>
      <c r="S1197" s="5" t="str">
        <f aca="false">IF(R1197="","",MAX(0,R1197-G1197))</f>
        <v/>
      </c>
      <c r="T1197" s="21" t="str">
        <f aca="false">IF(S1197="","",S1197*K1197)</f>
        <v/>
      </c>
      <c r="U1197" s="5" t="str">
        <f aca="false">IF(A1197="","",IF(J1197&gt;Parâmetros!$C$14,"SIM","NAO"))</f>
        <v/>
      </c>
      <c r="V1197" s="5" t="str">
        <f aca="false">IF(B1197="","",TRIM(LEFT(B1197,IFERROR(FIND(" ",B1197)-1,LEN(B1197)))))</f>
        <v/>
      </c>
      <c r="W1197" s="22"/>
      <c r="X1197" s="5" t="str">
        <f aca="false">IF(A1197="","",IF(W1197&lt;&gt;"",W1197,V1197))</f>
        <v/>
      </c>
      <c r="Y1197" s="5" t="str">
        <f aca="false">IF(A1197="","",IF(COUNTIFS($X$2:$X$2001,X1197,$D$2:$D$2001,"&lt;&gt;"&amp;D1197,$C$2:$C$2001,C1197)&gt;0,"SIM","NAO"))</f>
        <v/>
      </c>
      <c r="Z1197" s="5" t="str">
        <f aca="false">IF(A1197="","",IF(J1197="","",IFERROR(360/J1197,"")))</f>
        <v/>
      </c>
      <c r="AA1197" s="5" t="str">
        <f aca="false">IF(A1197="","",IF(H1197=0,"Parado (sem venda 90d)",IF(Z1197&gt;12,"Alto (&gt;12x/ano)",IF(Z1197&gt;=4,"Medio (4-12x/ano)","Baixo (&lt;4x/ano)"))))</f>
        <v/>
      </c>
    </row>
    <row r="1198" customFormat="false" ht="15" hidden="false" customHeight="true" outlineLevel="0" collapsed="false">
      <c r="A1198" s="6"/>
      <c r="B1198" s="6"/>
      <c r="C1198" s="6"/>
      <c r="D1198" s="6"/>
      <c r="E1198" s="6"/>
      <c r="F1198" s="6"/>
      <c r="G1198" s="6"/>
      <c r="H1198" s="6"/>
      <c r="I1198" s="6"/>
      <c r="J1198" s="6"/>
      <c r="K1198" s="18"/>
      <c r="L1198" s="19" t="str">
        <f aca="false">IF(A1198="","",G1198*K1198)</f>
        <v/>
      </c>
      <c r="M1198" s="20"/>
      <c r="N1198" s="6"/>
      <c r="O1198" s="6"/>
      <c r="P1198" s="5" t="str">
        <f aca="false">IF(A1198="","",H1198/90)</f>
        <v/>
      </c>
      <c r="Q1198" s="5" t="str">
        <f aca="false">IF(A1198="","",IFERROR(INDEX(Parâmetros!$C$6:$C$10,MATCH(F1198,Parâmetros!$B$6:$B$10,0)),""))</f>
        <v/>
      </c>
      <c r="R1198" s="5" t="str">
        <f aca="false">IF(OR(A1198="",P1198="",Q1198=""),"",P1198*Q1198)</f>
        <v/>
      </c>
      <c r="S1198" s="5" t="str">
        <f aca="false">IF(R1198="","",MAX(0,R1198-G1198))</f>
        <v/>
      </c>
      <c r="T1198" s="21" t="str">
        <f aca="false">IF(S1198="","",S1198*K1198)</f>
        <v/>
      </c>
      <c r="U1198" s="5" t="str">
        <f aca="false">IF(A1198="","",IF(J1198&gt;Parâmetros!$C$14,"SIM","NAO"))</f>
        <v/>
      </c>
      <c r="V1198" s="5" t="str">
        <f aca="false">IF(B1198="","",TRIM(LEFT(B1198,IFERROR(FIND(" ",B1198)-1,LEN(B1198)))))</f>
        <v/>
      </c>
      <c r="W1198" s="22"/>
      <c r="X1198" s="5" t="str">
        <f aca="false">IF(A1198="","",IF(W1198&lt;&gt;"",W1198,V1198))</f>
        <v/>
      </c>
      <c r="Y1198" s="5" t="str">
        <f aca="false">IF(A1198="","",IF(COUNTIFS($X$2:$X$2001,X1198,$D$2:$D$2001,"&lt;&gt;"&amp;D1198,$C$2:$C$2001,C1198)&gt;0,"SIM","NAO"))</f>
        <v/>
      </c>
      <c r="Z1198" s="5" t="str">
        <f aca="false">IF(A1198="","",IF(J1198="","",IFERROR(360/J1198,"")))</f>
        <v/>
      </c>
      <c r="AA1198" s="5" t="str">
        <f aca="false">IF(A1198="","",IF(H1198=0,"Parado (sem venda 90d)",IF(Z1198&gt;12,"Alto (&gt;12x/ano)",IF(Z1198&gt;=4,"Medio (4-12x/ano)","Baixo (&lt;4x/ano)"))))</f>
        <v/>
      </c>
    </row>
    <row r="1199" customFormat="false" ht="15" hidden="false" customHeight="true" outlineLevel="0" collapsed="false">
      <c r="A1199" s="6"/>
      <c r="B1199" s="6"/>
      <c r="C1199" s="6"/>
      <c r="D1199" s="6"/>
      <c r="E1199" s="6"/>
      <c r="F1199" s="6"/>
      <c r="G1199" s="6"/>
      <c r="H1199" s="6"/>
      <c r="I1199" s="6"/>
      <c r="J1199" s="6"/>
      <c r="K1199" s="18"/>
      <c r="L1199" s="19" t="str">
        <f aca="false">IF(A1199="","",G1199*K1199)</f>
        <v/>
      </c>
      <c r="M1199" s="20"/>
      <c r="N1199" s="6"/>
      <c r="O1199" s="6"/>
      <c r="P1199" s="5" t="str">
        <f aca="false">IF(A1199="","",H1199/90)</f>
        <v/>
      </c>
      <c r="Q1199" s="5" t="str">
        <f aca="false">IF(A1199="","",IFERROR(INDEX(Parâmetros!$C$6:$C$10,MATCH(F1199,Parâmetros!$B$6:$B$10,0)),""))</f>
        <v/>
      </c>
      <c r="R1199" s="5" t="str">
        <f aca="false">IF(OR(A1199="",P1199="",Q1199=""),"",P1199*Q1199)</f>
        <v/>
      </c>
      <c r="S1199" s="5" t="str">
        <f aca="false">IF(R1199="","",MAX(0,R1199-G1199))</f>
        <v/>
      </c>
      <c r="T1199" s="21" t="str">
        <f aca="false">IF(S1199="","",S1199*K1199)</f>
        <v/>
      </c>
      <c r="U1199" s="5" t="str">
        <f aca="false">IF(A1199="","",IF(J1199&gt;Parâmetros!$C$14,"SIM","NAO"))</f>
        <v/>
      </c>
      <c r="V1199" s="5" t="str">
        <f aca="false">IF(B1199="","",TRIM(LEFT(B1199,IFERROR(FIND(" ",B1199)-1,LEN(B1199)))))</f>
        <v/>
      </c>
      <c r="W1199" s="22"/>
      <c r="X1199" s="5" t="str">
        <f aca="false">IF(A1199="","",IF(W1199&lt;&gt;"",W1199,V1199))</f>
        <v/>
      </c>
      <c r="Y1199" s="5" t="str">
        <f aca="false">IF(A1199="","",IF(COUNTIFS($X$2:$X$2001,X1199,$D$2:$D$2001,"&lt;&gt;"&amp;D1199,$C$2:$C$2001,C1199)&gt;0,"SIM","NAO"))</f>
        <v/>
      </c>
      <c r="Z1199" s="5" t="str">
        <f aca="false">IF(A1199="","",IF(J1199="","",IFERROR(360/J1199,"")))</f>
        <v/>
      </c>
      <c r="AA1199" s="5" t="str">
        <f aca="false">IF(A1199="","",IF(H1199=0,"Parado (sem venda 90d)",IF(Z1199&gt;12,"Alto (&gt;12x/ano)",IF(Z1199&gt;=4,"Medio (4-12x/ano)","Baixo (&lt;4x/ano)"))))</f>
        <v/>
      </c>
    </row>
    <row r="1200" customFormat="false" ht="15" hidden="false" customHeight="true" outlineLevel="0" collapsed="false">
      <c r="A1200" s="6"/>
      <c r="B1200" s="6"/>
      <c r="C1200" s="6"/>
      <c r="D1200" s="6"/>
      <c r="E1200" s="6"/>
      <c r="F1200" s="6"/>
      <c r="G1200" s="6"/>
      <c r="H1200" s="6"/>
      <c r="I1200" s="6"/>
      <c r="J1200" s="6"/>
      <c r="K1200" s="18"/>
      <c r="L1200" s="19" t="str">
        <f aca="false">IF(A1200="","",G1200*K1200)</f>
        <v/>
      </c>
      <c r="M1200" s="20"/>
      <c r="N1200" s="6"/>
      <c r="O1200" s="6"/>
      <c r="P1200" s="5" t="str">
        <f aca="false">IF(A1200="","",H1200/90)</f>
        <v/>
      </c>
      <c r="Q1200" s="5" t="str">
        <f aca="false">IF(A1200="","",IFERROR(INDEX(Parâmetros!$C$6:$C$10,MATCH(F1200,Parâmetros!$B$6:$B$10,0)),""))</f>
        <v/>
      </c>
      <c r="R1200" s="5" t="str">
        <f aca="false">IF(OR(A1200="",P1200="",Q1200=""),"",P1200*Q1200)</f>
        <v/>
      </c>
      <c r="S1200" s="5" t="str">
        <f aca="false">IF(R1200="","",MAX(0,R1200-G1200))</f>
        <v/>
      </c>
      <c r="T1200" s="21" t="str">
        <f aca="false">IF(S1200="","",S1200*K1200)</f>
        <v/>
      </c>
      <c r="U1200" s="5" t="str">
        <f aca="false">IF(A1200="","",IF(J1200&gt;Parâmetros!$C$14,"SIM","NAO"))</f>
        <v/>
      </c>
      <c r="V1200" s="5" t="str">
        <f aca="false">IF(B1200="","",TRIM(LEFT(B1200,IFERROR(FIND(" ",B1200)-1,LEN(B1200)))))</f>
        <v/>
      </c>
      <c r="W1200" s="22"/>
      <c r="X1200" s="5" t="str">
        <f aca="false">IF(A1200="","",IF(W1200&lt;&gt;"",W1200,V1200))</f>
        <v/>
      </c>
      <c r="Y1200" s="5" t="str">
        <f aca="false">IF(A1200="","",IF(COUNTIFS($X$2:$X$2001,X1200,$D$2:$D$2001,"&lt;&gt;"&amp;D1200,$C$2:$C$2001,C1200)&gt;0,"SIM","NAO"))</f>
        <v/>
      </c>
      <c r="Z1200" s="5" t="str">
        <f aca="false">IF(A1200="","",IF(J1200="","",IFERROR(360/J1200,"")))</f>
        <v/>
      </c>
      <c r="AA1200" s="5" t="str">
        <f aca="false">IF(A1200="","",IF(H1200=0,"Parado (sem venda 90d)",IF(Z1200&gt;12,"Alto (&gt;12x/ano)",IF(Z1200&gt;=4,"Medio (4-12x/ano)","Baixo (&lt;4x/ano)"))))</f>
        <v/>
      </c>
    </row>
    <row r="1201" customFormat="false" ht="15" hidden="false" customHeight="true" outlineLevel="0" collapsed="false">
      <c r="A1201" s="6"/>
      <c r="B1201" s="6"/>
      <c r="C1201" s="6"/>
      <c r="D1201" s="6"/>
      <c r="E1201" s="6"/>
      <c r="F1201" s="6"/>
      <c r="G1201" s="6"/>
      <c r="H1201" s="6"/>
      <c r="I1201" s="6"/>
      <c r="J1201" s="6"/>
      <c r="K1201" s="18"/>
      <c r="L1201" s="19" t="str">
        <f aca="false">IF(A1201="","",G1201*K1201)</f>
        <v/>
      </c>
      <c r="M1201" s="20"/>
      <c r="N1201" s="6"/>
      <c r="O1201" s="6"/>
      <c r="P1201" s="5" t="str">
        <f aca="false">IF(A1201="","",H1201/90)</f>
        <v/>
      </c>
      <c r="Q1201" s="5" t="str">
        <f aca="false">IF(A1201="","",IFERROR(INDEX(Parâmetros!$C$6:$C$10,MATCH(F1201,Parâmetros!$B$6:$B$10,0)),""))</f>
        <v/>
      </c>
      <c r="R1201" s="5" t="str">
        <f aca="false">IF(OR(A1201="",P1201="",Q1201=""),"",P1201*Q1201)</f>
        <v/>
      </c>
      <c r="S1201" s="5" t="str">
        <f aca="false">IF(R1201="","",MAX(0,R1201-G1201))</f>
        <v/>
      </c>
      <c r="T1201" s="21" t="str">
        <f aca="false">IF(S1201="","",S1201*K1201)</f>
        <v/>
      </c>
      <c r="U1201" s="5" t="str">
        <f aca="false">IF(A1201="","",IF(J1201&gt;Parâmetros!$C$14,"SIM","NAO"))</f>
        <v/>
      </c>
      <c r="V1201" s="5" t="str">
        <f aca="false">IF(B1201="","",TRIM(LEFT(B1201,IFERROR(FIND(" ",B1201)-1,LEN(B1201)))))</f>
        <v/>
      </c>
      <c r="W1201" s="22"/>
      <c r="X1201" s="5" t="str">
        <f aca="false">IF(A1201="","",IF(W1201&lt;&gt;"",W1201,V1201))</f>
        <v/>
      </c>
      <c r="Y1201" s="5" t="str">
        <f aca="false">IF(A1201="","",IF(COUNTIFS($X$2:$X$2001,X1201,$D$2:$D$2001,"&lt;&gt;"&amp;D1201,$C$2:$C$2001,C1201)&gt;0,"SIM","NAO"))</f>
        <v/>
      </c>
      <c r="Z1201" s="5" t="str">
        <f aca="false">IF(A1201="","",IF(J1201="","",IFERROR(360/J1201,"")))</f>
        <v/>
      </c>
      <c r="AA1201" s="5" t="str">
        <f aca="false">IF(A1201="","",IF(H1201=0,"Parado (sem venda 90d)",IF(Z1201&gt;12,"Alto (&gt;12x/ano)",IF(Z1201&gt;=4,"Medio (4-12x/ano)","Baixo (&lt;4x/ano)"))))</f>
        <v/>
      </c>
    </row>
    <row r="1202" customFormat="false" ht="15" hidden="false" customHeight="true" outlineLevel="0" collapsed="false">
      <c r="A1202" s="6"/>
      <c r="B1202" s="6"/>
      <c r="C1202" s="6"/>
      <c r="D1202" s="6"/>
      <c r="E1202" s="6"/>
      <c r="F1202" s="6"/>
      <c r="G1202" s="6"/>
      <c r="H1202" s="6"/>
      <c r="I1202" s="6"/>
      <c r="J1202" s="6"/>
      <c r="K1202" s="18"/>
      <c r="L1202" s="19" t="str">
        <f aca="false">IF(A1202="","",G1202*K1202)</f>
        <v/>
      </c>
      <c r="M1202" s="20"/>
      <c r="N1202" s="6"/>
      <c r="O1202" s="6"/>
      <c r="P1202" s="5" t="str">
        <f aca="false">IF(A1202="","",H1202/90)</f>
        <v/>
      </c>
      <c r="Q1202" s="5" t="str">
        <f aca="false">IF(A1202="","",IFERROR(INDEX(Parâmetros!$C$6:$C$10,MATCH(F1202,Parâmetros!$B$6:$B$10,0)),""))</f>
        <v/>
      </c>
      <c r="R1202" s="5" t="str">
        <f aca="false">IF(OR(A1202="",P1202="",Q1202=""),"",P1202*Q1202)</f>
        <v/>
      </c>
      <c r="S1202" s="5" t="str">
        <f aca="false">IF(R1202="","",MAX(0,R1202-G1202))</f>
        <v/>
      </c>
      <c r="T1202" s="21" t="str">
        <f aca="false">IF(S1202="","",S1202*K1202)</f>
        <v/>
      </c>
      <c r="U1202" s="5" t="str">
        <f aca="false">IF(A1202="","",IF(J1202&gt;Parâmetros!$C$14,"SIM","NAO"))</f>
        <v/>
      </c>
      <c r="V1202" s="5" t="str">
        <f aca="false">IF(B1202="","",TRIM(LEFT(B1202,IFERROR(FIND(" ",B1202)-1,LEN(B1202)))))</f>
        <v/>
      </c>
      <c r="W1202" s="22"/>
      <c r="X1202" s="5" t="str">
        <f aca="false">IF(A1202="","",IF(W1202&lt;&gt;"",W1202,V1202))</f>
        <v/>
      </c>
      <c r="Y1202" s="5" t="str">
        <f aca="false">IF(A1202="","",IF(COUNTIFS($X$2:$X$2001,X1202,$D$2:$D$2001,"&lt;&gt;"&amp;D1202,$C$2:$C$2001,C1202)&gt;0,"SIM","NAO"))</f>
        <v/>
      </c>
      <c r="Z1202" s="5" t="str">
        <f aca="false">IF(A1202="","",IF(J1202="","",IFERROR(360/J1202,"")))</f>
        <v/>
      </c>
      <c r="AA1202" s="5" t="str">
        <f aca="false">IF(A1202="","",IF(H1202=0,"Parado (sem venda 90d)",IF(Z1202&gt;12,"Alto (&gt;12x/ano)",IF(Z1202&gt;=4,"Medio (4-12x/ano)","Baixo (&lt;4x/ano)"))))</f>
        <v/>
      </c>
    </row>
    <row r="1203" customFormat="false" ht="15" hidden="false" customHeight="true" outlineLevel="0" collapsed="false">
      <c r="A1203" s="6"/>
      <c r="B1203" s="6"/>
      <c r="C1203" s="6"/>
      <c r="D1203" s="6"/>
      <c r="E1203" s="6"/>
      <c r="F1203" s="6"/>
      <c r="G1203" s="6"/>
      <c r="H1203" s="6"/>
      <c r="I1203" s="6"/>
      <c r="J1203" s="6"/>
      <c r="K1203" s="18"/>
      <c r="L1203" s="19" t="str">
        <f aca="false">IF(A1203="","",G1203*K1203)</f>
        <v/>
      </c>
      <c r="M1203" s="20"/>
      <c r="N1203" s="6"/>
      <c r="O1203" s="6"/>
      <c r="P1203" s="5" t="str">
        <f aca="false">IF(A1203="","",H1203/90)</f>
        <v/>
      </c>
      <c r="Q1203" s="5" t="str">
        <f aca="false">IF(A1203="","",IFERROR(INDEX(Parâmetros!$C$6:$C$10,MATCH(F1203,Parâmetros!$B$6:$B$10,0)),""))</f>
        <v/>
      </c>
      <c r="R1203" s="5" t="str">
        <f aca="false">IF(OR(A1203="",P1203="",Q1203=""),"",P1203*Q1203)</f>
        <v/>
      </c>
      <c r="S1203" s="5" t="str">
        <f aca="false">IF(R1203="","",MAX(0,R1203-G1203))</f>
        <v/>
      </c>
      <c r="T1203" s="21" t="str">
        <f aca="false">IF(S1203="","",S1203*K1203)</f>
        <v/>
      </c>
      <c r="U1203" s="5" t="str">
        <f aca="false">IF(A1203="","",IF(J1203&gt;Parâmetros!$C$14,"SIM","NAO"))</f>
        <v/>
      </c>
      <c r="V1203" s="5" t="str">
        <f aca="false">IF(B1203="","",TRIM(LEFT(B1203,IFERROR(FIND(" ",B1203)-1,LEN(B1203)))))</f>
        <v/>
      </c>
      <c r="W1203" s="22"/>
      <c r="X1203" s="5" t="str">
        <f aca="false">IF(A1203="","",IF(W1203&lt;&gt;"",W1203,V1203))</f>
        <v/>
      </c>
      <c r="Y1203" s="5" t="str">
        <f aca="false">IF(A1203="","",IF(COUNTIFS($X$2:$X$2001,X1203,$D$2:$D$2001,"&lt;&gt;"&amp;D1203,$C$2:$C$2001,C1203)&gt;0,"SIM","NAO"))</f>
        <v/>
      </c>
      <c r="Z1203" s="5" t="str">
        <f aca="false">IF(A1203="","",IF(J1203="","",IFERROR(360/J1203,"")))</f>
        <v/>
      </c>
      <c r="AA1203" s="5" t="str">
        <f aca="false">IF(A1203="","",IF(H1203=0,"Parado (sem venda 90d)",IF(Z1203&gt;12,"Alto (&gt;12x/ano)",IF(Z1203&gt;=4,"Medio (4-12x/ano)","Baixo (&lt;4x/ano)"))))</f>
        <v/>
      </c>
    </row>
    <row r="1204" customFormat="false" ht="15" hidden="false" customHeight="true" outlineLevel="0" collapsed="false">
      <c r="A1204" s="6"/>
      <c r="B1204" s="6"/>
      <c r="C1204" s="6"/>
      <c r="D1204" s="6"/>
      <c r="E1204" s="6"/>
      <c r="F1204" s="6"/>
      <c r="G1204" s="6"/>
      <c r="H1204" s="6"/>
      <c r="I1204" s="6"/>
      <c r="J1204" s="6"/>
      <c r="K1204" s="18"/>
      <c r="L1204" s="19" t="str">
        <f aca="false">IF(A1204="","",G1204*K1204)</f>
        <v/>
      </c>
      <c r="M1204" s="20"/>
      <c r="N1204" s="6"/>
      <c r="O1204" s="6"/>
      <c r="P1204" s="5" t="str">
        <f aca="false">IF(A1204="","",H1204/90)</f>
        <v/>
      </c>
      <c r="Q1204" s="5" t="str">
        <f aca="false">IF(A1204="","",IFERROR(INDEX(Parâmetros!$C$6:$C$10,MATCH(F1204,Parâmetros!$B$6:$B$10,0)),""))</f>
        <v/>
      </c>
      <c r="R1204" s="5" t="str">
        <f aca="false">IF(OR(A1204="",P1204="",Q1204=""),"",P1204*Q1204)</f>
        <v/>
      </c>
      <c r="S1204" s="5" t="str">
        <f aca="false">IF(R1204="","",MAX(0,R1204-G1204))</f>
        <v/>
      </c>
      <c r="T1204" s="21" t="str">
        <f aca="false">IF(S1204="","",S1204*K1204)</f>
        <v/>
      </c>
      <c r="U1204" s="5" t="str">
        <f aca="false">IF(A1204="","",IF(J1204&gt;Parâmetros!$C$14,"SIM","NAO"))</f>
        <v/>
      </c>
      <c r="V1204" s="5" t="str">
        <f aca="false">IF(B1204="","",TRIM(LEFT(B1204,IFERROR(FIND(" ",B1204)-1,LEN(B1204)))))</f>
        <v/>
      </c>
      <c r="W1204" s="22"/>
      <c r="X1204" s="5" t="str">
        <f aca="false">IF(A1204="","",IF(W1204&lt;&gt;"",W1204,V1204))</f>
        <v/>
      </c>
      <c r="Y1204" s="5" t="str">
        <f aca="false">IF(A1204="","",IF(COUNTIFS($X$2:$X$2001,X1204,$D$2:$D$2001,"&lt;&gt;"&amp;D1204,$C$2:$C$2001,C1204)&gt;0,"SIM","NAO"))</f>
        <v/>
      </c>
      <c r="Z1204" s="5" t="str">
        <f aca="false">IF(A1204="","",IF(J1204="","",IFERROR(360/J1204,"")))</f>
        <v/>
      </c>
      <c r="AA1204" s="5" t="str">
        <f aca="false">IF(A1204="","",IF(H1204=0,"Parado (sem venda 90d)",IF(Z1204&gt;12,"Alto (&gt;12x/ano)",IF(Z1204&gt;=4,"Medio (4-12x/ano)","Baixo (&lt;4x/ano)"))))</f>
        <v/>
      </c>
    </row>
    <row r="1205" customFormat="false" ht="15" hidden="false" customHeight="true" outlineLevel="0" collapsed="false">
      <c r="A1205" s="6"/>
      <c r="B1205" s="6"/>
      <c r="C1205" s="6"/>
      <c r="D1205" s="6"/>
      <c r="E1205" s="6"/>
      <c r="F1205" s="6"/>
      <c r="G1205" s="6"/>
      <c r="H1205" s="6"/>
      <c r="I1205" s="6"/>
      <c r="J1205" s="6"/>
      <c r="K1205" s="18"/>
      <c r="L1205" s="19" t="str">
        <f aca="false">IF(A1205="","",G1205*K1205)</f>
        <v/>
      </c>
      <c r="M1205" s="20"/>
      <c r="N1205" s="6"/>
      <c r="O1205" s="6"/>
      <c r="P1205" s="5" t="str">
        <f aca="false">IF(A1205="","",H1205/90)</f>
        <v/>
      </c>
      <c r="Q1205" s="5" t="str">
        <f aca="false">IF(A1205="","",IFERROR(INDEX(Parâmetros!$C$6:$C$10,MATCH(F1205,Parâmetros!$B$6:$B$10,0)),""))</f>
        <v/>
      </c>
      <c r="R1205" s="5" t="str">
        <f aca="false">IF(OR(A1205="",P1205="",Q1205=""),"",P1205*Q1205)</f>
        <v/>
      </c>
      <c r="S1205" s="5" t="str">
        <f aca="false">IF(R1205="","",MAX(0,R1205-G1205))</f>
        <v/>
      </c>
      <c r="T1205" s="21" t="str">
        <f aca="false">IF(S1205="","",S1205*K1205)</f>
        <v/>
      </c>
      <c r="U1205" s="5" t="str">
        <f aca="false">IF(A1205="","",IF(J1205&gt;Parâmetros!$C$14,"SIM","NAO"))</f>
        <v/>
      </c>
      <c r="V1205" s="5" t="str">
        <f aca="false">IF(B1205="","",TRIM(LEFT(B1205,IFERROR(FIND(" ",B1205)-1,LEN(B1205)))))</f>
        <v/>
      </c>
      <c r="W1205" s="22"/>
      <c r="X1205" s="5" t="str">
        <f aca="false">IF(A1205="","",IF(W1205&lt;&gt;"",W1205,V1205))</f>
        <v/>
      </c>
      <c r="Y1205" s="5" t="str">
        <f aca="false">IF(A1205="","",IF(COUNTIFS($X$2:$X$2001,X1205,$D$2:$D$2001,"&lt;&gt;"&amp;D1205,$C$2:$C$2001,C1205)&gt;0,"SIM","NAO"))</f>
        <v/>
      </c>
      <c r="Z1205" s="5" t="str">
        <f aca="false">IF(A1205="","",IF(J1205="","",IFERROR(360/J1205,"")))</f>
        <v/>
      </c>
      <c r="AA1205" s="5" t="str">
        <f aca="false">IF(A1205="","",IF(H1205=0,"Parado (sem venda 90d)",IF(Z1205&gt;12,"Alto (&gt;12x/ano)",IF(Z1205&gt;=4,"Medio (4-12x/ano)","Baixo (&lt;4x/ano)"))))</f>
        <v/>
      </c>
    </row>
    <row r="1206" customFormat="false" ht="15" hidden="false" customHeight="true" outlineLevel="0" collapsed="false">
      <c r="A1206" s="6"/>
      <c r="B1206" s="6"/>
      <c r="C1206" s="6"/>
      <c r="D1206" s="6"/>
      <c r="E1206" s="6"/>
      <c r="F1206" s="6"/>
      <c r="G1206" s="6"/>
      <c r="H1206" s="6"/>
      <c r="I1206" s="6"/>
      <c r="J1206" s="6"/>
      <c r="K1206" s="18"/>
      <c r="L1206" s="19" t="str">
        <f aca="false">IF(A1206="","",G1206*K1206)</f>
        <v/>
      </c>
      <c r="M1206" s="20"/>
      <c r="N1206" s="6"/>
      <c r="O1206" s="6"/>
      <c r="P1206" s="5" t="str">
        <f aca="false">IF(A1206="","",H1206/90)</f>
        <v/>
      </c>
      <c r="Q1206" s="5" t="str">
        <f aca="false">IF(A1206="","",IFERROR(INDEX(Parâmetros!$C$6:$C$10,MATCH(F1206,Parâmetros!$B$6:$B$10,0)),""))</f>
        <v/>
      </c>
      <c r="R1206" s="5" t="str">
        <f aca="false">IF(OR(A1206="",P1206="",Q1206=""),"",P1206*Q1206)</f>
        <v/>
      </c>
      <c r="S1206" s="5" t="str">
        <f aca="false">IF(R1206="","",MAX(0,R1206-G1206))</f>
        <v/>
      </c>
      <c r="T1206" s="21" t="str">
        <f aca="false">IF(S1206="","",S1206*K1206)</f>
        <v/>
      </c>
      <c r="U1206" s="5" t="str">
        <f aca="false">IF(A1206="","",IF(J1206&gt;Parâmetros!$C$14,"SIM","NAO"))</f>
        <v/>
      </c>
      <c r="V1206" s="5" t="str">
        <f aca="false">IF(B1206="","",TRIM(LEFT(B1206,IFERROR(FIND(" ",B1206)-1,LEN(B1206)))))</f>
        <v/>
      </c>
      <c r="W1206" s="22"/>
      <c r="X1206" s="5" t="str">
        <f aca="false">IF(A1206="","",IF(W1206&lt;&gt;"",W1206,V1206))</f>
        <v/>
      </c>
      <c r="Y1206" s="5" t="str">
        <f aca="false">IF(A1206="","",IF(COUNTIFS($X$2:$X$2001,X1206,$D$2:$D$2001,"&lt;&gt;"&amp;D1206,$C$2:$C$2001,C1206)&gt;0,"SIM","NAO"))</f>
        <v/>
      </c>
      <c r="Z1206" s="5" t="str">
        <f aca="false">IF(A1206="","",IF(J1206="","",IFERROR(360/J1206,"")))</f>
        <v/>
      </c>
      <c r="AA1206" s="5" t="str">
        <f aca="false">IF(A1206="","",IF(H1206=0,"Parado (sem venda 90d)",IF(Z1206&gt;12,"Alto (&gt;12x/ano)",IF(Z1206&gt;=4,"Medio (4-12x/ano)","Baixo (&lt;4x/ano)"))))</f>
        <v/>
      </c>
    </row>
    <row r="1207" customFormat="false" ht="15" hidden="false" customHeight="true" outlineLevel="0" collapsed="false">
      <c r="A1207" s="6"/>
      <c r="B1207" s="6"/>
      <c r="C1207" s="6"/>
      <c r="D1207" s="6"/>
      <c r="E1207" s="6"/>
      <c r="F1207" s="6"/>
      <c r="G1207" s="6"/>
      <c r="H1207" s="6"/>
      <c r="I1207" s="6"/>
      <c r="J1207" s="6"/>
      <c r="K1207" s="18"/>
      <c r="L1207" s="19" t="str">
        <f aca="false">IF(A1207="","",G1207*K1207)</f>
        <v/>
      </c>
      <c r="M1207" s="20"/>
      <c r="N1207" s="6"/>
      <c r="O1207" s="6"/>
      <c r="P1207" s="5" t="str">
        <f aca="false">IF(A1207="","",H1207/90)</f>
        <v/>
      </c>
      <c r="Q1207" s="5" t="str">
        <f aca="false">IF(A1207="","",IFERROR(INDEX(Parâmetros!$C$6:$C$10,MATCH(F1207,Parâmetros!$B$6:$B$10,0)),""))</f>
        <v/>
      </c>
      <c r="R1207" s="5" t="str">
        <f aca="false">IF(OR(A1207="",P1207="",Q1207=""),"",P1207*Q1207)</f>
        <v/>
      </c>
      <c r="S1207" s="5" t="str">
        <f aca="false">IF(R1207="","",MAX(0,R1207-G1207))</f>
        <v/>
      </c>
      <c r="T1207" s="21" t="str">
        <f aca="false">IF(S1207="","",S1207*K1207)</f>
        <v/>
      </c>
      <c r="U1207" s="5" t="str">
        <f aca="false">IF(A1207="","",IF(J1207&gt;Parâmetros!$C$14,"SIM","NAO"))</f>
        <v/>
      </c>
      <c r="V1207" s="5" t="str">
        <f aca="false">IF(B1207="","",TRIM(LEFT(B1207,IFERROR(FIND(" ",B1207)-1,LEN(B1207)))))</f>
        <v/>
      </c>
      <c r="W1207" s="22"/>
      <c r="X1207" s="5" t="str">
        <f aca="false">IF(A1207="","",IF(W1207&lt;&gt;"",W1207,V1207))</f>
        <v/>
      </c>
      <c r="Y1207" s="5" t="str">
        <f aca="false">IF(A1207="","",IF(COUNTIFS($X$2:$X$2001,X1207,$D$2:$D$2001,"&lt;&gt;"&amp;D1207,$C$2:$C$2001,C1207)&gt;0,"SIM","NAO"))</f>
        <v/>
      </c>
      <c r="Z1207" s="5" t="str">
        <f aca="false">IF(A1207="","",IF(J1207="","",IFERROR(360/J1207,"")))</f>
        <v/>
      </c>
      <c r="AA1207" s="5" t="str">
        <f aca="false">IF(A1207="","",IF(H1207=0,"Parado (sem venda 90d)",IF(Z1207&gt;12,"Alto (&gt;12x/ano)",IF(Z1207&gt;=4,"Medio (4-12x/ano)","Baixo (&lt;4x/ano)"))))</f>
        <v/>
      </c>
    </row>
    <row r="1208" customFormat="false" ht="15" hidden="false" customHeight="true" outlineLevel="0" collapsed="false">
      <c r="A1208" s="6"/>
      <c r="B1208" s="6"/>
      <c r="C1208" s="6"/>
      <c r="D1208" s="6"/>
      <c r="E1208" s="6"/>
      <c r="F1208" s="6"/>
      <c r="G1208" s="6"/>
      <c r="H1208" s="6"/>
      <c r="I1208" s="6"/>
      <c r="J1208" s="6"/>
      <c r="K1208" s="18"/>
      <c r="L1208" s="19" t="str">
        <f aca="false">IF(A1208="","",G1208*K1208)</f>
        <v/>
      </c>
      <c r="M1208" s="20"/>
      <c r="N1208" s="6"/>
      <c r="O1208" s="6"/>
      <c r="P1208" s="5" t="str">
        <f aca="false">IF(A1208="","",H1208/90)</f>
        <v/>
      </c>
      <c r="Q1208" s="5" t="str">
        <f aca="false">IF(A1208="","",IFERROR(INDEX(Parâmetros!$C$6:$C$10,MATCH(F1208,Parâmetros!$B$6:$B$10,0)),""))</f>
        <v/>
      </c>
      <c r="R1208" s="5" t="str">
        <f aca="false">IF(OR(A1208="",P1208="",Q1208=""),"",P1208*Q1208)</f>
        <v/>
      </c>
      <c r="S1208" s="5" t="str">
        <f aca="false">IF(R1208="","",MAX(0,R1208-G1208))</f>
        <v/>
      </c>
      <c r="T1208" s="21" t="str">
        <f aca="false">IF(S1208="","",S1208*K1208)</f>
        <v/>
      </c>
      <c r="U1208" s="5" t="str">
        <f aca="false">IF(A1208="","",IF(J1208&gt;Parâmetros!$C$14,"SIM","NAO"))</f>
        <v/>
      </c>
      <c r="V1208" s="5" t="str">
        <f aca="false">IF(B1208="","",TRIM(LEFT(B1208,IFERROR(FIND(" ",B1208)-1,LEN(B1208)))))</f>
        <v/>
      </c>
      <c r="W1208" s="22"/>
      <c r="X1208" s="5" t="str">
        <f aca="false">IF(A1208="","",IF(W1208&lt;&gt;"",W1208,V1208))</f>
        <v/>
      </c>
      <c r="Y1208" s="5" t="str">
        <f aca="false">IF(A1208="","",IF(COUNTIFS($X$2:$X$2001,X1208,$D$2:$D$2001,"&lt;&gt;"&amp;D1208,$C$2:$C$2001,C1208)&gt;0,"SIM","NAO"))</f>
        <v/>
      </c>
      <c r="Z1208" s="5" t="str">
        <f aca="false">IF(A1208="","",IF(J1208="","",IFERROR(360/J1208,"")))</f>
        <v/>
      </c>
      <c r="AA1208" s="5" t="str">
        <f aca="false">IF(A1208="","",IF(H1208=0,"Parado (sem venda 90d)",IF(Z1208&gt;12,"Alto (&gt;12x/ano)",IF(Z1208&gt;=4,"Medio (4-12x/ano)","Baixo (&lt;4x/ano)"))))</f>
        <v/>
      </c>
    </row>
    <row r="1209" customFormat="false" ht="15" hidden="false" customHeight="true" outlineLevel="0" collapsed="false">
      <c r="A1209" s="6"/>
      <c r="B1209" s="6"/>
      <c r="C1209" s="6"/>
      <c r="D1209" s="6"/>
      <c r="E1209" s="6"/>
      <c r="F1209" s="6"/>
      <c r="G1209" s="6"/>
      <c r="H1209" s="6"/>
      <c r="I1209" s="6"/>
      <c r="J1209" s="6"/>
      <c r="K1209" s="18"/>
      <c r="L1209" s="19" t="str">
        <f aca="false">IF(A1209="","",G1209*K1209)</f>
        <v/>
      </c>
      <c r="M1209" s="20"/>
      <c r="N1209" s="6"/>
      <c r="O1209" s="6"/>
      <c r="P1209" s="5" t="str">
        <f aca="false">IF(A1209="","",H1209/90)</f>
        <v/>
      </c>
      <c r="Q1209" s="5" t="str">
        <f aca="false">IF(A1209="","",IFERROR(INDEX(Parâmetros!$C$6:$C$10,MATCH(F1209,Parâmetros!$B$6:$B$10,0)),""))</f>
        <v/>
      </c>
      <c r="R1209" s="5" t="str">
        <f aca="false">IF(OR(A1209="",P1209="",Q1209=""),"",P1209*Q1209)</f>
        <v/>
      </c>
      <c r="S1209" s="5" t="str">
        <f aca="false">IF(R1209="","",MAX(0,R1209-G1209))</f>
        <v/>
      </c>
      <c r="T1209" s="21" t="str">
        <f aca="false">IF(S1209="","",S1209*K1209)</f>
        <v/>
      </c>
      <c r="U1209" s="5" t="str">
        <f aca="false">IF(A1209="","",IF(J1209&gt;Parâmetros!$C$14,"SIM","NAO"))</f>
        <v/>
      </c>
      <c r="V1209" s="5" t="str">
        <f aca="false">IF(B1209="","",TRIM(LEFT(B1209,IFERROR(FIND(" ",B1209)-1,LEN(B1209)))))</f>
        <v/>
      </c>
      <c r="W1209" s="22"/>
      <c r="X1209" s="5" t="str">
        <f aca="false">IF(A1209="","",IF(W1209&lt;&gt;"",W1209,V1209))</f>
        <v/>
      </c>
      <c r="Y1209" s="5" t="str">
        <f aca="false">IF(A1209="","",IF(COUNTIFS($X$2:$X$2001,X1209,$D$2:$D$2001,"&lt;&gt;"&amp;D1209,$C$2:$C$2001,C1209)&gt;0,"SIM","NAO"))</f>
        <v/>
      </c>
      <c r="Z1209" s="5" t="str">
        <f aca="false">IF(A1209="","",IF(J1209="","",IFERROR(360/J1209,"")))</f>
        <v/>
      </c>
      <c r="AA1209" s="5" t="str">
        <f aca="false">IF(A1209="","",IF(H1209=0,"Parado (sem venda 90d)",IF(Z1209&gt;12,"Alto (&gt;12x/ano)",IF(Z1209&gt;=4,"Medio (4-12x/ano)","Baixo (&lt;4x/ano)"))))</f>
        <v/>
      </c>
    </row>
    <row r="1210" customFormat="false" ht="15" hidden="false" customHeight="true" outlineLevel="0" collapsed="false">
      <c r="A1210" s="6"/>
      <c r="B1210" s="6"/>
      <c r="C1210" s="6"/>
      <c r="D1210" s="6"/>
      <c r="E1210" s="6"/>
      <c r="F1210" s="6"/>
      <c r="G1210" s="6"/>
      <c r="H1210" s="6"/>
      <c r="I1210" s="6"/>
      <c r="J1210" s="6"/>
      <c r="K1210" s="18"/>
      <c r="L1210" s="19" t="str">
        <f aca="false">IF(A1210="","",G1210*K1210)</f>
        <v/>
      </c>
      <c r="M1210" s="20"/>
      <c r="N1210" s="6"/>
      <c r="O1210" s="6"/>
      <c r="P1210" s="5" t="str">
        <f aca="false">IF(A1210="","",H1210/90)</f>
        <v/>
      </c>
      <c r="Q1210" s="5" t="str">
        <f aca="false">IF(A1210="","",IFERROR(INDEX(Parâmetros!$C$6:$C$10,MATCH(F1210,Parâmetros!$B$6:$B$10,0)),""))</f>
        <v/>
      </c>
      <c r="R1210" s="5" t="str">
        <f aca="false">IF(OR(A1210="",P1210="",Q1210=""),"",P1210*Q1210)</f>
        <v/>
      </c>
      <c r="S1210" s="5" t="str">
        <f aca="false">IF(R1210="","",MAX(0,R1210-G1210))</f>
        <v/>
      </c>
      <c r="T1210" s="21" t="str">
        <f aca="false">IF(S1210="","",S1210*K1210)</f>
        <v/>
      </c>
      <c r="U1210" s="5" t="str">
        <f aca="false">IF(A1210="","",IF(J1210&gt;Parâmetros!$C$14,"SIM","NAO"))</f>
        <v/>
      </c>
      <c r="V1210" s="5" t="str">
        <f aca="false">IF(B1210="","",TRIM(LEFT(B1210,IFERROR(FIND(" ",B1210)-1,LEN(B1210)))))</f>
        <v/>
      </c>
      <c r="W1210" s="22"/>
      <c r="X1210" s="5" t="str">
        <f aca="false">IF(A1210="","",IF(W1210&lt;&gt;"",W1210,V1210))</f>
        <v/>
      </c>
      <c r="Y1210" s="5" t="str">
        <f aca="false">IF(A1210="","",IF(COUNTIFS($X$2:$X$2001,X1210,$D$2:$D$2001,"&lt;&gt;"&amp;D1210,$C$2:$C$2001,C1210)&gt;0,"SIM","NAO"))</f>
        <v/>
      </c>
      <c r="Z1210" s="5" t="str">
        <f aca="false">IF(A1210="","",IF(J1210="","",IFERROR(360/J1210,"")))</f>
        <v/>
      </c>
      <c r="AA1210" s="5" t="str">
        <f aca="false">IF(A1210="","",IF(H1210=0,"Parado (sem venda 90d)",IF(Z1210&gt;12,"Alto (&gt;12x/ano)",IF(Z1210&gt;=4,"Medio (4-12x/ano)","Baixo (&lt;4x/ano)"))))</f>
        <v/>
      </c>
    </row>
    <row r="1211" customFormat="false" ht="15" hidden="false" customHeight="true" outlineLevel="0" collapsed="false">
      <c r="A1211" s="6"/>
      <c r="B1211" s="6"/>
      <c r="C1211" s="6"/>
      <c r="D1211" s="6"/>
      <c r="E1211" s="6"/>
      <c r="F1211" s="6"/>
      <c r="G1211" s="6"/>
      <c r="H1211" s="6"/>
      <c r="I1211" s="6"/>
      <c r="J1211" s="6"/>
      <c r="K1211" s="18"/>
      <c r="L1211" s="19" t="str">
        <f aca="false">IF(A1211="","",G1211*K1211)</f>
        <v/>
      </c>
      <c r="M1211" s="20"/>
      <c r="N1211" s="6"/>
      <c r="O1211" s="6"/>
      <c r="P1211" s="5" t="str">
        <f aca="false">IF(A1211="","",H1211/90)</f>
        <v/>
      </c>
      <c r="Q1211" s="5" t="str">
        <f aca="false">IF(A1211="","",IFERROR(INDEX(Parâmetros!$C$6:$C$10,MATCH(F1211,Parâmetros!$B$6:$B$10,0)),""))</f>
        <v/>
      </c>
      <c r="R1211" s="5" t="str">
        <f aca="false">IF(OR(A1211="",P1211="",Q1211=""),"",P1211*Q1211)</f>
        <v/>
      </c>
      <c r="S1211" s="5" t="str">
        <f aca="false">IF(R1211="","",MAX(0,R1211-G1211))</f>
        <v/>
      </c>
      <c r="T1211" s="21" t="str">
        <f aca="false">IF(S1211="","",S1211*K1211)</f>
        <v/>
      </c>
      <c r="U1211" s="5" t="str">
        <f aca="false">IF(A1211="","",IF(J1211&gt;Parâmetros!$C$14,"SIM","NAO"))</f>
        <v/>
      </c>
      <c r="V1211" s="5" t="str">
        <f aca="false">IF(B1211="","",TRIM(LEFT(B1211,IFERROR(FIND(" ",B1211)-1,LEN(B1211)))))</f>
        <v/>
      </c>
      <c r="W1211" s="22"/>
      <c r="X1211" s="5" t="str">
        <f aca="false">IF(A1211="","",IF(W1211&lt;&gt;"",W1211,V1211))</f>
        <v/>
      </c>
      <c r="Y1211" s="5" t="str">
        <f aca="false">IF(A1211="","",IF(COUNTIFS($X$2:$X$2001,X1211,$D$2:$D$2001,"&lt;&gt;"&amp;D1211,$C$2:$C$2001,C1211)&gt;0,"SIM","NAO"))</f>
        <v/>
      </c>
      <c r="Z1211" s="5" t="str">
        <f aca="false">IF(A1211="","",IF(J1211="","",IFERROR(360/J1211,"")))</f>
        <v/>
      </c>
      <c r="AA1211" s="5" t="str">
        <f aca="false">IF(A1211="","",IF(H1211=0,"Parado (sem venda 90d)",IF(Z1211&gt;12,"Alto (&gt;12x/ano)",IF(Z1211&gt;=4,"Medio (4-12x/ano)","Baixo (&lt;4x/ano)"))))</f>
        <v/>
      </c>
    </row>
    <row r="1212" customFormat="false" ht="15" hidden="false" customHeight="true" outlineLevel="0" collapsed="false">
      <c r="A1212" s="6"/>
      <c r="B1212" s="6"/>
      <c r="C1212" s="6"/>
      <c r="D1212" s="6"/>
      <c r="E1212" s="6"/>
      <c r="F1212" s="6"/>
      <c r="G1212" s="6"/>
      <c r="H1212" s="6"/>
      <c r="I1212" s="6"/>
      <c r="J1212" s="6"/>
      <c r="K1212" s="18"/>
      <c r="L1212" s="19" t="str">
        <f aca="false">IF(A1212="","",G1212*K1212)</f>
        <v/>
      </c>
      <c r="M1212" s="20"/>
      <c r="N1212" s="6"/>
      <c r="O1212" s="6"/>
      <c r="P1212" s="5" t="str">
        <f aca="false">IF(A1212="","",H1212/90)</f>
        <v/>
      </c>
      <c r="Q1212" s="5" t="str">
        <f aca="false">IF(A1212="","",IFERROR(INDEX(Parâmetros!$C$6:$C$10,MATCH(F1212,Parâmetros!$B$6:$B$10,0)),""))</f>
        <v/>
      </c>
      <c r="R1212" s="5" t="str">
        <f aca="false">IF(OR(A1212="",P1212="",Q1212=""),"",P1212*Q1212)</f>
        <v/>
      </c>
      <c r="S1212" s="5" t="str">
        <f aca="false">IF(R1212="","",MAX(0,R1212-G1212))</f>
        <v/>
      </c>
      <c r="T1212" s="21" t="str">
        <f aca="false">IF(S1212="","",S1212*K1212)</f>
        <v/>
      </c>
      <c r="U1212" s="5" t="str">
        <f aca="false">IF(A1212="","",IF(J1212&gt;Parâmetros!$C$14,"SIM","NAO"))</f>
        <v/>
      </c>
      <c r="V1212" s="5" t="str">
        <f aca="false">IF(B1212="","",TRIM(LEFT(B1212,IFERROR(FIND(" ",B1212)-1,LEN(B1212)))))</f>
        <v/>
      </c>
      <c r="W1212" s="22"/>
      <c r="X1212" s="5" t="str">
        <f aca="false">IF(A1212="","",IF(W1212&lt;&gt;"",W1212,V1212))</f>
        <v/>
      </c>
      <c r="Y1212" s="5" t="str">
        <f aca="false">IF(A1212="","",IF(COUNTIFS($X$2:$X$2001,X1212,$D$2:$D$2001,"&lt;&gt;"&amp;D1212,$C$2:$C$2001,C1212)&gt;0,"SIM","NAO"))</f>
        <v/>
      </c>
      <c r="Z1212" s="5" t="str">
        <f aca="false">IF(A1212="","",IF(J1212="","",IFERROR(360/J1212,"")))</f>
        <v/>
      </c>
      <c r="AA1212" s="5" t="str">
        <f aca="false">IF(A1212="","",IF(H1212=0,"Parado (sem venda 90d)",IF(Z1212&gt;12,"Alto (&gt;12x/ano)",IF(Z1212&gt;=4,"Medio (4-12x/ano)","Baixo (&lt;4x/ano)"))))</f>
        <v/>
      </c>
    </row>
    <row r="1213" customFormat="false" ht="15" hidden="false" customHeight="true" outlineLevel="0" collapsed="false">
      <c r="A1213" s="6"/>
      <c r="B1213" s="6"/>
      <c r="C1213" s="6"/>
      <c r="D1213" s="6"/>
      <c r="E1213" s="6"/>
      <c r="F1213" s="6"/>
      <c r="G1213" s="6"/>
      <c r="H1213" s="6"/>
      <c r="I1213" s="6"/>
      <c r="J1213" s="6"/>
      <c r="K1213" s="18"/>
      <c r="L1213" s="19" t="str">
        <f aca="false">IF(A1213="","",G1213*K1213)</f>
        <v/>
      </c>
      <c r="M1213" s="20"/>
      <c r="N1213" s="6"/>
      <c r="O1213" s="6"/>
      <c r="P1213" s="5" t="str">
        <f aca="false">IF(A1213="","",H1213/90)</f>
        <v/>
      </c>
      <c r="Q1213" s="5" t="str">
        <f aca="false">IF(A1213="","",IFERROR(INDEX(Parâmetros!$C$6:$C$10,MATCH(F1213,Parâmetros!$B$6:$B$10,0)),""))</f>
        <v/>
      </c>
      <c r="R1213" s="5" t="str">
        <f aca="false">IF(OR(A1213="",P1213="",Q1213=""),"",P1213*Q1213)</f>
        <v/>
      </c>
      <c r="S1213" s="5" t="str">
        <f aca="false">IF(R1213="","",MAX(0,R1213-G1213))</f>
        <v/>
      </c>
      <c r="T1213" s="21" t="str">
        <f aca="false">IF(S1213="","",S1213*K1213)</f>
        <v/>
      </c>
      <c r="U1213" s="5" t="str">
        <f aca="false">IF(A1213="","",IF(J1213&gt;Parâmetros!$C$14,"SIM","NAO"))</f>
        <v/>
      </c>
      <c r="V1213" s="5" t="str">
        <f aca="false">IF(B1213="","",TRIM(LEFT(B1213,IFERROR(FIND(" ",B1213)-1,LEN(B1213)))))</f>
        <v/>
      </c>
      <c r="W1213" s="22"/>
      <c r="X1213" s="5" t="str">
        <f aca="false">IF(A1213="","",IF(W1213&lt;&gt;"",W1213,V1213))</f>
        <v/>
      </c>
      <c r="Y1213" s="5" t="str">
        <f aca="false">IF(A1213="","",IF(COUNTIFS($X$2:$X$2001,X1213,$D$2:$D$2001,"&lt;&gt;"&amp;D1213,$C$2:$C$2001,C1213)&gt;0,"SIM","NAO"))</f>
        <v/>
      </c>
      <c r="Z1213" s="5" t="str">
        <f aca="false">IF(A1213="","",IF(J1213="","",IFERROR(360/J1213,"")))</f>
        <v/>
      </c>
      <c r="AA1213" s="5" t="str">
        <f aca="false">IF(A1213="","",IF(H1213=0,"Parado (sem venda 90d)",IF(Z1213&gt;12,"Alto (&gt;12x/ano)",IF(Z1213&gt;=4,"Medio (4-12x/ano)","Baixo (&lt;4x/ano)"))))</f>
        <v/>
      </c>
    </row>
    <row r="1214" customFormat="false" ht="15" hidden="false" customHeight="true" outlineLevel="0" collapsed="false">
      <c r="A1214" s="6"/>
      <c r="B1214" s="6"/>
      <c r="C1214" s="6"/>
      <c r="D1214" s="6"/>
      <c r="E1214" s="6"/>
      <c r="F1214" s="6"/>
      <c r="G1214" s="6"/>
      <c r="H1214" s="6"/>
      <c r="I1214" s="6"/>
      <c r="J1214" s="6"/>
      <c r="K1214" s="18"/>
      <c r="L1214" s="19" t="str">
        <f aca="false">IF(A1214="","",G1214*K1214)</f>
        <v/>
      </c>
      <c r="M1214" s="20"/>
      <c r="N1214" s="6"/>
      <c r="O1214" s="6"/>
      <c r="P1214" s="5" t="str">
        <f aca="false">IF(A1214="","",H1214/90)</f>
        <v/>
      </c>
      <c r="Q1214" s="5" t="str">
        <f aca="false">IF(A1214="","",IFERROR(INDEX(Parâmetros!$C$6:$C$10,MATCH(F1214,Parâmetros!$B$6:$B$10,0)),""))</f>
        <v/>
      </c>
      <c r="R1214" s="5" t="str">
        <f aca="false">IF(OR(A1214="",P1214="",Q1214=""),"",P1214*Q1214)</f>
        <v/>
      </c>
      <c r="S1214" s="5" t="str">
        <f aca="false">IF(R1214="","",MAX(0,R1214-G1214))</f>
        <v/>
      </c>
      <c r="T1214" s="21" t="str">
        <f aca="false">IF(S1214="","",S1214*K1214)</f>
        <v/>
      </c>
      <c r="U1214" s="5" t="str">
        <f aca="false">IF(A1214="","",IF(J1214&gt;Parâmetros!$C$14,"SIM","NAO"))</f>
        <v/>
      </c>
      <c r="V1214" s="5" t="str">
        <f aca="false">IF(B1214="","",TRIM(LEFT(B1214,IFERROR(FIND(" ",B1214)-1,LEN(B1214)))))</f>
        <v/>
      </c>
      <c r="W1214" s="22"/>
      <c r="X1214" s="5" t="str">
        <f aca="false">IF(A1214="","",IF(W1214&lt;&gt;"",W1214,V1214))</f>
        <v/>
      </c>
      <c r="Y1214" s="5" t="str">
        <f aca="false">IF(A1214="","",IF(COUNTIFS($X$2:$X$2001,X1214,$D$2:$D$2001,"&lt;&gt;"&amp;D1214,$C$2:$C$2001,C1214)&gt;0,"SIM","NAO"))</f>
        <v/>
      </c>
      <c r="Z1214" s="5" t="str">
        <f aca="false">IF(A1214="","",IF(J1214="","",IFERROR(360/J1214,"")))</f>
        <v/>
      </c>
      <c r="AA1214" s="5" t="str">
        <f aca="false">IF(A1214="","",IF(H1214=0,"Parado (sem venda 90d)",IF(Z1214&gt;12,"Alto (&gt;12x/ano)",IF(Z1214&gt;=4,"Medio (4-12x/ano)","Baixo (&lt;4x/ano)"))))</f>
        <v/>
      </c>
    </row>
    <row r="1215" customFormat="false" ht="15" hidden="false" customHeight="true" outlineLevel="0" collapsed="false">
      <c r="A1215" s="6"/>
      <c r="B1215" s="6"/>
      <c r="C1215" s="6"/>
      <c r="D1215" s="6"/>
      <c r="E1215" s="6"/>
      <c r="F1215" s="6"/>
      <c r="G1215" s="6"/>
      <c r="H1215" s="6"/>
      <c r="I1215" s="6"/>
      <c r="J1215" s="6"/>
      <c r="K1215" s="18"/>
      <c r="L1215" s="19" t="str">
        <f aca="false">IF(A1215="","",G1215*K1215)</f>
        <v/>
      </c>
      <c r="M1215" s="20"/>
      <c r="N1215" s="6"/>
      <c r="O1215" s="6"/>
      <c r="P1215" s="5" t="str">
        <f aca="false">IF(A1215="","",H1215/90)</f>
        <v/>
      </c>
      <c r="Q1215" s="5" t="str">
        <f aca="false">IF(A1215="","",IFERROR(INDEX(Parâmetros!$C$6:$C$10,MATCH(F1215,Parâmetros!$B$6:$B$10,0)),""))</f>
        <v/>
      </c>
      <c r="R1215" s="5" t="str">
        <f aca="false">IF(OR(A1215="",P1215="",Q1215=""),"",P1215*Q1215)</f>
        <v/>
      </c>
      <c r="S1215" s="5" t="str">
        <f aca="false">IF(R1215="","",MAX(0,R1215-G1215))</f>
        <v/>
      </c>
      <c r="T1215" s="21" t="str">
        <f aca="false">IF(S1215="","",S1215*K1215)</f>
        <v/>
      </c>
      <c r="U1215" s="5" t="str">
        <f aca="false">IF(A1215="","",IF(J1215&gt;Parâmetros!$C$14,"SIM","NAO"))</f>
        <v/>
      </c>
      <c r="V1215" s="5" t="str">
        <f aca="false">IF(B1215="","",TRIM(LEFT(B1215,IFERROR(FIND(" ",B1215)-1,LEN(B1215)))))</f>
        <v/>
      </c>
      <c r="W1215" s="22"/>
      <c r="X1215" s="5" t="str">
        <f aca="false">IF(A1215="","",IF(W1215&lt;&gt;"",W1215,V1215))</f>
        <v/>
      </c>
      <c r="Y1215" s="5" t="str">
        <f aca="false">IF(A1215="","",IF(COUNTIFS($X$2:$X$2001,X1215,$D$2:$D$2001,"&lt;&gt;"&amp;D1215,$C$2:$C$2001,C1215)&gt;0,"SIM","NAO"))</f>
        <v/>
      </c>
      <c r="Z1215" s="5" t="str">
        <f aca="false">IF(A1215="","",IF(J1215="","",IFERROR(360/J1215,"")))</f>
        <v/>
      </c>
      <c r="AA1215" s="5" t="str">
        <f aca="false">IF(A1215="","",IF(H1215=0,"Parado (sem venda 90d)",IF(Z1215&gt;12,"Alto (&gt;12x/ano)",IF(Z1215&gt;=4,"Medio (4-12x/ano)","Baixo (&lt;4x/ano)"))))</f>
        <v/>
      </c>
    </row>
    <row r="1216" customFormat="false" ht="15" hidden="false" customHeight="true" outlineLevel="0" collapsed="false">
      <c r="A1216" s="6"/>
      <c r="B1216" s="6"/>
      <c r="C1216" s="6"/>
      <c r="D1216" s="6"/>
      <c r="E1216" s="6"/>
      <c r="F1216" s="6"/>
      <c r="G1216" s="6"/>
      <c r="H1216" s="6"/>
      <c r="I1216" s="6"/>
      <c r="J1216" s="6"/>
      <c r="K1216" s="18"/>
      <c r="L1216" s="19" t="str">
        <f aca="false">IF(A1216="","",G1216*K1216)</f>
        <v/>
      </c>
      <c r="M1216" s="20"/>
      <c r="N1216" s="6"/>
      <c r="O1216" s="6"/>
      <c r="P1216" s="5" t="str">
        <f aca="false">IF(A1216="","",H1216/90)</f>
        <v/>
      </c>
      <c r="Q1216" s="5" t="str">
        <f aca="false">IF(A1216="","",IFERROR(INDEX(Parâmetros!$C$6:$C$10,MATCH(F1216,Parâmetros!$B$6:$B$10,0)),""))</f>
        <v/>
      </c>
      <c r="R1216" s="5" t="str">
        <f aca="false">IF(OR(A1216="",P1216="",Q1216=""),"",P1216*Q1216)</f>
        <v/>
      </c>
      <c r="S1216" s="5" t="str">
        <f aca="false">IF(R1216="","",MAX(0,R1216-G1216))</f>
        <v/>
      </c>
      <c r="T1216" s="21" t="str">
        <f aca="false">IF(S1216="","",S1216*K1216)</f>
        <v/>
      </c>
      <c r="U1216" s="5" t="str">
        <f aca="false">IF(A1216="","",IF(J1216&gt;Parâmetros!$C$14,"SIM","NAO"))</f>
        <v/>
      </c>
      <c r="V1216" s="5" t="str">
        <f aca="false">IF(B1216="","",TRIM(LEFT(B1216,IFERROR(FIND(" ",B1216)-1,LEN(B1216)))))</f>
        <v/>
      </c>
      <c r="W1216" s="22"/>
      <c r="X1216" s="5" t="str">
        <f aca="false">IF(A1216="","",IF(W1216&lt;&gt;"",W1216,V1216))</f>
        <v/>
      </c>
      <c r="Y1216" s="5" t="str">
        <f aca="false">IF(A1216="","",IF(COUNTIFS($X$2:$X$2001,X1216,$D$2:$D$2001,"&lt;&gt;"&amp;D1216,$C$2:$C$2001,C1216)&gt;0,"SIM","NAO"))</f>
        <v/>
      </c>
      <c r="Z1216" s="5" t="str">
        <f aca="false">IF(A1216="","",IF(J1216="","",IFERROR(360/J1216,"")))</f>
        <v/>
      </c>
      <c r="AA1216" s="5" t="str">
        <f aca="false">IF(A1216="","",IF(H1216=0,"Parado (sem venda 90d)",IF(Z1216&gt;12,"Alto (&gt;12x/ano)",IF(Z1216&gt;=4,"Medio (4-12x/ano)","Baixo (&lt;4x/ano)"))))</f>
        <v/>
      </c>
    </row>
    <row r="1217" customFormat="false" ht="15" hidden="false" customHeight="true" outlineLevel="0" collapsed="false">
      <c r="A1217" s="6"/>
      <c r="B1217" s="6"/>
      <c r="C1217" s="6"/>
      <c r="D1217" s="6"/>
      <c r="E1217" s="6"/>
      <c r="F1217" s="6"/>
      <c r="G1217" s="6"/>
      <c r="H1217" s="6"/>
      <c r="I1217" s="6"/>
      <c r="J1217" s="6"/>
      <c r="K1217" s="18"/>
      <c r="L1217" s="19" t="str">
        <f aca="false">IF(A1217="","",G1217*K1217)</f>
        <v/>
      </c>
      <c r="M1217" s="20"/>
      <c r="N1217" s="6"/>
      <c r="O1217" s="6"/>
      <c r="P1217" s="5" t="str">
        <f aca="false">IF(A1217="","",H1217/90)</f>
        <v/>
      </c>
      <c r="Q1217" s="5" t="str">
        <f aca="false">IF(A1217="","",IFERROR(INDEX(Parâmetros!$C$6:$C$10,MATCH(F1217,Parâmetros!$B$6:$B$10,0)),""))</f>
        <v/>
      </c>
      <c r="R1217" s="5" t="str">
        <f aca="false">IF(OR(A1217="",P1217="",Q1217=""),"",P1217*Q1217)</f>
        <v/>
      </c>
      <c r="S1217" s="5" t="str">
        <f aca="false">IF(R1217="","",MAX(0,R1217-G1217))</f>
        <v/>
      </c>
      <c r="T1217" s="21" t="str">
        <f aca="false">IF(S1217="","",S1217*K1217)</f>
        <v/>
      </c>
      <c r="U1217" s="5" t="str">
        <f aca="false">IF(A1217="","",IF(J1217&gt;Parâmetros!$C$14,"SIM","NAO"))</f>
        <v/>
      </c>
      <c r="V1217" s="5" t="str">
        <f aca="false">IF(B1217="","",TRIM(LEFT(B1217,IFERROR(FIND(" ",B1217)-1,LEN(B1217)))))</f>
        <v/>
      </c>
      <c r="W1217" s="22"/>
      <c r="X1217" s="5" t="str">
        <f aca="false">IF(A1217="","",IF(W1217&lt;&gt;"",W1217,V1217))</f>
        <v/>
      </c>
      <c r="Y1217" s="5" t="str">
        <f aca="false">IF(A1217="","",IF(COUNTIFS($X$2:$X$2001,X1217,$D$2:$D$2001,"&lt;&gt;"&amp;D1217,$C$2:$C$2001,C1217)&gt;0,"SIM","NAO"))</f>
        <v/>
      </c>
      <c r="Z1217" s="5" t="str">
        <f aca="false">IF(A1217="","",IF(J1217="","",IFERROR(360/J1217,"")))</f>
        <v/>
      </c>
      <c r="AA1217" s="5" t="str">
        <f aca="false">IF(A1217="","",IF(H1217=0,"Parado (sem venda 90d)",IF(Z1217&gt;12,"Alto (&gt;12x/ano)",IF(Z1217&gt;=4,"Medio (4-12x/ano)","Baixo (&lt;4x/ano)"))))</f>
        <v/>
      </c>
    </row>
    <row r="1218" customFormat="false" ht="15" hidden="false" customHeight="true" outlineLevel="0" collapsed="false">
      <c r="A1218" s="6"/>
      <c r="B1218" s="6"/>
      <c r="C1218" s="6"/>
      <c r="D1218" s="6"/>
      <c r="E1218" s="6"/>
      <c r="F1218" s="6"/>
      <c r="G1218" s="6"/>
      <c r="H1218" s="6"/>
      <c r="I1218" s="6"/>
      <c r="J1218" s="6"/>
      <c r="K1218" s="18"/>
      <c r="L1218" s="19" t="str">
        <f aca="false">IF(A1218="","",G1218*K1218)</f>
        <v/>
      </c>
      <c r="M1218" s="20"/>
      <c r="N1218" s="6"/>
      <c r="O1218" s="6"/>
      <c r="P1218" s="5" t="str">
        <f aca="false">IF(A1218="","",H1218/90)</f>
        <v/>
      </c>
      <c r="Q1218" s="5" t="str">
        <f aca="false">IF(A1218="","",IFERROR(INDEX(Parâmetros!$C$6:$C$10,MATCH(F1218,Parâmetros!$B$6:$B$10,0)),""))</f>
        <v/>
      </c>
      <c r="R1218" s="5" t="str">
        <f aca="false">IF(OR(A1218="",P1218="",Q1218=""),"",P1218*Q1218)</f>
        <v/>
      </c>
      <c r="S1218" s="5" t="str">
        <f aca="false">IF(R1218="","",MAX(0,R1218-G1218))</f>
        <v/>
      </c>
      <c r="T1218" s="21" t="str">
        <f aca="false">IF(S1218="","",S1218*K1218)</f>
        <v/>
      </c>
      <c r="U1218" s="5" t="str">
        <f aca="false">IF(A1218="","",IF(J1218&gt;Parâmetros!$C$14,"SIM","NAO"))</f>
        <v/>
      </c>
      <c r="V1218" s="5" t="str">
        <f aca="false">IF(B1218="","",TRIM(LEFT(B1218,IFERROR(FIND(" ",B1218)-1,LEN(B1218)))))</f>
        <v/>
      </c>
      <c r="W1218" s="22"/>
      <c r="X1218" s="5" t="str">
        <f aca="false">IF(A1218="","",IF(W1218&lt;&gt;"",W1218,V1218))</f>
        <v/>
      </c>
      <c r="Y1218" s="5" t="str">
        <f aca="false">IF(A1218="","",IF(COUNTIFS($X$2:$X$2001,X1218,$D$2:$D$2001,"&lt;&gt;"&amp;D1218,$C$2:$C$2001,C1218)&gt;0,"SIM","NAO"))</f>
        <v/>
      </c>
      <c r="Z1218" s="5" t="str">
        <f aca="false">IF(A1218="","",IF(J1218="","",IFERROR(360/J1218,"")))</f>
        <v/>
      </c>
      <c r="AA1218" s="5" t="str">
        <f aca="false">IF(A1218="","",IF(H1218=0,"Parado (sem venda 90d)",IF(Z1218&gt;12,"Alto (&gt;12x/ano)",IF(Z1218&gt;=4,"Medio (4-12x/ano)","Baixo (&lt;4x/ano)"))))</f>
        <v/>
      </c>
    </row>
    <row r="1219" customFormat="false" ht="15" hidden="false" customHeight="true" outlineLevel="0" collapsed="false">
      <c r="A1219" s="6"/>
      <c r="B1219" s="6"/>
      <c r="C1219" s="6"/>
      <c r="D1219" s="6"/>
      <c r="E1219" s="6"/>
      <c r="F1219" s="6"/>
      <c r="G1219" s="6"/>
      <c r="H1219" s="6"/>
      <c r="I1219" s="6"/>
      <c r="J1219" s="6"/>
      <c r="K1219" s="18"/>
      <c r="L1219" s="19" t="str">
        <f aca="false">IF(A1219="","",G1219*K1219)</f>
        <v/>
      </c>
      <c r="M1219" s="20"/>
      <c r="N1219" s="6"/>
      <c r="O1219" s="6"/>
      <c r="P1219" s="5" t="str">
        <f aca="false">IF(A1219="","",H1219/90)</f>
        <v/>
      </c>
      <c r="Q1219" s="5" t="str">
        <f aca="false">IF(A1219="","",IFERROR(INDEX(Parâmetros!$C$6:$C$10,MATCH(F1219,Parâmetros!$B$6:$B$10,0)),""))</f>
        <v/>
      </c>
      <c r="R1219" s="5" t="str">
        <f aca="false">IF(OR(A1219="",P1219="",Q1219=""),"",P1219*Q1219)</f>
        <v/>
      </c>
      <c r="S1219" s="5" t="str">
        <f aca="false">IF(R1219="","",MAX(0,R1219-G1219))</f>
        <v/>
      </c>
      <c r="T1219" s="21" t="str">
        <f aca="false">IF(S1219="","",S1219*K1219)</f>
        <v/>
      </c>
      <c r="U1219" s="5" t="str">
        <f aca="false">IF(A1219="","",IF(J1219&gt;Parâmetros!$C$14,"SIM","NAO"))</f>
        <v/>
      </c>
      <c r="V1219" s="5" t="str">
        <f aca="false">IF(B1219="","",TRIM(LEFT(B1219,IFERROR(FIND(" ",B1219)-1,LEN(B1219)))))</f>
        <v/>
      </c>
      <c r="W1219" s="22"/>
      <c r="X1219" s="5" t="str">
        <f aca="false">IF(A1219="","",IF(W1219&lt;&gt;"",W1219,V1219))</f>
        <v/>
      </c>
      <c r="Y1219" s="5" t="str">
        <f aca="false">IF(A1219="","",IF(COUNTIFS($X$2:$X$2001,X1219,$D$2:$D$2001,"&lt;&gt;"&amp;D1219,$C$2:$C$2001,C1219)&gt;0,"SIM","NAO"))</f>
        <v/>
      </c>
      <c r="Z1219" s="5" t="str">
        <f aca="false">IF(A1219="","",IF(J1219="","",IFERROR(360/J1219,"")))</f>
        <v/>
      </c>
      <c r="AA1219" s="5" t="str">
        <f aca="false">IF(A1219="","",IF(H1219=0,"Parado (sem venda 90d)",IF(Z1219&gt;12,"Alto (&gt;12x/ano)",IF(Z1219&gt;=4,"Medio (4-12x/ano)","Baixo (&lt;4x/ano)"))))</f>
        <v/>
      </c>
    </row>
    <row r="1220" customFormat="false" ht="15" hidden="false" customHeight="true" outlineLevel="0" collapsed="false">
      <c r="A1220" s="6"/>
      <c r="B1220" s="6"/>
      <c r="C1220" s="6"/>
      <c r="D1220" s="6"/>
      <c r="E1220" s="6"/>
      <c r="F1220" s="6"/>
      <c r="G1220" s="6"/>
      <c r="H1220" s="6"/>
      <c r="I1220" s="6"/>
      <c r="J1220" s="6"/>
      <c r="K1220" s="18"/>
      <c r="L1220" s="19" t="str">
        <f aca="false">IF(A1220="","",G1220*K1220)</f>
        <v/>
      </c>
      <c r="M1220" s="20"/>
      <c r="N1220" s="6"/>
      <c r="O1220" s="6"/>
      <c r="P1220" s="5" t="str">
        <f aca="false">IF(A1220="","",H1220/90)</f>
        <v/>
      </c>
      <c r="Q1220" s="5" t="str">
        <f aca="false">IF(A1220="","",IFERROR(INDEX(Parâmetros!$C$6:$C$10,MATCH(F1220,Parâmetros!$B$6:$B$10,0)),""))</f>
        <v/>
      </c>
      <c r="R1220" s="5" t="str">
        <f aca="false">IF(OR(A1220="",P1220="",Q1220=""),"",P1220*Q1220)</f>
        <v/>
      </c>
      <c r="S1220" s="5" t="str">
        <f aca="false">IF(R1220="","",MAX(0,R1220-G1220))</f>
        <v/>
      </c>
      <c r="T1220" s="21" t="str">
        <f aca="false">IF(S1220="","",S1220*K1220)</f>
        <v/>
      </c>
      <c r="U1220" s="5" t="str">
        <f aca="false">IF(A1220="","",IF(J1220&gt;Parâmetros!$C$14,"SIM","NAO"))</f>
        <v/>
      </c>
      <c r="V1220" s="5" t="str">
        <f aca="false">IF(B1220="","",TRIM(LEFT(B1220,IFERROR(FIND(" ",B1220)-1,LEN(B1220)))))</f>
        <v/>
      </c>
      <c r="W1220" s="22"/>
      <c r="X1220" s="5" t="str">
        <f aca="false">IF(A1220="","",IF(W1220&lt;&gt;"",W1220,V1220))</f>
        <v/>
      </c>
      <c r="Y1220" s="5" t="str">
        <f aca="false">IF(A1220="","",IF(COUNTIFS($X$2:$X$2001,X1220,$D$2:$D$2001,"&lt;&gt;"&amp;D1220,$C$2:$C$2001,C1220)&gt;0,"SIM","NAO"))</f>
        <v/>
      </c>
      <c r="Z1220" s="5" t="str">
        <f aca="false">IF(A1220="","",IF(J1220="","",IFERROR(360/J1220,"")))</f>
        <v/>
      </c>
      <c r="AA1220" s="5" t="str">
        <f aca="false">IF(A1220="","",IF(H1220=0,"Parado (sem venda 90d)",IF(Z1220&gt;12,"Alto (&gt;12x/ano)",IF(Z1220&gt;=4,"Medio (4-12x/ano)","Baixo (&lt;4x/ano)"))))</f>
        <v/>
      </c>
    </row>
    <row r="1221" customFormat="false" ht="15" hidden="false" customHeight="true" outlineLevel="0" collapsed="false">
      <c r="A1221" s="6"/>
      <c r="B1221" s="6"/>
      <c r="C1221" s="6"/>
      <c r="D1221" s="6"/>
      <c r="E1221" s="6"/>
      <c r="F1221" s="6"/>
      <c r="G1221" s="6"/>
      <c r="H1221" s="6"/>
      <c r="I1221" s="6"/>
      <c r="J1221" s="6"/>
      <c r="K1221" s="18"/>
      <c r="L1221" s="19" t="str">
        <f aca="false">IF(A1221="","",G1221*K1221)</f>
        <v/>
      </c>
      <c r="M1221" s="20"/>
      <c r="N1221" s="6"/>
      <c r="O1221" s="6"/>
      <c r="P1221" s="5" t="str">
        <f aca="false">IF(A1221="","",H1221/90)</f>
        <v/>
      </c>
      <c r="Q1221" s="5" t="str">
        <f aca="false">IF(A1221="","",IFERROR(INDEX(Parâmetros!$C$6:$C$10,MATCH(F1221,Parâmetros!$B$6:$B$10,0)),""))</f>
        <v/>
      </c>
      <c r="R1221" s="5" t="str">
        <f aca="false">IF(OR(A1221="",P1221="",Q1221=""),"",P1221*Q1221)</f>
        <v/>
      </c>
      <c r="S1221" s="5" t="str">
        <f aca="false">IF(R1221="","",MAX(0,R1221-G1221))</f>
        <v/>
      </c>
      <c r="T1221" s="21" t="str">
        <f aca="false">IF(S1221="","",S1221*K1221)</f>
        <v/>
      </c>
      <c r="U1221" s="5" t="str">
        <f aca="false">IF(A1221="","",IF(J1221&gt;Parâmetros!$C$14,"SIM","NAO"))</f>
        <v/>
      </c>
      <c r="V1221" s="5" t="str">
        <f aca="false">IF(B1221="","",TRIM(LEFT(B1221,IFERROR(FIND(" ",B1221)-1,LEN(B1221)))))</f>
        <v/>
      </c>
      <c r="W1221" s="22"/>
      <c r="X1221" s="5" t="str">
        <f aca="false">IF(A1221="","",IF(W1221&lt;&gt;"",W1221,V1221))</f>
        <v/>
      </c>
      <c r="Y1221" s="5" t="str">
        <f aca="false">IF(A1221="","",IF(COUNTIFS($X$2:$X$2001,X1221,$D$2:$D$2001,"&lt;&gt;"&amp;D1221,$C$2:$C$2001,C1221)&gt;0,"SIM","NAO"))</f>
        <v/>
      </c>
      <c r="Z1221" s="5" t="str">
        <f aca="false">IF(A1221="","",IF(J1221="","",IFERROR(360/J1221,"")))</f>
        <v/>
      </c>
      <c r="AA1221" s="5" t="str">
        <f aca="false">IF(A1221="","",IF(H1221=0,"Parado (sem venda 90d)",IF(Z1221&gt;12,"Alto (&gt;12x/ano)",IF(Z1221&gt;=4,"Medio (4-12x/ano)","Baixo (&lt;4x/ano)"))))</f>
        <v/>
      </c>
    </row>
    <row r="1222" customFormat="false" ht="15" hidden="false" customHeight="true" outlineLevel="0" collapsed="false">
      <c r="A1222" s="6"/>
      <c r="B1222" s="6"/>
      <c r="C1222" s="6"/>
      <c r="D1222" s="6"/>
      <c r="E1222" s="6"/>
      <c r="F1222" s="6"/>
      <c r="G1222" s="6"/>
      <c r="H1222" s="6"/>
      <c r="I1222" s="6"/>
      <c r="J1222" s="6"/>
      <c r="K1222" s="18"/>
      <c r="L1222" s="19" t="str">
        <f aca="false">IF(A1222="","",G1222*K1222)</f>
        <v/>
      </c>
      <c r="M1222" s="20"/>
      <c r="N1222" s="6"/>
      <c r="O1222" s="6"/>
      <c r="P1222" s="5" t="str">
        <f aca="false">IF(A1222="","",H1222/90)</f>
        <v/>
      </c>
      <c r="Q1222" s="5" t="str">
        <f aca="false">IF(A1222="","",IFERROR(INDEX(Parâmetros!$C$6:$C$10,MATCH(F1222,Parâmetros!$B$6:$B$10,0)),""))</f>
        <v/>
      </c>
      <c r="R1222" s="5" t="str">
        <f aca="false">IF(OR(A1222="",P1222="",Q1222=""),"",P1222*Q1222)</f>
        <v/>
      </c>
      <c r="S1222" s="5" t="str">
        <f aca="false">IF(R1222="","",MAX(0,R1222-G1222))</f>
        <v/>
      </c>
      <c r="T1222" s="21" t="str">
        <f aca="false">IF(S1222="","",S1222*K1222)</f>
        <v/>
      </c>
      <c r="U1222" s="5" t="str">
        <f aca="false">IF(A1222="","",IF(J1222&gt;Parâmetros!$C$14,"SIM","NAO"))</f>
        <v/>
      </c>
      <c r="V1222" s="5" t="str">
        <f aca="false">IF(B1222="","",TRIM(LEFT(B1222,IFERROR(FIND(" ",B1222)-1,LEN(B1222)))))</f>
        <v/>
      </c>
      <c r="W1222" s="22"/>
      <c r="X1222" s="5" t="str">
        <f aca="false">IF(A1222="","",IF(W1222&lt;&gt;"",W1222,V1222))</f>
        <v/>
      </c>
      <c r="Y1222" s="5" t="str">
        <f aca="false">IF(A1222="","",IF(COUNTIFS($X$2:$X$2001,X1222,$D$2:$D$2001,"&lt;&gt;"&amp;D1222,$C$2:$C$2001,C1222)&gt;0,"SIM","NAO"))</f>
        <v/>
      </c>
      <c r="Z1222" s="5" t="str">
        <f aca="false">IF(A1222="","",IF(J1222="","",IFERROR(360/J1222,"")))</f>
        <v/>
      </c>
      <c r="AA1222" s="5" t="str">
        <f aca="false">IF(A1222="","",IF(H1222=0,"Parado (sem venda 90d)",IF(Z1222&gt;12,"Alto (&gt;12x/ano)",IF(Z1222&gt;=4,"Medio (4-12x/ano)","Baixo (&lt;4x/ano)"))))</f>
        <v/>
      </c>
    </row>
    <row r="1223" customFormat="false" ht="15" hidden="false" customHeight="true" outlineLevel="0" collapsed="false">
      <c r="A1223" s="6"/>
      <c r="B1223" s="6"/>
      <c r="C1223" s="6"/>
      <c r="D1223" s="6"/>
      <c r="E1223" s="6"/>
      <c r="F1223" s="6"/>
      <c r="G1223" s="6"/>
      <c r="H1223" s="6"/>
      <c r="I1223" s="6"/>
      <c r="J1223" s="6"/>
      <c r="K1223" s="18"/>
      <c r="L1223" s="19" t="str">
        <f aca="false">IF(A1223="","",G1223*K1223)</f>
        <v/>
      </c>
      <c r="M1223" s="20"/>
      <c r="N1223" s="6"/>
      <c r="O1223" s="6"/>
      <c r="P1223" s="5" t="str">
        <f aca="false">IF(A1223="","",H1223/90)</f>
        <v/>
      </c>
      <c r="Q1223" s="5" t="str">
        <f aca="false">IF(A1223="","",IFERROR(INDEX(Parâmetros!$C$6:$C$10,MATCH(F1223,Parâmetros!$B$6:$B$10,0)),""))</f>
        <v/>
      </c>
      <c r="R1223" s="5" t="str">
        <f aca="false">IF(OR(A1223="",P1223="",Q1223=""),"",P1223*Q1223)</f>
        <v/>
      </c>
      <c r="S1223" s="5" t="str">
        <f aca="false">IF(R1223="","",MAX(0,R1223-G1223))</f>
        <v/>
      </c>
      <c r="T1223" s="21" t="str">
        <f aca="false">IF(S1223="","",S1223*K1223)</f>
        <v/>
      </c>
      <c r="U1223" s="5" t="str">
        <f aca="false">IF(A1223="","",IF(J1223&gt;Parâmetros!$C$14,"SIM","NAO"))</f>
        <v/>
      </c>
      <c r="V1223" s="5" t="str">
        <f aca="false">IF(B1223="","",TRIM(LEFT(B1223,IFERROR(FIND(" ",B1223)-1,LEN(B1223)))))</f>
        <v/>
      </c>
      <c r="W1223" s="22"/>
      <c r="X1223" s="5" t="str">
        <f aca="false">IF(A1223="","",IF(W1223&lt;&gt;"",W1223,V1223))</f>
        <v/>
      </c>
      <c r="Y1223" s="5" t="str">
        <f aca="false">IF(A1223="","",IF(COUNTIFS($X$2:$X$2001,X1223,$D$2:$D$2001,"&lt;&gt;"&amp;D1223,$C$2:$C$2001,C1223)&gt;0,"SIM","NAO"))</f>
        <v/>
      </c>
      <c r="Z1223" s="5" t="str">
        <f aca="false">IF(A1223="","",IF(J1223="","",IFERROR(360/J1223,"")))</f>
        <v/>
      </c>
      <c r="AA1223" s="5" t="str">
        <f aca="false">IF(A1223="","",IF(H1223=0,"Parado (sem venda 90d)",IF(Z1223&gt;12,"Alto (&gt;12x/ano)",IF(Z1223&gt;=4,"Medio (4-12x/ano)","Baixo (&lt;4x/ano)"))))</f>
        <v/>
      </c>
    </row>
    <row r="1224" customFormat="false" ht="15" hidden="false" customHeight="true" outlineLevel="0" collapsed="false">
      <c r="A1224" s="6"/>
      <c r="B1224" s="6"/>
      <c r="C1224" s="6"/>
      <c r="D1224" s="6"/>
      <c r="E1224" s="6"/>
      <c r="F1224" s="6"/>
      <c r="G1224" s="6"/>
      <c r="H1224" s="6"/>
      <c r="I1224" s="6"/>
      <c r="J1224" s="6"/>
      <c r="K1224" s="18"/>
      <c r="L1224" s="19" t="str">
        <f aca="false">IF(A1224="","",G1224*K1224)</f>
        <v/>
      </c>
      <c r="M1224" s="20"/>
      <c r="N1224" s="6"/>
      <c r="O1224" s="6"/>
      <c r="P1224" s="5" t="str">
        <f aca="false">IF(A1224="","",H1224/90)</f>
        <v/>
      </c>
      <c r="Q1224" s="5" t="str">
        <f aca="false">IF(A1224="","",IFERROR(INDEX(Parâmetros!$C$6:$C$10,MATCH(F1224,Parâmetros!$B$6:$B$10,0)),""))</f>
        <v/>
      </c>
      <c r="R1224" s="5" t="str">
        <f aca="false">IF(OR(A1224="",P1224="",Q1224=""),"",P1224*Q1224)</f>
        <v/>
      </c>
      <c r="S1224" s="5" t="str">
        <f aca="false">IF(R1224="","",MAX(0,R1224-G1224))</f>
        <v/>
      </c>
      <c r="T1224" s="21" t="str">
        <f aca="false">IF(S1224="","",S1224*K1224)</f>
        <v/>
      </c>
      <c r="U1224" s="5" t="str">
        <f aca="false">IF(A1224="","",IF(J1224&gt;Parâmetros!$C$14,"SIM","NAO"))</f>
        <v/>
      </c>
      <c r="V1224" s="5" t="str">
        <f aca="false">IF(B1224="","",TRIM(LEFT(B1224,IFERROR(FIND(" ",B1224)-1,LEN(B1224)))))</f>
        <v/>
      </c>
      <c r="W1224" s="22"/>
      <c r="X1224" s="5" t="str">
        <f aca="false">IF(A1224="","",IF(W1224&lt;&gt;"",W1224,V1224))</f>
        <v/>
      </c>
      <c r="Y1224" s="5" t="str">
        <f aca="false">IF(A1224="","",IF(COUNTIFS($X$2:$X$2001,X1224,$D$2:$D$2001,"&lt;&gt;"&amp;D1224,$C$2:$C$2001,C1224)&gt;0,"SIM","NAO"))</f>
        <v/>
      </c>
      <c r="Z1224" s="5" t="str">
        <f aca="false">IF(A1224="","",IF(J1224="","",IFERROR(360/J1224,"")))</f>
        <v/>
      </c>
      <c r="AA1224" s="5" t="str">
        <f aca="false">IF(A1224="","",IF(H1224=0,"Parado (sem venda 90d)",IF(Z1224&gt;12,"Alto (&gt;12x/ano)",IF(Z1224&gt;=4,"Medio (4-12x/ano)","Baixo (&lt;4x/ano)"))))</f>
        <v/>
      </c>
    </row>
    <row r="1225" customFormat="false" ht="15" hidden="false" customHeight="true" outlineLevel="0" collapsed="false">
      <c r="A1225" s="6"/>
      <c r="B1225" s="6"/>
      <c r="C1225" s="6"/>
      <c r="D1225" s="6"/>
      <c r="E1225" s="6"/>
      <c r="F1225" s="6"/>
      <c r="G1225" s="6"/>
      <c r="H1225" s="6"/>
      <c r="I1225" s="6"/>
      <c r="J1225" s="6"/>
      <c r="K1225" s="18"/>
      <c r="L1225" s="19" t="str">
        <f aca="false">IF(A1225="","",G1225*K1225)</f>
        <v/>
      </c>
      <c r="M1225" s="20"/>
      <c r="N1225" s="6"/>
      <c r="O1225" s="6"/>
      <c r="P1225" s="5" t="str">
        <f aca="false">IF(A1225="","",H1225/90)</f>
        <v/>
      </c>
      <c r="Q1225" s="5" t="str">
        <f aca="false">IF(A1225="","",IFERROR(INDEX(Parâmetros!$C$6:$C$10,MATCH(F1225,Parâmetros!$B$6:$B$10,0)),""))</f>
        <v/>
      </c>
      <c r="R1225" s="5" t="str">
        <f aca="false">IF(OR(A1225="",P1225="",Q1225=""),"",P1225*Q1225)</f>
        <v/>
      </c>
      <c r="S1225" s="5" t="str">
        <f aca="false">IF(R1225="","",MAX(0,R1225-G1225))</f>
        <v/>
      </c>
      <c r="T1225" s="21" t="str">
        <f aca="false">IF(S1225="","",S1225*K1225)</f>
        <v/>
      </c>
      <c r="U1225" s="5" t="str">
        <f aca="false">IF(A1225="","",IF(J1225&gt;Parâmetros!$C$14,"SIM","NAO"))</f>
        <v/>
      </c>
      <c r="V1225" s="5" t="str">
        <f aca="false">IF(B1225="","",TRIM(LEFT(B1225,IFERROR(FIND(" ",B1225)-1,LEN(B1225)))))</f>
        <v/>
      </c>
      <c r="W1225" s="22"/>
      <c r="X1225" s="5" t="str">
        <f aca="false">IF(A1225="","",IF(W1225&lt;&gt;"",W1225,V1225))</f>
        <v/>
      </c>
      <c r="Y1225" s="5" t="str">
        <f aca="false">IF(A1225="","",IF(COUNTIFS($X$2:$X$2001,X1225,$D$2:$D$2001,"&lt;&gt;"&amp;D1225,$C$2:$C$2001,C1225)&gt;0,"SIM","NAO"))</f>
        <v/>
      </c>
      <c r="Z1225" s="5" t="str">
        <f aca="false">IF(A1225="","",IF(J1225="","",IFERROR(360/J1225,"")))</f>
        <v/>
      </c>
      <c r="AA1225" s="5" t="str">
        <f aca="false">IF(A1225="","",IF(H1225=0,"Parado (sem venda 90d)",IF(Z1225&gt;12,"Alto (&gt;12x/ano)",IF(Z1225&gt;=4,"Medio (4-12x/ano)","Baixo (&lt;4x/ano)"))))</f>
        <v/>
      </c>
    </row>
    <row r="1226" customFormat="false" ht="15" hidden="false" customHeight="true" outlineLevel="0" collapsed="false">
      <c r="A1226" s="6"/>
      <c r="B1226" s="6"/>
      <c r="C1226" s="6"/>
      <c r="D1226" s="6"/>
      <c r="E1226" s="6"/>
      <c r="F1226" s="6"/>
      <c r="G1226" s="6"/>
      <c r="H1226" s="6"/>
      <c r="I1226" s="6"/>
      <c r="J1226" s="6"/>
      <c r="K1226" s="18"/>
      <c r="L1226" s="19" t="str">
        <f aca="false">IF(A1226="","",G1226*K1226)</f>
        <v/>
      </c>
      <c r="M1226" s="20"/>
      <c r="N1226" s="6"/>
      <c r="O1226" s="6"/>
      <c r="P1226" s="5" t="str">
        <f aca="false">IF(A1226="","",H1226/90)</f>
        <v/>
      </c>
      <c r="Q1226" s="5" t="str">
        <f aca="false">IF(A1226="","",IFERROR(INDEX(Parâmetros!$C$6:$C$10,MATCH(F1226,Parâmetros!$B$6:$B$10,0)),""))</f>
        <v/>
      </c>
      <c r="R1226" s="5" t="str">
        <f aca="false">IF(OR(A1226="",P1226="",Q1226=""),"",P1226*Q1226)</f>
        <v/>
      </c>
      <c r="S1226" s="5" t="str">
        <f aca="false">IF(R1226="","",MAX(0,R1226-G1226))</f>
        <v/>
      </c>
      <c r="T1226" s="21" t="str">
        <f aca="false">IF(S1226="","",S1226*K1226)</f>
        <v/>
      </c>
      <c r="U1226" s="5" t="str">
        <f aca="false">IF(A1226="","",IF(J1226&gt;Parâmetros!$C$14,"SIM","NAO"))</f>
        <v/>
      </c>
      <c r="V1226" s="5" t="str">
        <f aca="false">IF(B1226="","",TRIM(LEFT(B1226,IFERROR(FIND(" ",B1226)-1,LEN(B1226)))))</f>
        <v/>
      </c>
      <c r="W1226" s="22"/>
      <c r="X1226" s="5" t="str">
        <f aca="false">IF(A1226="","",IF(W1226&lt;&gt;"",W1226,V1226))</f>
        <v/>
      </c>
      <c r="Y1226" s="5" t="str">
        <f aca="false">IF(A1226="","",IF(COUNTIFS($X$2:$X$2001,X1226,$D$2:$D$2001,"&lt;&gt;"&amp;D1226,$C$2:$C$2001,C1226)&gt;0,"SIM","NAO"))</f>
        <v/>
      </c>
      <c r="Z1226" s="5" t="str">
        <f aca="false">IF(A1226="","",IF(J1226="","",IFERROR(360/J1226,"")))</f>
        <v/>
      </c>
      <c r="AA1226" s="5" t="str">
        <f aca="false">IF(A1226="","",IF(H1226=0,"Parado (sem venda 90d)",IF(Z1226&gt;12,"Alto (&gt;12x/ano)",IF(Z1226&gt;=4,"Medio (4-12x/ano)","Baixo (&lt;4x/ano)"))))</f>
        <v/>
      </c>
    </row>
    <row r="1227" customFormat="false" ht="15" hidden="false" customHeight="true" outlineLevel="0" collapsed="false">
      <c r="A1227" s="6"/>
      <c r="B1227" s="6"/>
      <c r="C1227" s="6"/>
      <c r="D1227" s="6"/>
      <c r="E1227" s="6"/>
      <c r="F1227" s="6"/>
      <c r="G1227" s="6"/>
      <c r="H1227" s="6"/>
      <c r="I1227" s="6"/>
      <c r="J1227" s="6"/>
      <c r="K1227" s="18"/>
      <c r="L1227" s="19" t="str">
        <f aca="false">IF(A1227="","",G1227*K1227)</f>
        <v/>
      </c>
      <c r="M1227" s="20"/>
      <c r="N1227" s="6"/>
      <c r="O1227" s="6"/>
      <c r="P1227" s="5" t="str">
        <f aca="false">IF(A1227="","",H1227/90)</f>
        <v/>
      </c>
      <c r="Q1227" s="5" t="str">
        <f aca="false">IF(A1227="","",IFERROR(INDEX(Parâmetros!$C$6:$C$10,MATCH(F1227,Parâmetros!$B$6:$B$10,0)),""))</f>
        <v/>
      </c>
      <c r="R1227" s="5" t="str">
        <f aca="false">IF(OR(A1227="",P1227="",Q1227=""),"",P1227*Q1227)</f>
        <v/>
      </c>
      <c r="S1227" s="5" t="str">
        <f aca="false">IF(R1227="","",MAX(0,R1227-G1227))</f>
        <v/>
      </c>
      <c r="T1227" s="21" t="str">
        <f aca="false">IF(S1227="","",S1227*K1227)</f>
        <v/>
      </c>
      <c r="U1227" s="5" t="str">
        <f aca="false">IF(A1227="","",IF(J1227&gt;Parâmetros!$C$14,"SIM","NAO"))</f>
        <v/>
      </c>
      <c r="V1227" s="5" t="str">
        <f aca="false">IF(B1227="","",TRIM(LEFT(B1227,IFERROR(FIND(" ",B1227)-1,LEN(B1227)))))</f>
        <v/>
      </c>
      <c r="W1227" s="22"/>
      <c r="X1227" s="5" t="str">
        <f aca="false">IF(A1227="","",IF(W1227&lt;&gt;"",W1227,V1227))</f>
        <v/>
      </c>
      <c r="Y1227" s="5" t="str">
        <f aca="false">IF(A1227="","",IF(COUNTIFS($X$2:$X$2001,X1227,$D$2:$D$2001,"&lt;&gt;"&amp;D1227,$C$2:$C$2001,C1227)&gt;0,"SIM","NAO"))</f>
        <v/>
      </c>
      <c r="Z1227" s="5" t="str">
        <f aca="false">IF(A1227="","",IF(J1227="","",IFERROR(360/J1227,"")))</f>
        <v/>
      </c>
      <c r="AA1227" s="5" t="str">
        <f aca="false">IF(A1227="","",IF(H1227=0,"Parado (sem venda 90d)",IF(Z1227&gt;12,"Alto (&gt;12x/ano)",IF(Z1227&gt;=4,"Medio (4-12x/ano)","Baixo (&lt;4x/ano)"))))</f>
        <v/>
      </c>
    </row>
    <row r="1228" customFormat="false" ht="15" hidden="false" customHeight="true" outlineLevel="0" collapsed="false">
      <c r="A1228" s="6"/>
      <c r="B1228" s="6"/>
      <c r="C1228" s="6"/>
      <c r="D1228" s="6"/>
      <c r="E1228" s="6"/>
      <c r="F1228" s="6"/>
      <c r="G1228" s="6"/>
      <c r="H1228" s="6"/>
      <c r="I1228" s="6"/>
      <c r="J1228" s="6"/>
      <c r="K1228" s="18"/>
      <c r="L1228" s="19" t="str">
        <f aca="false">IF(A1228="","",G1228*K1228)</f>
        <v/>
      </c>
      <c r="M1228" s="20"/>
      <c r="N1228" s="6"/>
      <c r="O1228" s="6"/>
      <c r="P1228" s="5" t="str">
        <f aca="false">IF(A1228="","",H1228/90)</f>
        <v/>
      </c>
      <c r="Q1228" s="5" t="str">
        <f aca="false">IF(A1228="","",IFERROR(INDEX(Parâmetros!$C$6:$C$10,MATCH(F1228,Parâmetros!$B$6:$B$10,0)),""))</f>
        <v/>
      </c>
      <c r="R1228" s="5" t="str">
        <f aca="false">IF(OR(A1228="",P1228="",Q1228=""),"",P1228*Q1228)</f>
        <v/>
      </c>
      <c r="S1228" s="5" t="str">
        <f aca="false">IF(R1228="","",MAX(0,R1228-G1228))</f>
        <v/>
      </c>
      <c r="T1228" s="21" t="str">
        <f aca="false">IF(S1228="","",S1228*K1228)</f>
        <v/>
      </c>
      <c r="U1228" s="5" t="str">
        <f aca="false">IF(A1228="","",IF(J1228&gt;Parâmetros!$C$14,"SIM","NAO"))</f>
        <v/>
      </c>
      <c r="V1228" s="5" t="str">
        <f aca="false">IF(B1228="","",TRIM(LEFT(B1228,IFERROR(FIND(" ",B1228)-1,LEN(B1228)))))</f>
        <v/>
      </c>
      <c r="W1228" s="22"/>
      <c r="X1228" s="5" t="str">
        <f aca="false">IF(A1228="","",IF(W1228&lt;&gt;"",W1228,V1228))</f>
        <v/>
      </c>
      <c r="Y1228" s="5" t="str">
        <f aca="false">IF(A1228="","",IF(COUNTIFS($X$2:$X$2001,X1228,$D$2:$D$2001,"&lt;&gt;"&amp;D1228,$C$2:$C$2001,C1228)&gt;0,"SIM","NAO"))</f>
        <v/>
      </c>
      <c r="Z1228" s="5" t="str">
        <f aca="false">IF(A1228="","",IF(J1228="","",IFERROR(360/J1228,"")))</f>
        <v/>
      </c>
      <c r="AA1228" s="5" t="str">
        <f aca="false">IF(A1228="","",IF(H1228=0,"Parado (sem venda 90d)",IF(Z1228&gt;12,"Alto (&gt;12x/ano)",IF(Z1228&gt;=4,"Medio (4-12x/ano)","Baixo (&lt;4x/ano)"))))</f>
        <v/>
      </c>
    </row>
    <row r="1229" customFormat="false" ht="15" hidden="false" customHeight="true" outlineLevel="0" collapsed="false">
      <c r="A1229" s="6"/>
      <c r="B1229" s="6"/>
      <c r="C1229" s="6"/>
      <c r="D1229" s="6"/>
      <c r="E1229" s="6"/>
      <c r="F1229" s="6"/>
      <c r="G1229" s="6"/>
      <c r="H1229" s="6"/>
      <c r="I1229" s="6"/>
      <c r="J1229" s="6"/>
      <c r="K1229" s="18"/>
      <c r="L1229" s="19" t="str">
        <f aca="false">IF(A1229="","",G1229*K1229)</f>
        <v/>
      </c>
      <c r="M1229" s="20"/>
      <c r="N1229" s="6"/>
      <c r="O1229" s="6"/>
      <c r="P1229" s="5" t="str">
        <f aca="false">IF(A1229="","",H1229/90)</f>
        <v/>
      </c>
      <c r="Q1229" s="5" t="str">
        <f aca="false">IF(A1229="","",IFERROR(INDEX(Parâmetros!$C$6:$C$10,MATCH(F1229,Parâmetros!$B$6:$B$10,0)),""))</f>
        <v/>
      </c>
      <c r="R1229" s="5" t="str">
        <f aca="false">IF(OR(A1229="",P1229="",Q1229=""),"",P1229*Q1229)</f>
        <v/>
      </c>
      <c r="S1229" s="5" t="str">
        <f aca="false">IF(R1229="","",MAX(0,R1229-G1229))</f>
        <v/>
      </c>
      <c r="T1229" s="21" t="str">
        <f aca="false">IF(S1229="","",S1229*K1229)</f>
        <v/>
      </c>
      <c r="U1229" s="5" t="str">
        <f aca="false">IF(A1229="","",IF(J1229&gt;Parâmetros!$C$14,"SIM","NAO"))</f>
        <v/>
      </c>
      <c r="V1229" s="5" t="str">
        <f aca="false">IF(B1229="","",TRIM(LEFT(B1229,IFERROR(FIND(" ",B1229)-1,LEN(B1229)))))</f>
        <v/>
      </c>
      <c r="W1229" s="22"/>
      <c r="X1229" s="5" t="str">
        <f aca="false">IF(A1229="","",IF(W1229&lt;&gt;"",W1229,V1229))</f>
        <v/>
      </c>
      <c r="Y1229" s="5" t="str">
        <f aca="false">IF(A1229="","",IF(COUNTIFS($X$2:$X$2001,X1229,$D$2:$D$2001,"&lt;&gt;"&amp;D1229,$C$2:$C$2001,C1229)&gt;0,"SIM","NAO"))</f>
        <v/>
      </c>
      <c r="Z1229" s="5" t="str">
        <f aca="false">IF(A1229="","",IF(J1229="","",IFERROR(360/J1229,"")))</f>
        <v/>
      </c>
      <c r="AA1229" s="5" t="str">
        <f aca="false">IF(A1229="","",IF(H1229=0,"Parado (sem venda 90d)",IF(Z1229&gt;12,"Alto (&gt;12x/ano)",IF(Z1229&gt;=4,"Medio (4-12x/ano)","Baixo (&lt;4x/ano)"))))</f>
        <v/>
      </c>
    </row>
    <row r="1230" customFormat="false" ht="15" hidden="false" customHeight="true" outlineLevel="0" collapsed="false">
      <c r="A1230" s="6"/>
      <c r="B1230" s="6"/>
      <c r="C1230" s="6"/>
      <c r="D1230" s="6"/>
      <c r="E1230" s="6"/>
      <c r="F1230" s="6"/>
      <c r="G1230" s="6"/>
      <c r="H1230" s="6"/>
      <c r="I1230" s="6"/>
      <c r="J1230" s="6"/>
      <c r="K1230" s="18"/>
      <c r="L1230" s="19" t="str">
        <f aca="false">IF(A1230="","",G1230*K1230)</f>
        <v/>
      </c>
      <c r="M1230" s="20"/>
      <c r="N1230" s="6"/>
      <c r="O1230" s="6"/>
      <c r="P1230" s="5" t="str">
        <f aca="false">IF(A1230="","",H1230/90)</f>
        <v/>
      </c>
      <c r="Q1230" s="5" t="str">
        <f aca="false">IF(A1230="","",IFERROR(INDEX(Parâmetros!$C$6:$C$10,MATCH(F1230,Parâmetros!$B$6:$B$10,0)),""))</f>
        <v/>
      </c>
      <c r="R1230" s="5" t="str">
        <f aca="false">IF(OR(A1230="",P1230="",Q1230=""),"",P1230*Q1230)</f>
        <v/>
      </c>
      <c r="S1230" s="5" t="str">
        <f aca="false">IF(R1230="","",MAX(0,R1230-G1230))</f>
        <v/>
      </c>
      <c r="T1230" s="21" t="str">
        <f aca="false">IF(S1230="","",S1230*K1230)</f>
        <v/>
      </c>
      <c r="U1230" s="5" t="str">
        <f aca="false">IF(A1230="","",IF(J1230&gt;Parâmetros!$C$14,"SIM","NAO"))</f>
        <v/>
      </c>
      <c r="V1230" s="5" t="str">
        <f aca="false">IF(B1230="","",TRIM(LEFT(B1230,IFERROR(FIND(" ",B1230)-1,LEN(B1230)))))</f>
        <v/>
      </c>
      <c r="W1230" s="22"/>
      <c r="X1230" s="5" t="str">
        <f aca="false">IF(A1230="","",IF(W1230&lt;&gt;"",W1230,V1230))</f>
        <v/>
      </c>
      <c r="Y1230" s="5" t="str">
        <f aca="false">IF(A1230="","",IF(COUNTIFS($X$2:$X$2001,X1230,$D$2:$D$2001,"&lt;&gt;"&amp;D1230,$C$2:$C$2001,C1230)&gt;0,"SIM","NAO"))</f>
        <v/>
      </c>
      <c r="Z1230" s="5" t="str">
        <f aca="false">IF(A1230="","",IF(J1230="","",IFERROR(360/J1230,"")))</f>
        <v/>
      </c>
      <c r="AA1230" s="5" t="str">
        <f aca="false">IF(A1230="","",IF(H1230=0,"Parado (sem venda 90d)",IF(Z1230&gt;12,"Alto (&gt;12x/ano)",IF(Z1230&gt;=4,"Medio (4-12x/ano)","Baixo (&lt;4x/ano)"))))</f>
        <v/>
      </c>
    </row>
    <row r="1231" customFormat="false" ht="15" hidden="false" customHeight="true" outlineLevel="0" collapsed="false">
      <c r="A1231" s="6"/>
      <c r="B1231" s="6"/>
      <c r="C1231" s="6"/>
      <c r="D1231" s="6"/>
      <c r="E1231" s="6"/>
      <c r="F1231" s="6"/>
      <c r="G1231" s="6"/>
      <c r="H1231" s="6"/>
      <c r="I1231" s="6"/>
      <c r="J1231" s="6"/>
      <c r="K1231" s="18"/>
      <c r="L1231" s="19" t="str">
        <f aca="false">IF(A1231="","",G1231*K1231)</f>
        <v/>
      </c>
      <c r="M1231" s="20"/>
      <c r="N1231" s="6"/>
      <c r="O1231" s="6"/>
      <c r="P1231" s="5" t="str">
        <f aca="false">IF(A1231="","",H1231/90)</f>
        <v/>
      </c>
      <c r="Q1231" s="5" t="str">
        <f aca="false">IF(A1231="","",IFERROR(INDEX(Parâmetros!$C$6:$C$10,MATCH(F1231,Parâmetros!$B$6:$B$10,0)),""))</f>
        <v/>
      </c>
      <c r="R1231" s="5" t="str">
        <f aca="false">IF(OR(A1231="",P1231="",Q1231=""),"",P1231*Q1231)</f>
        <v/>
      </c>
      <c r="S1231" s="5" t="str">
        <f aca="false">IF(R1231="","",MAX(0,R1231-G1231))</f>
        <v/>
      </c>
      <c r="T1231" s="21" t="str">
        <f aca="false">IF(S1231="","",S1231*K1231)</f>
        <v/>
      </c>
      <c r="U1231" s="5" t="str">
        <f aca="false">IF(A1231="","",IF(J1231&gt;Parâmetros!$C$14,"SIM","NAO"))</f>
        <v/>
      </c>
      <c r="V1231" s="5" t="str">
        <f aca="false">IF(B1231="","",TRIM(LEFT(B1231,IFERROR(FIND(" ",B1231)-1,LEN(B1231)))))</f>
        <v/>
      </c>
      <c r="W1231" s="22"/>
      <c r="X1231" s="5" t="str">
        <f aca="false">IF(A1231="","",IF(W1231&lt;&gt;"",W1231,V1231))</f>
        <v/>
      </c>
      <c r="Y1231" s="5" t="str">
        <f aca="false">IF(A1231="","",IF(COUNTIFS($X$2:$X$2001,X1231,$D$2:$D$2001,"&lt;&gt;"&amp;D1231,$C$2:$C$2001,C1231)&gt;0,"SIM","NAO"))</f>
        <v/>
      </c>
      <c r="Z1231" s="5" t="str">
        <f aca="false">IF(A1231="","",IF(J1231="","",IFERROR(360/J1231,"")))</f>
        <v/>
      </c>
      <c r="AA1231" s="5" t="str">
        <f aca="false">IF(A1231="","",IF(H1231=0,"Parado (sem venda 90d)",IF(Z1231&gt;12,"Alto (&gt;12x/ano)",IF(Z1231&gt;=4,"Medio (4-12x/ano)","Baixo (&lt;4x/ano)"))))</f>
        <v/>
      </c>
    </row>
    <row r="1232" customFormat="false" ht="15" hidden="false" customHeight="true" outlineLevel="0" collapsed="false">
      <c r="A1232" s="6"/>
      <c r="B1232" s="6"/>
      <c r="C1232" s="6"/>
      <c r="D1232" s="6"/>
      <c r="E1232" s="6"/>
      <c r="F1232" s="6"/>
      <c r="G1232" s="6"/>
      <c r="H1232" s="6"/>
      <c r="I1232" s="6"/>
      <c r="J1232" s="6"/>
      <c r="K1232" s="18"/>
      <c r="L1232" s="19" t="str">
        <f aca="false">IF(A1232="","",G1232*K1232)</f>
        <v/>
      </c>
      <c r="M1232" s="20"/>
      <c r="N1232" s="6"/>
      <c r="O1232" s="6"/>
      <c r="P1232" s="5" t="str">
        <f aca="false">IF(A1232="","",H1232/90)</f>
        <v/>
      </c>
      <c r="Q1232" s="5" t="str">
        <f aca="false">IF(A1232="","",IFERROR(INDEX(Parâmetros!$C$6:$C$10,MATCH(F1232,Parâmetros!$B$6:$B$10,0)),""))</f>
        <v/>
      </c>
      <c r="R1232" s="5" t="str">
        <f aca="false">IF(OR(A1232="",P1232="",Q1232=""),"",P1232*Q1232)</f>
        <v/>
      </c>
      <c r="S1232" s="5" t="str">
        <f aca="false">IF(R1232="","",MAX(0,R1232-G1232))</f>
        <v/>
      </c>
      <c r="T1232" s="21" t="str">
        <f aca="false">IF(S1232="","",S1232*K1232)</f>
        <v/>
      </c>
      <c r="U1232" s="5" t="str">
        <f aca="false">IF(A1232="","",IF(J1232&gt;Parâmetros!$C$14,"SIM","NAO"))</f>
        <v/>
      </c>
      <c r="V1232" s="5" t="str">
        <f aca="false">IF(B1232="","",TRIM(LEFT(B1232,IFERROR(FIND(" ",B1232)-1,LEN(B1232)))))</f>
        <v/>
      </c>
      <c r="W1232" s="22"/>
      <c r="X1232" s="5" t="str">
        <f aca="false">IF(A1232="","",IF(W1232&lt;&gt;"",W1232,V1232))</f>
        <v/>
      </c>
      <c r="Y1232" s="5" t="str">
        <f aca="false">IF(A1232="","",IF(COUNTIFS($X$2:$X$2001,X1232,$D$2:$D$2001,"&lt;&gt;"&amp;D1232,$C$2:$C$2001,C1232)&gt;0,"SIM","NAO"))</f>
        <v/>
      </c>
      <c r="Z1232" s="5" t="str">
        <f aca="false">IF(A1232="","",IF(J1232="","",IFERROR(360/J1232,"")))</f>
        <v/>
      </c>
      <c r="AA1232" s="5" t="str">
        <f aca="false">IF(A1232="","",IF(H1232=0,"Parado (sem venda 90d)",IF(Z1232&gt;12,"Alto (&gt;12x/ano)",IF(Z1232&gt;=4,"Medio (4-12x/ano)","Baixo (&lt;4x/ano)"))))</f>
        <v/>
      </c>
    </row>
    <row r="1233" customFormat="false" ht="15" hidden="false" customHeight="true" outlineLevel="0" collapsed="false">
      <c r="A1233" s="6"/>
      <c r="B1233" s="6"/>
      <c r="C1233" s="6"/>
      <c r="D1233" s="6"/>
      <c r="E1233" s="6"/>
      <c r="F1233" s="6"/>
      <c r="G1233" s="6"/>
      <c r="H1233" s="6"/>
      <c r="I1233" s="6"/>
      <c r="J1233" s="6"/>
      <c r="K1233" s="18"/>
      <c r="L1233" s="19" t="str">
        <f aca="false">IF(A1233="","",G1233*K1233)</f>
        <v/>
      </c>
      <c r="M1233" s="20"/>
      <c r="N1233" s="6"/>
      <c r="O1233" s="6"/>
      <c r="P1233" s="5" t="str">
        <f aca="false">IF(A1233="","",H1233/90)</f>
        <v/>
      </c>
      <c r="Q1233" s="5" t="str">
        <f aca="false">IF(A1233="","",IFERROR(INDEX(Parâmetros!$C$6:$C$10,MATCH(F1233,Parâmetros!$B$6:$B$10,0)),""))</f>
        <v/>
      </c>
      <c r="R1233" s="5" t="str">
        <f aca="false">IF(OR(A1233="",P1233="",Q1233=""),"",P1233*Q1233)</f>
        <v/>
      </c>
      <c r="S1233" s="5" t="str">
        <f aca="false">IF(R1233="","",MAX(0,R1233-G1233))</f>
        <v/>
      </c>
      <c r="T1233" s="21" t="str">
        <f aca="false">IF(S1233="","",S1233*K1233)</f>
        <v/>
      </c>
      <c r="U1233" s="5" t="str">
        <f aca="false">IF(A1233="","",IF(J1233&gt;Parâmetros!$C$14,"SIM","NAO"))</f>
        <v/>
      </c>
      <c r="V1233" s="5" t="str">
        <f aca="false">IF(B1233="","",TRIM(LEFT(B1233,IFERROR(FIND(" ",B1233)-1,LEN(B1233)))))</f>
        <v/>
      </c>
      <c r="W1233" s="22"/>
      <c r="X1233" s="5" t="str">
        <f aca="false">IF(A1233="","",IF(W1233&lt;&gt;"",W1233,V1233))</f>
        <v/>
      </c>
      <c r="Y1233" s="5" t="str">
        <f aca="false">IF(A1233="","",IF(COUNTIFS($X$2:$X$2001,X1233,$D$2:$D$2001,"&lt;&gt;"&amp;D1233,$C$2:$C$2001,C1233)&gt;0,"SIM","NAO"))</f>
        <v/>
      </c>
      <c r="Z1233" s="5" t="str">
        <f aca="false">IF(A1233="","",IF(J1233="","",IFERROR(360/J1233,"")))</f>
        <v/>
      </c>
      <c r="AA1233" s="5" t="str">
        <f aca="false">IF(A1233="","",IF(H1233=0,"Parado (sem venda 90d)",IF(Z1233&gt;12,"Alto (&gt;12x/ano)",IF(Z1233&gt;=4,"Medio (4-12x/ano)","Baixo (&lt;4x/ano)"))))</f>
        <v/>
      </c>
    </row>
    <row r="1234" customFormat="false" ht="15" hidden="false" customHeight="true" outlineLevel="0" collapsed="false">
      <c r="A1234" s="6"/>
      <c r="B1234" s="6"/>
      <c r="C1234" s="6"/>
      <c r="D1234" s="6"/>
      <c r="E1234" s="6"/>
      <c r="F1234" s="6"/>
      <c r="G1234" s="6"/>
      <c r="H1234" s="6"/>
      <c r="I1234" s="6"/>
      <c r="J1234" s="6"/>
      <c r="K1234" s="18"/>
      <c r="L1234" s="19" t="str">
        <f aca="false">IF(A1234="","",G1234*K1234)</f>
        <v/>
      </c>
      <c r="M1234" s="20"/>
      <c r="N1234" s="6"/>
      <c r="O1234" s="6"/>
      <c r="P1234" s="5" t="str">
        <f aca="false">IF(A1234="","",H1234/90)</f>
        <v/>
      </c>
      <c r="Q1234" s="5" t="str">
        <f aca="false">IF(A1234="","",IFERROR(INDEX(Parâmetros!$C$6:$C$10,MATCH(F1234,Parâmetros!$B$6:$B$10,0)),""))</f>
        <v/>
      </c>
      <c r="R1234" s="5" t="str">
        <f aca="false">IF(OR(A1234="",P1234="",Q1234=""),"",P1234*Q1234)</f>
        <v/>
      </c>
      <c r="S1234" s="5" t="str">
        <f aca="false">IF(R1234="","",MAX(0,R1234-G1234))</f>
        <v/>
      </c>
      <c r="T1234" s="21" t="str">
        <f aca="false">IF(S1234="","",S1234*K1234)</f>
        <v/>
      </c>
      <c r="U1234" s="5" t="str">
        <f aca="false">IF(A1234="","",IF(J1234&gt;Parâmetros!$C$14,"SIM","NAO"))</f>
        <v/>
      </c>
      <c r="V1234" s="5" t="str">
        <f aca="false">IF(B1234="","",TRIM(LEFT(B1234,IFERROR(FIND(" ",B1234)-1,LEN(B1234)))))</f>
        <v/>
      </c>
      <c r="W1234" s="22"/>
      <c r="X1234" s="5" t="str">
        <f aca="false">IF(A1234="","",IF(W1234&lt;&gt;"",W1234,V1234))</f>
        <v/>
      </c>
      <c r="Y1234" s="5" t="str">
        <f aca="false">IF(A1234="","",IF(COUNTIFS($X$2:$X$2001,X1234,$D$2:$D$2001,"&lt;&gt;"&amp;D1234,$C$2:$C$2001,C1234)&gt;0,"SIM","NAO"))</f>
        <v/>
      </c>
      <c r="Z1234" s="5" t="str">
        <f aca="false">IF(A1234="","",IF(J1234="","",IFERROR(360/J1234,"")))</f>
        <v/>
      </c>
      <c r="AA1234" s="5" t="str">
        <f aca="false">IF(A1234="","",IF(H1234=0,"Parado (sem venda 90d)",IF(Z1234&gt;12,"Alto (&gt;12x/ano)",IF(Z1234&gt;=4,"Medio (4-12x/ano)","Baixo (&lt;4x/ano)"))))</f>
        <v/>
      </c>
    </row>
    <row r="1235" customFormat="false" ht="15" hidden="false" customHeight="true" outlineLevel="0" collapsed="false">
      <c r="A1235" s="6"/>
      <c r="B1235" s="6"/>
      <c r="C1235" s="6"/>
      <c r="D1235" s="6"/>
      <c r="E1235" s="6"/>
      <c r="F1235" s="6"/>
      <c r="G1235" s="6"/>
      <c r="H1235" s="6"/>
      <c r="I1235" s="6"/>
      <c r="J1235" s="6"/>
      <c r="K1235" s="18"/>
      <c r="L1235" s="19" t="str">
        <f aca="false">IF(A1235="","",G1235*K1235)</f>
        <v/>
      </c>
      <c r="M1235" s="20"/>
      <c r="N1235" s="6"/>
      <c r="O1235" s="6"/>
      <c r="P1235" s="5" t="str">
        <f aca="false">IF(A1235="","",H1235/90)</f>
        <v/>
      </c>
      <c r="Q1235" s="5" t="str">
        <f aca="false">IF(A1235="","",IFERROR(INDEX(Parâmetros!$C$6:$C$10,MATCH(F1235,Parâmetros!$B$6:$B$10,0)),""))</f>
        <v/>
      </c>
      <c r="R1235" s="5" t="str">
        <f aca="false">IF(OR(A1235="",P1235="",Q1235=""),"",P1235*Q1235)</f>
        <v/>
      </c>
      <c r="S1235" s="5" t="str">
        <f aca="false">IF(R1235="","",MAX(0,R1235-G1235))</f>
        <v/>
      </c>
      <c r="T1235" s="21" t="str">
        <f aca="false">IF(S1235="","",S1235*K1235)</f>
        <v/>
      </c>
      <c r="U1235" s="5" t="str">
        <f aca="false">IF(A1235="","",IF(J1235&gt;Parâmetros!$C$14,"SIM","NAO"))</f>
        <v/>
      </c>
      <c r="V1235" s="5" t="str">
        <f aca="false">IF(B1235="","",TRIM(LEFT(B1235,IFERROR(FIND(" ",B1235)-1,LEN(B1235)))))</f>
        <v/>
      </c>
      <c r="W1235" s="22"/>
      <c r="X1235" s="5" t="str">
        <f aca="false">IF(A1235="","",IF(W1235&lt;&gt;"",W1235,V1235))</f>
        <v/>
      </c>
      <c r="Y1235" s="5" t="str">
        <f aca="false">IF(A1235="","",IF(COUNTIFS($X$2:$X$2001,X1235,$D$2:$D$2001,"&lt;&gt;"&amp;D1235,$C$2:$C$2001,C1235)&gt;0,"SIM","NAO"))</f>
        <v/>
      </c>
      <c r="Z1235" s="5" t="str">
        <f aca="false">IF(A1235="","",IF(J1235="","",IFERROR(360/J1235,"")))</f>
        <v/>
      </c>
      <c r="AA1235" s="5" t="str">
        <f aca="false">IF(A1235="","",IF(H1235=0,"Parado (sem venda 90d)",IF(Z1235&gt;12,"Alto (&gt;12x/ano)",IF(Z1235&gt;=4,"Medio (4-12x/ano)","Baixo (&lt;4x/ano)"))))</f>
        <v/>
      </c>
    </row>
    <row r="1236" customFormat="false" ht="15" hidden="false" customHeight="true" outlineLevel="0" collapsed="false">
      <c r="A1236" s="6"/>
      <c r="B1236" s="6"/>
      <c r="C1236" s="6"/>
      <c r="D1236" s="6"/>
      <c r="E1236" s="6"/>
      <c r="F1236" s="6"/>
      <c r="G1236" s="6"/>
      <c r="H1236" s="6"/>
      <c r="I1236" s="6"/>
      <c r="J1236" s="6"/>
      <c r="K1236" s="18"/>
      <c r="L1236" s="19" t="str">
        <f aca="false">IF(A1236="","",G1236*K1236)</f>
        <v/>
      </c>
      <c r="M1236" s="20"/>
      <c r="N1236" s="6"/>
      <c r="O1236" s="6"/>
      <c r="P1236" s="5" t="str">
        <f aca="false">IF(A1236="","",H1236/90)</f>
        <v/>
      </c>
      <c r="Q1236" s="5" t="str">
        <f aca="false">IF(A1236="","",IFERROR(INDEX(Parâmetros!$C$6:$C$10,MATCH(F1236,Parâmetros!$B$6:$B$10,0)),""))</f>
        <v/>
      </c>
      <c r="R1236" s="5" t="str">
        <f aca="false">IF(OR(A1236="",P1236="",Q1236=""),"",P1236*Q1236)</f>
        <v/>
      </c>
      <c r="S1236" s="5" t="str">
        <f aca="false">IF(R1236="","",MAX(0,R1236-G1236))</f>
        <v/>
      </c>
      <c r="T1236" s="21" t="str">
        <f aca="false">IF(S1236="","",S1236*K1236)</f>
        <v/>
      </c>
      <c r="U1236" s="5" t="str">
        <f aca="false">IF(A1236="","",IF(J1236&gt;Parâmetros!$C$14,"SIM","NAO"))</f>
        <v/>
      </c>
      <c r="V1236" s="5" t="str">
        <f aca="false">IF(B1236="","",TRIM(LEFT(B1236,IFERROR(FIND(" ",B1236)-1,LEN(B1236)))))</f>
        <v/>
      </c>
      <c r="W1236" s="22"/>
      <c r="X1236" s="5" t="str">
        <f aca="false">IF(A1236="","",IF(W1236&lt;&gt;"",W1236,V1236))</f>
        <v/>
      </c>
      <c r="Y1236" s="5" t="str">
        <f aca="false">IF(A1236="","",IF(COUNTIFS($X$2:$X$2001,X1236,$D$2:$D$2001,"&lt;&gt;"&amp;D1236,$C$2:$C$2001,C1236)&gt;0,"SIM","NAO"))</f>
        <v/>
      </c>
      <c r="Z1236" s="5" t="str">
        <f aca="false">IF(A1236="","",IF(J1236="","",IFERROR(360/J1236,"")))</f>
        <v/>
      </c>
      <c r="AA1236" s="5" t="str">
        <f aca="false">IF(A1236="","",IF(H1236=0,"Parado (sem venda 90d)",IF(Z1236&gt;12,"Alto (&gt;12x/ano)",IF(Z1236&gt;=4,"Medio (4-12x/ano)","Baixo (&lt;4x/ano)"))))</f>
        <v/>
      </c>
    </row>
    <row r="1237" customFormat="false" ht="15" hidden="false" customHeight="true" outlineLevel="0" collapsed="false">
      <c r="A1237" s="6"/>
      <c r="B1237" s="6"/>
      <c r="C1237" s="6"/>
      <c r="D1237" s="6"/>
      <c r="E1237" s="6"/>
      <c r="F1237" s="6"/>
      <c r="G1237" s="6"/>
      <c r="H1237" s="6"/>
      <c r="I1237" s="6"/>
      <c r="J1237" s="6"/>
      <c r="K1237" s="18"/>
      <c r="L1237" s="19" t="str">
        <f aca="false">IF(A1237="","",G1237*K1237)</f>
        <v/>
      </c>
      <c r="M1237" s="20"/>
      <c r="N1237" s="6"/>
      <c r="O1237" s="6"/>
      <c r="P1237" s="5" t="str">
        <f aca="false">IF(A1237="","",H1237/90)</f>
        <v/>
      </c>
      <c r="Q1237" s="5" t="str">
        <f aca="false">IF(A1237="","",IFERROR(INDEX(Parâmetros!$C$6:$C$10,MATCH(F1237,Parâmetros!$B$6:$B$10,0)),""))</f>
        <v/>
      </c>
      <c r="R1237" s="5" t="str">
        <f aca="false">IF(OR(A1237="",P1237="",Q1237=""),"",P1237*Q1237)</f>
        <v/>
      </c>
      <c r="S1237" s="5" t="str">
        <f aca="false">IF(R1237="","",MAX(0,R1237-G1237))</f>
        <v/>
      </c>
      <c r="T1237" s="21" t="str">
        <f aca="false">IF(S1237="","",S1237*K1237)</f>
        <v/>
      </c>
      <c r="U1237" s="5" t="str">
        <f aca="false">IF(A1237="","",IF(J1237&gt;Parâmetros!$C$14,"SIM","NAO"))</f>
        <v/>
      </c>
      <c r="V1237" s="5" t="str">
        <f aca="false">IF(B1237="","",TRIM(LEFT(B1237,IFERROR(FIND(" ",B1237)-1,LEN(B1237)))))</f>
        <v/>
      </c>
      <c r="W1237" s="22"/>
      <c r="X1237" s="5" t="str">
        <f aca="false">IF(A1237="","",IF(W1237&lt;&gt;"",W1237,V1237))</f>
        <v/>
      </c>
      <c r="Y1237" s="5" t="str">
        <f aca="false">IF(A1237="","",IF(COUNTIFS($X$2:$X$2001,X1237,$D$2:$D$2001,"&lt;&gt;"&amp;D1237,$C$2:$C$2001,C1237)&gt;0,"SIM","NAO"))</f>
        <v/>
      </c>
      <c r="Z1237" s="5" t="str">
        <f aca="false">IF(A1237="","",IF(J1237="","",IFERROR(360/J1237,"")))</f>
        <v/>
      </c>
      <c r="AA1237" s="5" t="str">
        <f aca="false">IF(A1237="","",IF(H1237=0,"Parado (sem venda 90d)",IF(Z1237&gt;12,"Alto (&gt;12x/ano)",IF(Z1237&gt;=4,"Medio (4-12x/ano)","Baixo (&lt;4x/ano)"))))</f>
        <v/>
      </c>
    </row>
    <row r="1238" customFormat="false" ht="15" hidden="false" customHeight="true" outlineLevel="0" collapsed="false">
      <c r="A1238" s="6"/>
      <c r="B1238" s="6"/>
      <c r="C1238" s="6"/>
      <c r="D1238" s="6"/>
      <c r="E1238" s="6"/>
      <c r="F1238" s="6"/>
      <c r="G1238" s="6"/>
      <c r="H1238" s="6"/>
      <c r="I1238" s="6"/>
      <c r="J1238" s="6"/>
      <c r="K1238" s="18"/>
      <c r="L1238" s="19" t="str">
        <f aca="false">IF(A1238="","",G1238*K1238)</f>
        <v/>
      </c>
      <c r="M1238" s="20"/>
      <c r="N1238" s="6"/>
      <c r="O1238" s="6"/>
      <c r="P1238" s="5" t="str">
        <f aca="false">IF(A1238="","",H1238/90)</f>
        <v/>
      </c>
      <c r="Q1238" s="5" t="str">
        <f aca="false">IF(A1238="","",IFERROR(INDEX(Parâmetros!$C$6:$C$10,MATCH(F1238,Parâmetros!$B$6:$B$10,0)),""))</f>
        <v/>
      </c>
      <c r="R1238" s="5" t="str">
        <f aca="false">IF(OR(A1238="",P1238="",Q1238=""),"",P1238*Q1238)</f>
        <v/>
      </c>
      <c r="S1238" s="5" t="str">
        <f aca="false">IF(R1238="","",MAX(0,R1238-G1238))</f>
        <v/>
      </c>
      <c r="T1238" s="21" t="str">
        <f aca="false">IF(S1238="","",S1238*K1238)</f>
        <v/>
      </c>
      <c r="U1238" s="5" t="str">
        <f aca="false">IF(A1238="","",IF(J1238&gt;Parâmetros!$C$14,"SIM","NAO"))</f>
        <v/>
      </c>
      <c r="V1238" s="5" t="str">
        <f aca="false">IF(B1238="","",TRIM(LEFT(B1238,IFERROR(FIND(" ",B1238)-1,LEN(B1238)))))</f>
        <v/>
      </c>
      <c r="W1238" s="22"/>
      <c r="X1238" s="5" t="str">
        <f aca="false">IF(A1238="","",IF(W1238&lt;&gt;"",W1238,V1238))</f>
        <v/>
      </c>
      <c r="Y1238" s="5" t="str">
        <f aca="false">IF(A1238="","",IF(COUNTIFS($X$2:$X$2001,X1238,$D$2:$D$2001,"&lt;&gt;"&amp;D1238,$C$2:$C$2001,C1238)&gt;0,"SIM","NAO"))</f>
        <v/>
      </c>
      <c r="Z1238" s="5" t="str">
        <f aca="false">IF(A1238="","",IF(J1238="","",IFERROR(360/J1238,"")))</f>
        <v/>
      </c>
      <c r="AA1238" s="5" t="str">
        <f aca="false">IF(A1238="","",IF(H1238=0,"Parado (sem venda 90d)",IF(Z1238&gt;12,"Alto (&gt;12x/ano)",IF(Z1238&gt;=4,"Medio (4-12x/ano)","Baixo (&lt;4x/ano)"))))</f>
        <v/>
      </c>
    </row>
    <row r="1239" customFormat="false" ht="15" hidden="false" customHeight="true" outlineLevel="0" collapsed="false">
      <c r="A1239" s="6"/>
      <c r="B1239" s="6"/>
      <c r="C1239" s="6"/>
      <c r="D1239" s="6"/>
      <c r="E1239" s="6"/>
      <c r="F1239" s="6"/>
      <c r="G1239" s="6"/>
      <c r="H1239" s="6"/>
      <c r="I1239" s="6"/>
      <c r="J1239" s="6"/>
      <c r="K1239" s="18"/>
      <c r="L1239" s="19" t="str">
        <f aca="false">IF(A1239="","",G1239*K1239)</f>
        <v/>
      </c>
      <c r="M1239" s="20"/>
      <c r="N1239" s="6"/>
      <c r="O1239" s="6"/>
      <c r="P1239" s="5" t="str">
        <f aca="false">IF(A1239="","",H1239/90)</f>
        <v/>
      </c>
      <c r="Q1239" s="5" t="str">
        <f aca="false">IF(A1239="","",IFERROR(INDEX(Parâmetros!$C$6:$C$10,MATCH(F1239,Parâmetros!$B$6:$B$10,0)),""))</f>
        <v/>
      </c>
      <c r="R1239" s="5" t="str">
        <f aca="false">IF(OR(A1239="",P1239="",Q1239=""),"",P1239*Q1239)</f>
        <v/>
      </c>
      <c r="S1239" s="5" t="str">
        <f aca="false">IF(R1239="","",MAX(0,R1239-G1239))</f>
        <v/>
      </c>
      <c r="T1239" s="21" t="str">
        <f aca="false">IF(S1239="","",S1239*K1239)</f>
        <v/>
      </c>
      <c r="U1239" s="5" t="str">
        <f aca="false">IF(A1239="","",IF(J1239&gt;Parâmetros!$C$14,"SIM","NAO"))</f>
        <v/>
      </c>
      <c r="V1239" s="5" t="str">
        <f aca="false">IF(B1239="","",TRIM(LEFT(B1239,IFERROR(FIND(" ",B1239)-1,LEN(B1239)))))</f>
        <v/>
      </c>
      <c r="W1239" s="22"/>
      <c r="X1239" s="5" t="str">
        <f aca="false">IF(A1239="","",IF(W1239&lt;&gt;"",W1239,V1239))</f>
        <v/>
      </c>
      <c r="Y1239" s="5" t="str">
        <f aca="false">IF(A1239="","",IF(COUNTIFS($X$2:$X$2001,X1239,$D$2:$D$2001,"&lt;&gt;"&amp;D1239,$C$2:$C$2001,C1239)&gt;0,"SIM","NAO"))</f>
        <v/>
      </c>
      <c r="Z1239" s="5" t="str">
        <f aca="false">IF(A1239="","",IF(J1239="","",IFERROR(360/J1239,"")))</f>
        <v/>
      </c>
      <c r="AA1239" s="5" t="str">
        <f aca="false">IF(A1239="","",IF(H1239=0,"Parado (sem venda 90d)",IF(Z1239&gt;12,"Alto (&gt;12x/ano)",IF(Z1239&gt;=4,"Medio (4-12x/ano)","Baixo (&lt;4x/ano)"))))</f>
        <v/>
      </c>
    </row>
    <row r="1240" customFormat="false" ht="15" hidden="false" customHeight="true" outlineLevel="0" collapsed="false">
      <c r="A1240" s="6"/>
      <c r="B1240" s="6"/>
      <c r="C1240" s="6"/>
      <c r="D1240" s="6"/>
      <c r="E1240" s="6"/>
      <c r="F1240" s="6"/>
      <c r="G1240" s="6"/>
      <c r="H1240" s="6"/>
      <c r="I1240" s="6"/>
      <c r="J1240" s="6"/>
      <c r="K1240" s="18"/>
      <c r="L1240" s="19" t="str">
        <f aca="false">IF(A1240="","",G1240*K1240)</f>
        <v/>
      </c>
      <c r="M1240" s="20"/>
      <c r="N1240" s="6"/>
      <c r="O1240" s="6"/>
      <c r="P1240" s="5" t="str">
        <f aca="false">IF(A1240="","",H1240/90)</f>
        <v/>
      </c>
      <c r="Q1240" s="5" t="str">
        <f aca="false">IF(A1240="","",IFERROR(INDEX(Parâmetros!$C$6:$C$10,MATCH(F1240,Parâmetros!$B$6:$B$10,0)),""))</f>
        <v/>
      </c>
      <c r="R1240" s="5" t="str">
        <f aca="false">IF(OR(A1240="",P1240="",Q1240=""),"",P1240*Q1240)</f>
        <v/>
      </c>
      <c r="S1240" s="5" t="str">
        <f aca="false">IF(R1240="","",MAX(0,R1240-G1240))</f>
        <v/>
      </c>
      <c r="T1240" s="21" t="str">
        <f aca="false">IF(S1240="","",S1240*K1240)</f>
        <v/>
      </c>
      <c r="U1240" s="5" t="str">
        <f aca="false">IF(A1240="","",IF(J1240&gt;Parâmetros!$C$14,"SIM","NAO"))</f>
        <v/>
      </c>
      <c r="V1240" s="5" t="str">
        <f aca="false">IF(B1240="","",TRIM(LEFT(B1240,IFERROR(FIND(" ",B1240)-1,LEN(B1240)))))</f>
        <v/>
      </c>
      <c r="W1240" s="22"/>
      <c r="X1240" s="5" t="str">
        <f aca="false">IF(A1240="","",IF(W1240&lt;&gt;"",W1240,V1240))</f>
        <v/>
      </c>
      <c r="Y1240" s="5" t="str">
        <f aca="false">IF(A1240="","",IF(COUNTIFS($X$2:$X$2001,X1240,$D$2:$D$2001,"&lt;&gt;"&amp;D1240,$C$2:$C$2001,C1240)&gt;0,"SIM","NAO"))</f>
        <v/>
      </c>
      <c r="Z1240" s="5" t="str">
        <f aca="false">IF(A1240="","",IF(J1240="","",IFERROR(360/J1240,"")))</f>
        <v/>
      </c>
      <c r="AA1240" s="5" t="str">
        <f aca="false">IF(A1240="","",IF(H1240=0,"Parado (sem venda 90d)",IF(Z1240&gt;12,"Alto (&gt;12x/ano)",IF(Z1240&gt;=4,"Medio (4-12x/ano)","Baixo (&lt;4x/ano)"))))</f>
        <v/>
      </c>
    </row>
    <row r="1241" customFormat="false" ht="15" hidden="false" customHeight="true" outlineLevel="0" collapsed="false">
      <c r="A1241" s="6"/>
      <c r="B1241" s="6"/>
      <c r="C1241" s="6"/>
      <c r="D1241" s="6"/>
      <c r="E1241" s="6"/>
      <c r="F1241" s="6"/>
      <c r="G1241" s="6"/>
      <c r="H1241" s="6"/>
      <c r="I1241" s="6"/>
      <c r="J1241" s="6"/>
      <c r="K1241" s="18"/>
      <c r="L1241" s="19" t="str">
        <f aca="false">IF(A1241="","",G1241*K1241)</f>
        <v/>
      </c>
      <c r="M1241" s="20"/>
      <c r="N1241" s="6"/>
      <c r="O1241" s="6"/>
      <c r="P1241" s="5" t="str">
        <f aca="false">IF(A1241="","",H1241/90)</f>
        <v/>
      </c>
      <c r="Q1241" s="5" t="str">
        <f aca="false">IF(A1241="","",IFERROR(INDEX(Parâmetros!$C$6:$C$10,MATCH(F1241,Parâmetros!$B$6:$B$10,0)),""))</f>
        <v/>
      </c>
      <c r="R1241" s="5" t="str">
        <f aca="false">IF(OR(A1241="",P1241="",Q1241=""),"",P1241*Q1241)</f>
        <v/>
      </c>
      <c r="S1241" s="5" t="str">
        <f aca="false">IF(R1241="","",MAX(0,R1241-G1241))</f>
        <v/>
      </c>
      <c r="T1241" s="21" t="str">
        <f aca="false">IF(S1241="","",S1241*K1241)</f>
        <v/>
      </c>
      <c r="U1241" s="5" t="str">
        <f aca="false">IF(A1241="","",IF(J1241&gt;Parâmetros!$C$14,"SIM","NAO"))</f>
        <v/>
      </c>
      <c r="V1241" s="5" t="str">
        <f aca="false">IF(B1241="","",TRIM(LEFT(B1241,IFERROR(FIND(" ",B1241)-1,LEN(B1241)))))</f>
        <v/>
      </c>
      <c r="W1241" s="22"/>
      <c r="X1241" s="5" t="str">
        <f aca="false">IF(A1241="","",IF(W1241&lt;&gt;"",W1241,V1241))</f>
        <v/>
      </c>
      <c r="Y1241" s="5" t="str">
        <f aca="false">IF(A1241="","",IF(COUNTIFS($X$2:$X$2001,X1241,$D$2:$D$2001,"&lt;&gt;"&amp;D1241,$C$2:$C$2001,C1241)&gt;0,"SIM","NAO"))</f>
        <v/>
      </c>
      <c r="Z1241" s="5" t="str">
        <f aca="false">IF(A1241="","",IF(J1241="","",IFERROR(360/J1241,"")))</f>
        <v/>
      </c>
      <c r="AA1241" s="5" t="str">
        <f aca="false">IF(A1241="","",IF(H1241=0,"Parado (sem venda 90d)",IF(Z1241&gt;12,"Alto (&gt;12x/ano)",IF(Z1241&gt;=4,"Medio (4-12x/ano)","Baixo (&lt;4x/ano)"))))</f>
        <v/>
      </c>
    </row>
    <row r="1242" customFormat="false" ht="15" hidden="false" customHeight="true" outlineLevel="0" collapsed="false">
      <c r="A1242" s="6"/>
      <c r="B1242" s="6"/>
      <c r="C1242" s="6"/>
      <c r="D1242" s="6"/>
      <c r="E1242" s="6"/>
      <c r="F1242" s="6"/>
      <c r="G1242" s="6"/>
      <c r="H1242" s="6"/>
      <c r="I1242" s="6"/>
      <c r="J1242" s="6"/>
      <c r="K1242" s="18"/>
      <c r="L1242" s="19" t="str">
        <f aca="false">IF(A1242="","",G1242*K1242)</f>
        <v/>
      </c>
      <c r="M1242" s="20"/>
      <c r="N1242" s="6"/>
      <c r="O1242" s="6"/>
      <c r="P1242" s="5" t="str">
        <f aca="false">IF(A1242="","",H1242/90)</f>
        <v/>
      </c>
      <c r="Q1242" s="5" t="str">
        <f aca="false">IF(A1242="","",IFERROR(INDEX(Parâmetros!$C$6:$C$10,MATCH(F1242,Parâmetros!$B$6:$B$10,0)),""))</f>
        <v/>
      </c>
      <c r="R1242" s="5" t="str">
        <f aca="false">IF(OR(A1242="",P1242="",Q1242=""),"",P1242*Q1242)</f>
        <v/>
      </c>
      <c r="S1242" s="5" t="str">
        <f aca="false">IF(R1242="","",MAX(0,R1242-G1242))</f>
        <v/>
      </c>
      <c r="T1242" s="21" t="str">
        <f aca="false">IF(S1242="","",S1242*K1242)</f>
        <v/>
      </c>
      <c r="U1242" s="5" t="str">
        <f aca="false">IF(A1242="","",IF(J1242&gt;Parâmetros!$C$14,"SIM","NAO"))</f>
        <v/>
      </c>
      <c r="V1242" s="5" t="str">
        <f aca="false">IF(B1242="","",TRIM(LEFT(B1242,IFERROR(FIND(" ",B1242)-1,LEN(B1242)))))</f>
        <v/>
      </c>
      <c r="W1242" s="22"/>
      <c r="X1242" s="5" t="str">
        <f aca="false">IF(A1242="","",IF(W1242&lt;&gt;"",W1242,V1242))</f>
        <v/>
      </c>
      <c r="Y1242" s="5" t="str">
        <f aca="false">IF(A1242="","",IF(COUNTIFS($X$2:$X$2001,X1242,$D$2:$D$2001,"&lt;&gt;"&amp;D1242,$C$2:$C$2001,C1242)&gt;0,"SIM","NAO"))</f>
        <v/>
      </c>
      <c r="Z1242" s="5" t="str">
        <f aca="false">IF(A1242="","",IF(J1242="","",IFERROR(360/J1242,"")))</f>
        <v/>
      </c>
      <c r="AA1242" s="5" t="str">
        <f aca="false">IF(A1242="","",IF(H1242=0,"Parado (sem venda 90d)",IF(Z1242&gt;12,"Alto (&gt;12x/ano)",IF(Z1242&gt;=4,"Medio (4-12x/ano)","Baixo (&lt;4x/ano)"))))</f>
        <v/>
      </c>
    </row>
    <row r="1243" customFormat="false" ht="15" hidden="false" customHeight="true" outlineLevel="0" collapsed="false">
      <c r="A1243" s="6"/>
      <c r="B1243" s="6"/>
      <c r="C1243" s="6"/>
      <c r="D1243" s="6"/>
      <c r="E1243" s="6"/>
      <c r="F1243" s="6"/>
      <c r="G1243" s="6"/>
      <c r="H1243" s="6"/>
      <c r="I1243" s="6"/>
      <c r="J1243" s="6"/>
      <c r="K1243" s="18"/>
      <c r="L1243" s="19" t="str">
        <f aca="false">IF(A1243="","",G1243*K1243)</f>
        <v/>
      </c>
      <c r="M1243" s="20"/>
      <c r="N1243" s="6"/>
      <c r="O1243" s="6"/>
      <c r="P1243" s="5" t="str">
        <f aca="false">IF(A1243="","",H1243/90)</f>
        <v/>
      </c>
      <c r="Q1243" s="5" t="str">
        <f aca="false">IF(A1243="","",IFERROR(INDEX(Parâmetros!$C$6:$C$10,MATCH(F1243,Parâmetros!$B$6:$B$10,0)),""))</f>
        <v/>
      </c>
      <c r="R1243" s="5" t="str">
        <f aca="false">IF(OR(A1243="",P1243="",Q1243=""),"",P1243*Q1243)</f>
        <v/>
      </c>
      <c r="S1243" s="5" t="str">
        <f aca="false">IF(R1243="","",MAX(0,R1243-G1243))</f>
        <v/>
      </c>
      <c r="T1243" s="21" t="str">
        <f aca="false">IF(S1243="","",S1243*K1243)</f>
        <v/>
      </c>
      <c r="U1243" s="5" t="str">
        <f aca="false">IF(A1243="","",IF(J1243&gt;Parâmetros!$C$14,"SIM","NAO"))</f>
        <v/>
      </c>
      <c r="V1243" s="5" t="str">
        <f aca="false">IF(B1243="","",TRIM(LEFT(B1243,IFERROR(FIND(" ",B1243)-1,LEN(B1243)))))</f>
        <v/>
      </c>
      <c r="W1243" s="22"/>
      <c r="X1243" s="5" t="str">
        <f aca="false">IF(A1243="","",IF(W1243&lt;&gt;"",W1243,V1243))</f>
        <v/>
      </c>
      <c r="Y1243" s="5" t="str">
        <f aca="false">IF(A1243="","",IF(COUNTIFS($X$2:$X$2001,X1243,$D$2:$D$2001,"&lt;&gt;"&amp;D1243,$C$2:$C$2001,C1243)&gt;0,"SIM","NAO"))</f>
        <v/>
      </c>
      <c r="Z1243" s="5" t="str">
        <f aca="false">IF(A1243="","",IF(J1243="","",IFERROR(360/J1243,"")))</f>
        <v/>
      </c>
      <c r="AA1243" s="5" t="str">
        <f aca="false">IF(A1243="","",IF(H1243=0,"Parado (sem venda 90d)",IF(Z1243&gt;12,"Alto (&gt;12x/ano)",IF(Z1243&gt;=4,"Medio (4-12x/ano)","Baixo (&lt;4x/ano)"))))</f>
        <v/>
      </c>
    </row>
    <row r="1244" customFormat="false" ht="15" hidden="false" customHeight="true" outlineLevel="0" collapsed="false">
      <c r="A1244" s="6"/>
      <c r="B1244" s="6"/>
      <c r="C1244" s="6"/>
      <c r="D1244" s="6"/>
      <c r="E1244" s="6"/>
      <c r="F1244" s="6"/>
      <c r="G1244" s="6"/>
      <c r="H1244" s="6"/>
      <c r="I1244" s="6"/>
      <c r="J1244" s="6"/>
      <c r="K1244" s="18"/>
      <c r="L1244" s="19" t="str">
        <f aca="false">IF(A1244="","",G1244*K1244)</f>
        <v/>
      </c>
      <c r="M1244" s="20"/>
      <c r="N1244" s="6"/>
      <c r="O1244" s="6"/>
      <c r="P1244" s="5" t="str">
        <f aca="false">IF(A1244="","",H1244/90)</f>
        <v/>
      </c>
      <c r="Q1244" s="5" t="str">
        <f aca="false">IF(A1244="","",IFERROR(INDEX(Parâmetros!$C$6:$C$10,MATCH(F1244,Parâmetros!$B$6:$B$10,0)),""))</f>
        <v/>
      </c>
      <c r="R1244" s="5" t="str">
        <f aca="false">IF(OR(A1244="",P1244="",Q1244=""),"",P1244*Q1244)</f>
        <v/>
      </c>
      <c r="S1244" s="5" t="str">
        <f aca="false">IF(R1244="","",MAX(0,R1244-G1244))</f>
        <v/>
      </c>
      <c r="T1244" s="21" t="str">
        <f aca="false">IF(S1244="","",S1244*K1244)</f>
        <v/>
      </c>
      <c r="U1244" s="5" t="str">
        <f aca="false">IF(A1244="","",IF(J1244&gt;Parâmetros!$C$14,"SIM","NAO"))</f>
        <v/>
      </c>
      <c r="V1244" s="5" t="str">
        <f aca="false">IF(B1244="","",TRIM(LEFT(B1244,IFERROR(FIND(" ",B1244)-1,LEN(B1244)))))</f>
        <v/>
      </c>
      <c r="W1244" s="22"/>
      <c r="X1244" s="5" t="str">
        <f aca="false">IF(A1244="","",IF(W1244&lt;&gt;"",W1244,V1244))</f>
        <v/>
      </c>
      <c r="Y1244" s="5" t="str">
        <f aca="false">IF(A1244="","",IF(COUNTIFS($X$2:$X$2001,X1244,$D$2:$D$2001,"&lt;&gt;"&amp;D1244,$C$2:$C$2001,C1244)&gt;0,"SIM","NAO"))</f>
        <v/>
      </c>
      <c r="Z1244" s="5" t="str">
        <f aca="false">IF(A1244="","",IF(J1244="","",IFERROR(360/J1244,"")))</f>
        <v/>
      </c>
      <c r="AA1244" s="5" t="str">
        <f aca="false">IF(A1244="","",IF(H1244=0,"Parado (sem venda 90d)",IF(Z1244&gt;12,"Alto (&gt;12x/ano)",IF(Z1244&gt;=4,"Medio (4-12x/ano)","Baixo (&lt;4x/ano)"))))</f>
        <v/>
      </c>
    </row>
    <row r="1245" customFormat="false" ht="15" hidden="false" customHeight="true" outlineLevel="0" collapsed="false">
      <c r="A1245" s="6"/>
      <c r="B1245" s="6"/>
      <c r="C1245" s="6"/>
      <c r="D1245" s="6"/>
      <c r="E1245" s="6"/>
      <c r="F1245" s="6"/>
      <c r="G1245" s="6"/>
      <c r="H1245" s="6"/>
      <c r="I1245" s="6"/>
      <c r="J1245" s="6"/>
      <c r="K1245" s="18"/>
      <c r="L1245" s="19" t="str">
        <f aca="false">IF(A1245="","",G1245*K1245)</f>
        <v/>
      </c>
      <c r="M1245" s="20"/>
      <c r="N1245" s="6"/>
      <c r="O1245" s="6"/>
      <c r="P1245" s="5" t="str">
        <f aca="false">IF(A1245="","",H1245/90)</f>
        <v/>
      </c>
      <c r="Q1245" s="5" t="str">
        <f aca="false">IF(A1245="","",IFERROR(INDEX(Parâmetros!$C$6:$C$10,MATCH(F1245,Parâmetros!$B$6:$B$10,0)),""))</f>
        <v/>
      </c>
      <c r="R1245" s="5" t="str">
        <f aca="false">IF(OR(A1245="",P1245="",Q1245=""),"",P1245*Q1245)</f>
        <v/>
      </c>
      <c r="S1245" s="5" t="str">
        <f aca="false">IF(R1245="","",MAX(0,R1245-G1245))</f>
        <v/>
      </c>
      <c r="T1245" s="21" t="str">
        <f aca="false">IF(S1245="","",S1245*K1245)</f>
        <v/>
      </c>
      <c r="U1245" s="5" t="str">
        <f aca="false">IF(A1245="","",IF(J1245&gt;Parâmetros!$C$14,"SIM","NAO"))</f>
        <v/>
      </c>
      <c r="V1245" s="5" t="str">
        <f aca="false">IF(B1245="","",TRIM(LEFT(B1245,IFERROR(FIND(" ",B1245)-1,LEN(B1245)))))</f>
        <v/>
      </c>
      <c r="W1245" s="22"/>
      <c r="X1245" s="5" t="str">
        <f aca="false">IF(A1245="","",IF(W1245&lt;&gt;"",W1245,V1245))</f>
        <v/>
      </c>
      <c r="Y1245" s="5" t="str">
        <f aca="false">IF(A1245="","",IF(COUNTIFS($X$2:$X$2001,X1245,$D$2:$D$2001,"&lt;&gt;"&amp;D1245,$C$2:$C$2001,C1245)&gt;0,"SIM","NAO"))</f>
        <v/>
      </c>
      <c r="Z1245" s="5" t="str">
        <f aca="false">IF(A1245="","",IF(J1245="","",IFERROR(360/J1245,"")))</f>
        <v/>
      </c>
      <c r="AA1245" s="5" t="str">
        <f aca="false">IF(A1245="","",IF(H1245=0,"Parado (sem venda 90d)",IF(Z1245&gt;12,"Alto (&gt;12x/ano)",IF(Z1245&gt;=4,"Medio (4-12x/ano)","Baixo (&lt;4x/ano)"))))</f>
        <v/>
      </c>
    </row>
    <row r="1246" customFormat="false" ht="15" hidden="false" customHeight="true" outlineLevel="0" collapsed="false">
      <c r="A1246" s="6"/>
      <c r="B1246" s="6"/>
      <c r="C1246" s="6"/>
      <c r="D1246" s="6"/>
      <c r="E1246" s="6"/>
      <c r="F1246" s="6"/>
      <c r="G1246" s="6"/>
      <c r="H1246" s="6"/>
      <c r="I1246" s="6"/>
      <c r="J1246" s="6"/>
      <c r="K1246" s="18"/>
      <c r="L1246" s="19" t="str">
        <f aca="false">IF(A1246="","",G1246*K1246)</f>
        <v/>
      </c>
      <c r="M1246" s="20"/>
      <c r="N1246" s="6"/>
      <c r="O1246" s="6"/>
      <c r="P1246" s="5" t="str">
        <f aca="false">IF(A1246="","",H1246/90)</f>
        <v/>
      </c>
      <c r="Q1246" s="5" t="str">
        <f aca="false">IF(A1246="","",IFERROR(INDEX(Parâmetros!$C$6:$C$10,MATCH(F1246,Parâmetros!$B$6:$B$10,0)),""))</f>
        <v/>
      </c>
      <c r="R1246" s="5" t="str">
        <f aca="false">IF(OR(A1246="",P1246="",Q1246=""),"",P1246*Q1246)</f>
        <v/>
      </c>
      <c r="S1246" s="5" t="str">
        <f aca="false">IF(R1246="","",MAX(0,R1246-G1246))</f>
        <v/>
      </c>
      <c r="T1246" s="21" t="str">
        <f aca="false">IF(S1246="","",S1246*K1246)</f>
        <v/>
      </c>
      <c r="U1246" s="5" t="str">
        <f aca="false">IF(A1246="","",IF(J1246&gt;Parâmetros!$C$14,"SIM","NAO"))</f>
        <v/>
      </c>
      <c r="V1246" s="5" t="str">
        <f aca="false">IF(B1246="","",TRIM(LEFT(B1246,IFERROR(FIND(" ",B1246)-1,LEN(B1246)))))</f>
        <v/>
      </c>
      <c r="W1246" s="22"/>
      <c r="X1246" s="5" t="str">
        <f aca="false">IF(A1246="","",IF(W1246&lt;&gt;"",W1246,V1246))</f>
        <v/>
      </c>
      <c r="Y1246" s="5" t="str">
        <f aca="false">IF(A1246="","",IF(COUNTIFS($X$2:$X$2001,X1246,$D$2:$D$2001,"&lt;&gt;"&amp;D1246,$C$2:$C$2001,C1246)&gt;0,"SIM","NAO"))</f>
        <v/>
      </c>
      <c r="Z1246" s="5" t="str">
        <f aca="false">IF(A1246="","",IF(J1246="","",IFERROR(360/J1246,"")))</f>
        <v/>
      </c>
      <c r="AA1246" s="5" t="str">
        <f aca="false">IF(A1246="","",IF(H1246=0,"Parado (sem venda 90d)",IF(Z1246&gt;12,"Alto (&gt;12x/ano)",IF(Z1246&gt;=4,"Medio (4-12x/ano)","Baixo (&lt;4x/ano)"))))</f>
        <v/>
      </c>
    </row>
    <row r="1247" customFormat="false" ht="15" hidden="false" customHeight="true" outlineLevel="0" collapsed="false">
      <c r="A1247" s="6"/>
      <c r="B1247" s="6"/>
      <c r="C1247" s="6"/>
      <c r="D1247" s="6"/>
      <c r="E1247" s="6"/>
      <c r="F1247" s="6"/>
      <c r="G1247" s="6"/>
      <c r="H1247" s="6"/>
      <c r="I1247" s="6"/>
      <c r="J1247" s="6"/>
      <c r="K1247" s="18"/>
      <c r="L1247" s="19" t="str">
        <f aca="false">IF(A1247="","",G1247*K1247)</f>
        <v/>
      </c>
      <c r="M1247" s="20"/>
      <c r="N1247" s="6"/>
      <c r="O1247" s="6"/>
      <c r="P1247" s="5" t="str">
        <f aca="false">IF(A1247="","",H1247/90)</f>
        <v/>
      </c>
      <c r="Q1247" s="5" t="str">
        <f aca="false">IF(A1247="","",IFERROR(INDEX(Parâmetros!$C$6:$C$10,MATCH(F1247,Parâmetros!$B$6:$B$10,0)),""))</f>
        <v/>
      </c>
      <c r="R1247" s="5" t="str">
        <f aca="false">IF(OR(A1247="",P1247="",Q1247=""),"",P1247*Q1247)</f>
        <v/>
      </c>
      <c r="S1247" s="5" t="str">
        <f aca="false">IF(R1247="","",MAX(0,R1247-G1247))</f>
        <v/>
      </c>
      <c r="T1247" s="21" t="str">
        <f aca="false">IF(S1247="","",S1247*K1247)</f>
        <v/>
      </c>
      <c r="U1247" s="5" t="str">
        <f aca="false">IF(A1247="","",IF(J1247&gt;Parâmetros!$C$14,"SIM","NAO"))</f>
        <v/>
      </c>
      <c r="V1247" s="5" t="str">
        <f aca="false">IF(B1247="","",TRIM(LEFT(B1247,IFERROR(FIND(" ",B1247)-1,LEN(B1247)))))</f>
        <v/>
      </c>
      <c r="W1247" s="22"/>
      <c r="X1247" s="5" t="str">
        <f aca="false">IF(A1247="","",IF(W1247&lt;&gt;"",W1247,V1247))</f>
        <v/>
      </c>
      <c r="Y1247" s="5" t="str">
        <f aca="false">IF(A1247="","",IF(COUNTIFS($X$2:$X$2001,X1247,$D$2:$D$2001,"&lt;&gt;"&amp;D1247,$C$2:$C$2001,C1247)&gt;0,"SIM","NAO"))</f>
        <v/>
      </c>
      <c r="Z1247" s="5" t="str">
        <f aca="false">IF(A1247="","",IF(J1247="","",IFERROR(360/J1247,"")))</f>
        <v/>
      </c>
      <c r="AA1247" s="5" t="str">
        <f aca="false">IF(A1247="","",IF(H1247=0,"Parado (sem venda 90d)",IF(Z1247&gt;12,"Alto (&gt;12x/ano)",IF(Z1247&gt;=4,"Medio (4-12x/ano)","Baixo (&lt;4x/ano)"))))</f>
        <v/>
      </c>
    </row>
    <row r="1248" customFormat="false" ht="15" hidden="false" customHeight="true" outlineLevel="0" collapsed="false">
      <c r="A1248" s="6"/>
      <c r="B1248" s="6"/>
      <c r="C1248" s="6"/>
      <c r="D1248" s="6"/>
      <c r="E1248" s="6"/>
      <c r="F1248" s="6"/>
      <c r="G1248" s="6"/>
      <c r="H1248" s="6"/>
      <c r="I1248" s="6"/>
      <c r="J1248" s="6"/>
      <c r="K1248" s="18"/>
      <c r="L1248" s="19" t="str">
        <f aca="false">IF(A1248="","",G1248*K1248)</f>
        <v/>
      </c>
      <c r="M1248" s="20"/>
      <c r="N1248" s="6"/>
      <c r="O1248" s="6"/>
      <c r="P1248" s="5" t="str">
        <f aca="false">IF(A1248="","",H1248/90)</f>
        <v/>
      </c>
      <c r="Q1248" s="5" t="str">
        <f aca="false">IF(A1248="","",IFERROR(INDEX(Parâmetros!$C$6:$C$10,MATCH(F1248,Parâmetros!$B$6:$B$10,0)),""))</f>
        <v/>
      </c>
      <c r="R1248" s="5" t="str">
        <f aca="false">IF(OR(A1248="",P1248="",Q1248=""),"",P1248*Q1248)</f>
        <v/>
      </c>
      <c r="S1248" s="5" t="str">
        <f aca="false">IF(R1248="","",MAX(0,R1248-G1248))</f>
        <v/>
      </c>
      <c r="T1248" s="21" t="str">
        <f aca="false">IF(S1248="","",S1248*K1248)</f>
        <v/>
      </c>
      <c r="U1248" s="5" t="str">
        <f aca="false">IF(A1248="","",IF(J1248&gt;Parâmetros!$C$14,"SIM","NAO"))</f>
        <v/>
      </c>
      <c r="V1248" s="5" t="str">
        <f aca="false">IF(B1248="","",TRIM(LEFT(B1248,IFERROR(FIND(" ",B1248)-1,LEN(B1248)))))</f>
        <v/>
      </c>
      <c r="W1248" s="22"/>
      <c r="X1248" s="5" t="str">
        <f aca="false">IF(A1248="","",IF(W1248&lt;&gt;"",W1248,V1248))</f>
        <v/>
      </c>
      <c r="Y1248" s="5" t="str">
        <f aca="false">IF(A1248="","",IF(COUNTIFS($X$2:$X$2001,X1248,$D$2:$D$2001,"&lt;&gt;"&amp;D1248,$C$2:$C$2001,C1248)&gt;0,"SIM","NAO"))</f>
        <v/>
      </c>
      <c r="Z1248" s="5" t="str">
        <f aca="false">IF(A1248="","",IF(J1248="","",IFERROR(360/J1248,"")))</f>
        <v/>
      </c>
      <c r="AA1248" s="5" t="str">
        <f aca="false">IF(A1248="","",IF(H1248=0,"Parado (sem venda 90d)",IF(Z1248&gt;12,"Alto (&gt;12x/ano)",IF(Z1248&gt;=4,"Medio (4-12x/ano)","Baixo (&lt;4x/ano)"))))</f>
        <v/>
      </c>
    </row>
    <row r="1249" customFormat="false" ht="15" hidden="false" customHeight="true" outlineLevel="0" collapsed="false">
      <c r="A1249" s="6"/>
      <c r="B1249" s="6"/>
      <c r="C1249" s="6"/>
      <c r="D1249" s="6"/>
      <c r="E1249" s="6"/>
      <c r="F1249" s="6"/>
      <c r="G1249" s="6"/>
      <c r="H1249" s="6"/>
      <c r="I1249" s="6"/>
      <c r="J1249" s="6"/>
      <c r="K1249" s="18"/>
      <c r="L1249" s="19" t="str">
        <f aca="false">IF(A1249="","",G1249*K1249)</f>
        <v/>
      </c>
      <c r="M1249" s="20"/>
      <c r="N1249" s="6"/>
      <c r="O1249" s="6"/>
      <c r="P1249" s="5" t="str">
        <f aca="false">IF(A1249="","",H1249/90)</f>
        <v/>
      </c>
      <c r="Q1249" s="5" t="str">
        <f aca="false">IF(A1249="","",IFERROR(INDEX(Parâmetros!$C$6:$C$10,MATCH(F1249,Parâmetros!$B$6:$B$10,0)),""))</f>
        <v/>
      </c>
      <c r="R1249" s="5" t="str">
        <f aca="false">IF(OR(A1249="",P1249="",Q1249=""),"",P1249*Q1249)</f>
        <v/>
      </c>
      <c r="S1249" s="5" t="str">
        <f aca="false">IF(R1249="","",MAX(0,R1249-G1249))</f>
        <v/>
      </c>
      <c r="T1249" s="21" t="str">
        <f aca="false">IF(S1249="","",S1249*K1249)</f>
        <v/>
      </c>
      <c r="U1249" s="5" t="str">
        <f aca="false">IF(A1249="","",IF(J1249&gt;Parâmetros!$C$14,"SIM","NAO"))</f>
        <v/>
      </c>
      <c r="V1249" s="5" t="str">
        <f aca="false">IF(B1249="","",TRIM(LEFT(B1249,IFERROR(FIND(" ",B1249)-1,LEN(B1249)))))</f>
        <v/>
      </c>
      <c r="W1249" s="22"/>
      <c r="X1249" s="5" t="str">
        <f aca="false">IF(A1249="","",IF(W1249&lt;&gt;"",W1249,V1249))</f>
        <v/>
      </c>
      <c r="Y1249" s="5" t="str">
        <f aca="false">IF(A1249="","",IF(COUNTIFS($X$2:$X$2001,X1249,$D$2:$D$2001,"&lt;&gt;"&amp;D1249,$C$2:$C$2001,C1249)&gt;0,"SIM","NAO"))</f>
        <v/>
      </c>
      <c r="Z1249" s="5" t="str">
        <f aca="false">IF(A1249="","",IF(J1249="","",IFERROR(360/J1249,"")))</f>
        <v/>
      </c>
      <c r="AA1249" s="5" t="str">
        <f aca="false">IF(A1249="","",IF(H1249=0,"Parado (sem venda 90d)",IF(Z1249&gt;12,"Alto (&gt;12x/ano)",IF(Z1249&gt;=4,"Medio (4-12x/ano)","Baixo (&lt;4x/ano)"))))</f>
        <v/>
      </c>
    </row>
    <row r="1250" customFormat="false" ht="15" hidden="false" customHeight="true" outlineLevel="0" collapsed="false">
      <c r="A1250" s="6"/>
      <c r="B1250" s="6"/>
      <c r="C1250" s="6"/>
      <c r="D1250" s="6"/>
      <c r="E1250" s="6"/>
      <c r="F1250" s="6"/>
      <c r="G1250" s="6"/>
      <c r="H1250" s="6"/>
      <c r="I1250" s="6"/>
      <c r="J1250" s="6"/>
      <c r="K1250" s="18"/>
      <c r="L1250" s="19" t="str">
        <f aca="false">IF(A1250="","",G1250*K1250)</f>
        <v/>
      </c>
      <c r="M1250" s="20"/>
      <c r="N1250" s="6"/>
      <c r="O1250" s="6"/>
      <c r="P1250" s="5" t="str">
        <f aca="false">IF(A1250="","",H1250/90)</f>
        <v/>
      </c>
      <c r="Q1250" s="5" t="str">
        <f aca="false">IF(A1250="","",IFERROR(INDEX(Parâmetros!$C$6:$C$10,MATCH(F1250,Parâmetros!$B$6:$B$10,0)),""))</f>
        <v/>
      </c>
      <c r="R1250" s="5" t="str">
        <f aca="false">IF(OR(A1250="",P1250="",Q1250=""),"",P1250*Q1250)</f>
        <v/>
      </c>
      <c r="S1250" s="5" t="str">
        <f aca="false">IF(R1250="","",MAX(0,R1250-G1250))</f>
        <v/>
      </c>
      <c r="T1250" s="21" t="str">
        <f aca="false">IF(S1250="","",S1250*K1250)</f>
        <v/>
      </c>
      <c r="U1250" s="5" t="str">
        <f aca="false">IF(A1250="","",IF(J1250&gt;Parâmetros!$C$14,"SIM","NAO"))</f>
        <v/>
      </c>
      <c r="V1250" s="5" t="str">
        <f aca="false">IF(B1250="","",TRIM(LEFT(B1250,IFERROR(FIND(" ",B1250)-1,LEN(B1250)))))</f>
        <v/>
      </c>
      <c r="W1250" s="22"/>
      <c r="X1250" s="5" t="str">
        <f aca="false">IF(A1250="","",IF(W1250&lt;&gt;"",W1250,V1250))</f>
        <v/>
      </c>
      <c r="Y1250" s="5" t="str">
        <f aca="false">IF(A1250="","",IF(COUNTIFS($X$2:$X$2001,X1250,$D$2:$D$2001,"&lt;&gt;"&amp;D1250,$C$2:$C$2001,C1250)&gt;0,"SIM","NAO"))</f>
        <v/>
      </c>
      <c r="Z1250" s="5" t="str">
        <f aca="false">IF(A1250="","",IF(J1250="","",IFERROR(360/J1250,"")))</f>
        <v/>
      </c>
      <c r="AA1250" s="5" t="str">
        <f aca="false">IF(A1250="","",IF(H1250=0,"Parado (sem venda 90d)",IF(Z1250&gt;12,"Alto (&gt;12x/ano)",IF(Z1250&gt;=4,"Medio (4-12x/ano)","Baixo (&lt;4x/ano)"))))</f>
        <v/>
      </c>
    </row>
    <row r="1251" customFormat="false" ht="15" hidden="false" customHeight="true" outlineLevel="0" collapsed="false">
      <c r="A1251" s="6"/>
      <c r="B1251" s="6"/>
      <c r="C1251" s="6"/>
      <c r="D1251" s="6"/>
      <c r="E1251" s="6"/>
      <c r="F1251" s="6"/>
      <c r="G1251" s="6"/>
      <c r="H1251" s="6"/>
      <c r="I1251" s="6"/>
      <c r="J1251" s="6"/>
      <c r="K1251" s="18"/>
      <c r="L1251" s="19" t="str">
        <f aca="false">IF(A1251="","",G1251*K1251)</f>
        <v/>
      </c>
      <c r="M1251" s="20"/>
      <c r="N1251" s="6"/>
      <c r="O1251" s="6"/>
      <c r="P1251" s="5" t="str">
        <f aca="false">IF(A1251="","",H1251/90)</f>
        <v/>
      </c>
      <c r="Q1251" s="5" t="str">
        <f aca="false">IF(A1251="","",IFERROR(INDEX(Parâmetros!$C$6:$C$10,MATCH(F1251,Parâmetros!$B$6:$B$10,0)),""))</f>
        <v/>
      </c>
      <c r="R1251" s="5" t="str">
        <f aca="false">IF(OR(A1251="",P1251="",Q1251=""),"",P1251*Q1251)</f>
        <v/>
      </c>
      <c r="S1251" s="5" t="str">
        <f aca="false">IF(R1251="","",MAX(0,R1251-G1251))</f>
        <v/>
      </c>
      <c r="T1251" s="21" t="str">
        <f aca="false">IF(S1251="","",S1251*K1251)</f>
        <v/>
      </c>
      <c r="U1251" s="5" t="str">
        <f aca="false">IF(A1251="","",IF(J1251&gt;Parâmetros!$C$14,"SIM","NAO"))</f>
        <v/>
      </c>
      <c r="V1251" s="5" t="str">
        <f aca="false">IF(B1251="","",TRIM(LEFT(B1251,IFERROR(FIND(" ",B1251)-1,LEN(B1251)))))</f>
        <v/>
      </c>
      <c r="W1251" s="22"/>
      <c r="X1251" s="5" t="str">
        <f aca="false">IF(A1251="","",IF(W1251&lt;&gt;"",W1251,V1251))</f>
        <v/>
      </c>
      <c r="Y1251" s="5" t="str">
        <f aca="false">IF(A1251="","",IF(COUNTIFS($X$2:$X$2001,X1251,$D$2:$D$2001,"&lt;&gt;"&amp;D1251,$C$2:$C$2001,C1251)&gt;0,"SIM","NAO"))</f>
        <v/>
      </c>
      <c r="Z1251" s="5" t="str">
        <f aca="false">IF(A1251="","",IF(J1251="","",IFERROR(360/J1251,"")))</f>
        <v/>
      </c>
      <c r="AA1251" s="5" t="str">
        <f aca="false">IF(A1251="","",IF(H1251=0,"Parado (sem venda 90d)",IF(Z1251&gt;12,"Alto (&gt;12x/ano)",IF(Z1251&gt;=4,"Medio (4-12x/ano)","Baixo (&lt;4x/ano)"))))</f>
        <v/>
      </c>
    </row>
    <row r="1252" customFormat="false" ht="15" hidden="false" customHeight="true" outlineLevel="0" collapsed="false">
      <c r="A1252" s="6"/>
      <c r="B1252" s="6"/>
      <c r="C1252" s="6"/>
      <c r="D1252" s="6"/>
      <c r="E1252" s="6"/>
      <c r="F1252" s="6"/>
      <c r="G1252" s="6"/>
      <c r="H1252" s="6"/>
      <c r="I1252" s="6"/>
      <c r="J1252" s="6"/>
      <c r="K1252" s="18"/>
      <c r="L1252" s="19" t="str">
        <f aca="false">IF(A1252="","",G1252*K1252)</f>
        <v/>
      </c>
      <c r="M1252" s="20"/>
      <c r="N1252" s="6"/>
      <c r="O1252" s="6"/>
      <c r="P1252" s="5" t="str">
        <f aca="false">IF(A1252="","",H1252/90)</f>
        <v/>
      </c>
      <c r="Q1252" s="5" t="str">
        <f aca="false">IF(A1252="","",IFERROR(INDEX(Parâmetros!$C$6:$C$10,MATCH(F1252,Parâmetros!$B$6:$B$10,0)),""))</f>
        <v/>
      </c>
      <c r="R1252" s="5" t="str">
        <f aca="false">IF(OR(A1252="",P1252="",Q1252=""),"",P1252*Q1252)</f>
        <v/>
      </c>
      <c r="S1252" s="5" t="str">
        <f aca="false">IF(R1252="","",MAX(0,R1252-G1252))</f>
        <v/>
      </c>
      <c r="T1252" s="21" t="str">
        <f aca="false">IF(S1252="","",S1252*K1252)</f>
        <v/>
      </c>
      <c r="U1252" s="5" t="str">
        <f aca="false">IF(A1252="","",IF(J1252&gt;Parâmetros!$C$14,"SIM","NAO"))</f>
        <v/>
      </c>
      <c r="V1252" s="5" t="str">
        <f aca="false">IF(B1252="","",TRIM(LEFT(B1252,IFERROR(FIND(" ",B1252)-1,LEN(B1252)))))</f>
        <v/>
      </c>
      <c r="W1252" s="22"/>
      <c r="X1252" s="5" t="str">
        <f aca="false">IF(A1252="","",IF(W1252&lt;&gt;"",W1252,V1252))</f>
        <v/>
      </c>
      <c r="Y1252" s="5" t="str">
        <f aca="false">IF(A1252="","",IF(COUNTIFS($X$2:$X$2001,X1252,$D$2:$D$2001,"&lt;&gt;"&amp;D1252,$C$2:$C$2001,C1252)&gt;0,"SIM","NAO"))</f>
        <v/>
      </c>
      <c r="Z1252" s="5" t="str">
        <f aca="false">IF(A1252="","",IF(J1252="","",IFERROR(360/J1252,"")))</f>
        <v/>
      </c>
      <c r="AA1252" s="5" t="str">
        <f aca="false">IF(A1252="","",IF(H1252=0,"Parado (sem venda 90d)",IF(Z1252&gt;12,"Alto (&gt;12x/ano)",IF(Z1252&gt;=4,"Medio (4-12x/ano)","Baixo (&lt;4x/ano)"))))</f>
        <v/>
      </c>
    </row>
    <row r="1253" customFormat="false" ht="15" hidden="false" customHeight="true" outlineLevel="0" collapsed="false">
      <c r="A1253" s="6"/>
      <c r="B1253" s="6"/>
      <c r="C1253" s="6"/>
      <c r="D1253" s="6"/>
      <c r="E1253" s="6"/>
      <c r="F1253" s="6"/>
      <c r="G1253" s="6"/>
      <c r="H1253" s="6"/>
      <c r="I1253" s="6"/>
      <c r="J1253" s="6"/>
      <c r="K1253" s="18"/>
      <c r="L1253" s="19" t="str">
        <f aca="false">IF(A1253="","",G1253*K1253)</f>
        <v/>
      </c>
      <c r="M1253" s="20"/>
      <c r="N1253" s="6"/>
      <c r="O1253" s="6"/>
      <c r="P1253" s="5" t="str">
        <f aca="false">IF(A1253="","",H1253/90)</f>
        <v/>
      </c>
      <c r="Q1253" s="5" t="str">
        <f aca="false">IF(A1253="","",IFERROR(INDEX(Parâmetros!$C$6:$C$10,MATCH(F1253,Parâmetros!$B$6:$B$10,0)),""))</f>
        <v/>
      </c>
      <c r="R1253" s="5" t="str">
        <f aca="false">IF(OR(A1253="",P1253="",Q1253=""),"",P1253*Q1253)</f>
        <v/>
      </c>
      <c r="S1253" s="5" t="str">
        <f aca="false">IF(R1253="","",MAX(0,R1253-G1253))</f>
        <v/>
      </c>
      <c r="T1253" s="21" t="str">
        <f aca="false">IF(S1253="","",S1253*K1253)</f>
        <v/>
      </c>
      <c r="U1253" s="5" t="str">
        <f aca="false">IF(A1253="","",IF(J1253&gt;Parâmetros!$C$14,"SIM","NAO"))</f>
        <v/>
      </c>
      <c r="V1253" s="5" t="str">
        <f aca="false">IF(B1253="","",TRIM(LEFT(B1253,IFERROR(FIND(" ",B1253)-1,LEN(B1253)))))</f>
        <v/>
      </c>
      <c r="W1253" s="22"/>
      <c r="X1253" s="5" t="str">
        <f aca="false">IF(A1253="","",IF(W1253&lt;&gt;"",W1253,V1253))</f>
        <v/>
      </c>
      <c r="Y1253" s="5" t="str">
        <f aca="false">IF(A1253="","",IF(COUNTIFS($X$2:$X$2001,X1253,$D$2:$D$2001,"&lt;&gt;"&amp;D1253,$C$2:$C$2001,C1253)&gt;0,"SIM","NAO"))</f>
        <v/>
      </c>
      <c r="Z1253" s="5" t="str">
        <f aca="false">IF(A1253="","",IF(J1253="","",IFERROR(360/J1253,"")))</f>
        <v/>
      </c>
      <c r="AA1253" s="5" t="str">
        <f aca="false">IF(A1253="","",IF(H1253=0,"Parado (sem venda 90d)",IF(Z1253&gt;12,"Alto (&gt;12x/ano)",IF(Z1253&gt;=4,"Medio (4-12x/ano)","Baixo (&lt;4x/ano)"))))</f>
        <v/>
      </c>
    </row>
    <row r="1254" customFormat="false" ht="15" hidden="false" customHeight="true" outlineLevel="0" collapsed="false">
      <c r="A1254" s="6"/>
      <c r="B1254" s="6"/>
      <c r="C1254" s="6"/>
      <c r="D1254" s="6"/>
      <c r="E1254" s="6"/>
      <c r="F1254" s="6"/>
      <c r="G1254" s="6"/>
      <c r="H1254" s="6"/>
      <c r="I1254" s="6"/>
      <c r="J1254" s="6"/>
      <c r="K1254" s="18"/>
      <c r="L1254" s="19" t="str">
        <f aca="false">IF(A1254="","",G1254*K1254)</f>
        <v/>
      </c>
      <c r="M1254" s="20"/>
      <c r="N1254" s="6"/>
      <c r="O1254" s="6"/>
      <c r="P1254" s="5" t="str">
        <f aca="false">IF(A1254="","",H1254/90)</f>
        <v/>
      </c>
      <c r="Q1254" s="5" t="str">
        <f aca="false">IF(A1254="","",IFERROR(INDEX(Parâmetros!$C$6:$C$10,MATCH(F1254,Parâmetros!$B$6:$B$10,0)),""))</f>
        <v/>
      </c>
      <c r="R1254" s="5" t="str">
        <f aca="false">IF(OR(A1254="",P1254="",Q1254=""),"",P1254*Q1254)</f>
        <v/>
      </c>
      <c r="S1254" s="5" t="str">
        <f aca="false">IF(R1254="","",MAX(0,R1254-G1254))</f>
        <v/>
      </c>
      <c r="T1254" s="21" t="str">
        <f aca="false">IF(S1254="","",S1254*K1254)</f>
        <v/>
      </c>
      <c r="U1254" s="5" t="str">
        <f aca="false">IF(A1254="","",IF(J1254&gt;Parâmetros!$C$14,"SIM","NAO"))</f>
        <v/>
      </c>
      <c r="V1254" s="5" t="str">
        <f aca="false">IF(B1254="","",TRIM(LEFT(B1254,IFERROR(FIND(" ",B1254)-1,LEN(B1254)))))</f>
        <v/>
      </c>
      <c r="W1254" s="22"/>
      <c r="X1254" s="5" t="str">
        <f aca="false">IF(A1254="","",IF(W1254&lt;&gt;"",W1254,V1254))</f>
        <v/>
      </c>
      <c r="Y1254" s="5" t="str">
        <f aca="false">IF(A1254="","",IF(COUNTIFS($X$2:$X$2001,X1254,$D$2:$D$2001,"&lt;&gt;"&amp;D1254,$C$2:$C$2001,C1254)&gt;0,"SIM","NAO"))</f>
        <v/>
      </c>
      <c r="Z1254" s="5" t="str">
        <f aca="false">IF(A1254="","",IF(J1254="","",IFERROR(360/J1254,"")))</f>
        <v/>
      </c>
      <c r="AA1254" s="5" t="str">
        <f aca="false">IF(A1254="","",IF(H1254=0,"Parado (sem venda 90d)",IF(Z1254&gt;12,"Alto (&gt;12x/ano)",IF(Z1254&gt;=4,"Medio (4-12x/ano)","Baixo (&lt;4x/ano)"))))</f>
        <v/>
      </c>
    </row>
    <row r="1255" customFormat="false" ht="15" hidden="false" customHeight="true" outlineLevel="0" collapsed="false">
      <c r="A1255" s="6"/>
      <c r="B1255" s="6"/>
      <c r="C1255" s="6"/>
      <c r="D1255" s="6"/>
      <c r="E1255" s="6"/>
      <c r="F1255" s="6"/>
      <c r="G1255" s="6"/>
      <c r="H1255" s="6"/>
      <c r="I1255" s="6"/>
      <c r="J1255" s="6"/>
      <c r="K1255" s="18"/>
      <c r="L1255" s="19" t="str">
        <f aca="false">IF(A1255="","",G1255*K1255)</f>
        <v/>
      </c>
      <c r="M1255" s="20"/>
      <c r="N1255" s="6"/>
      <c r="O1255" s="6"/>
      <c r="P1255" s="5" t="str">
        <f aca="false">IF(A1255="","",H1255/90)</f>
        <v/>
      </c>
      <c r="Q1255" s="5" t="str">
        <f aca="false">IF(A1255="","",IFERROR(INDEX(Parâmetros!$C$6:$C$10,MATCH(F1255,Parâmetros!$B$6:$B$10,0)),""))</f>
        <v/>
      </c>
      <c r="R1255" s="5" t="str">
        <f aca="false">IF(OR(A1255="",P1255="",Q1255=""),"",P1255*Q1255)</f>
        <v/>
      </c>
      <c r="S1255" s="5" t="str">
        <f aca="false">IF(R1255="","",MAX(0,R1255-G1255))</f>
        <v/>
      </c>
      <c r="T1255" s="21" t="str">
        <f aca="false">IF(S1255="","",S1255*K1255)</f>
        <v/>
      </c>
      <c r="U1255" s="5" t="str">
        <f aca="false">IF(A1255="","",IF(J1255&gt;Parâmetros!$C$14,"SIM","NAO"))</f>
        <v/>
      </c>
      <c r="V1255" s="5" t="str">
        <f aca="false">IF(B1255="","",TRIM(LEFT(B1255,IFERROR(FIND(" ",B1255)-1,LEN(B1255)))))</f>
        <v/>
      </c>
      <c r="W1255" s="22"/>
      <c r="X1255" s="5" t="str">
        <f aca="false">IF(A1255="","",IF(W1255&lt;&gt;"",W1255,V1255))</f>
        <v/>
      </c>
      <c r="Y1255" s="5" t="str">
        <f aca="false">IF(A1255="","",IF(COUNTIFS($X$2:$X$2001,X1255,$D$2:$D$2001,"&lt;&gt;"&amp;D1255,$C$2:$C$2001,C1255)&gt;0,"SIM","NAO"))</f>
        <v/>
      </c>
      <c r="Z1255" s="5" t="str">
        <f aca="false">IF(A1255="","",IF(J1255="","",IFERROR(360/J1255,"")))</f>
        <v/>
      </c>
      <c r="AA1255" s="5" t="str">
        <f aca="false">IF(A1255="","",IF(H1255=0,"Parado (sem venda 90d)",IF(Z1255&gt;12,"Alto (&gt;12x/ano)",IF(Z1255&gt;=4,"Medio (4-12x/ano)","Baixo (&lt;4x/ano)"))))</f>
        <v/>
      </c>
    </row>
    <row r="1256" customFormat="false" ht="15" hidden="false" customHeight="true" outlineLevel="0" collapsed="false">
      <c r="A1256" s="6"/>
      <c r="B1256" s="6"/>
      <c r="C1256" s="6"/>
      <c r="D1256" s="6"/>
      <c r="E1256" s="6"/>
      <c r="F1256" s="6"/>
      <c r="G1256" s="6"/>
      <c r="H1256" s="6"/>
      <c r="I1256" s="6"/>
      <c r="J1256" s="6"/>
      <c r="K1256" s="18"/>
      <c r="L1256" s="19" t="str">
        <f aca="false">IF(A1256="","",G1256*K1256)</f>
        <v/>
      </c>
      <c r="M1256" s="20"/>
      <c r="N1256" s="6"/>
      <c r="O1256" s="6"/>
      <c r="P1256" s="5" t="str">
        <f aca="false">IF(A1256="","",H1256/90)</f>
        <v/>
      </c>
      <c r="Q1256" s="5" t="str">
        <f aca="false">IF(A1256="","",IFERROR(INDEX(Parâmetros!$C$6:$C$10,MATCH(F1256,Parâmetros!$B$6:$B$10,0)),""))</f>
        <v/>
      </c>
      <c r="R1256" s="5" t="str">
        <f aca="false">IF(OR(A1256="",P1256="",Q1256=""),"",P1256*Q1256)</f>
        <v/>
      </c>
      <c r="S1256" s="5" t="str">
        <f aca="false">IF(R1256="","",MAX(0,R1256-G1256))</f>
        <v/>
      </c>
      <c r="T1256" s="21" t="str">
        <f aca="false">IF(S1256="","",S1256*K1256)</f>
        <v/>
      </c>
      <c r="U1256" s="5" t="str">
        <f aca="false">IF(A1256="","",IF(J1256&gt;Parâmetros!$C$14,"SIM","NAO"))</f>
        <v/>
      </c>
      <c r="V1256" s="5" t="str">
        <f aca="false">IF(B1256="","",TRIM(LEFT(B1256,IFERROR(FIND(" ",B1256)-1,LEN(B1256)))))</f>
        <v/>
      </c>
      <c r="W1256" s="22"/>
      <c r="X1256" s="5" t="str">
        <f aca="false">IF(A1256="","",IF(W1256&lt;&gt;"",W1256,V1256))</f>
        <v/>
      </c>
      <c r="Y1256" s="5" t="str">
        <f aca="false">IF(A1256="","",IF(COUNTIFS($X$2:$X$2001,X1256,$D$2:$D$2001,"&lt;&gt;"&amp;D1256,$C$2:$C$2001,C1256)&gt;0,"SIM","NAO"))</f>
        <v/>
      </c>
      <c r="Z1256" s="5" t="str">
        <f aca="false">IF(A1256="","",IF(J1256="","",IFERROR(360/J1256,"")))</f>
        <v/>
      </c>
      <c r="AA1256" s="5" t="str">
        <f aca="false">IF(A1256="","",IF(H1256=0,"Parado (sem venda 90d)",IF(Z1256&gt;12,"Alto (&gt;12x/ano)",IF(Z1256&gt;=4,"Medio (4-12x/ano)","Baixo (&lt;4x/ano)"))))</f>
        <v/>
      </c>
    </row>
    <row r="1257" customFormat="false" ht="15" hidden="false" customHeight="true" outlineLevel="0" collapsed="false">
      <c r="A1257" s="6"/>
      <c r="B1257" s="6"/>
      <c r="C1257" s="6"/>
      <c r="D1257" s="6"/>
      <c r="E1257" s="6"/>
      <c r="F1257" s="6"/>
      <c r="G1257" s="6"/>
      <c r="H1257" s="6"/>
      <c r="I1257" s="6"/>
      <c r="J1257" s="6"/>
      <c r="K1257" s="18"/>
      <c r="L1257" s="19" t="str">
        <f aca="false">IF(A1257="","",G1257*K1257)</f>
        <v/>
      </c>
      <c r="M1257" s="20"/>
      <c r="N1257" s="6"/>
      <c r="O1257" s="6"/>
      <c r="P1257" s="5" t="str">
        <f aca="false">IF(A1257="","",H1257/90)</f>
        <v/>
      </c>
      <c r="Q1257" s="5" t="str">
        <f aca="false">IF(A1257="","",IFERROR(INDEX(Parâmetros!$C$6:$C$10,MATCH(F1257,Parâmetros!$B$6:$B$10,0)),""))</f>
        <v/>
      </c>
      <c r="R1257" s="5" t="str">
        <f aca="false">IF(OR(A1257="",P1257="",Q1257=""),"",P1257*Q1257)</f>
        <v/>
      </c>
      <c r="S1257" s="5" t="str">
        <f aca="false">IF(R1257="","",MAX(0,R1257-G1257))</f>
        <v/>
      </c>
      <c r="T1257" s="21" t="str">
        <f aca="false">IF(S1257="","",S1257*K1257)</f>
        <v/>
      </c>
      <c r="U1257" s="5" t="str">
        <f aca="false">IF(A1257="","",IF(J1257&gt;Parâmetros!$C$14,"SIM","NAO"))</f>
        <v/>
      </c>
      <c r="V1257" s="5" t="str">
        <f aca="false">IF(B1257="","",TRIM(LEFT(B1257,IFERROR(FIND(" ",B1257)-1,LEN(B1257)))))</f>
        <v/>
      </c>
      <c r="W1257" s="22"/>
      <c r="X1257" s="5" t="str">
        <f aca="false">IF(A1257="","",IF(W1257&lt;&gt;"",W1257,V1257))</f>
        <v/>
      </c>
      <c r="Y1257" s="5" t="str">
        <f aca="false">IF(A1257="","",IF(COUNTIFS($X$2:$X$2001,X1257,$D$2:$D$2001,"&lt;&gt;"&amp;D1257,$C$2:$C$2001,C1257)&gt;0,"SIM","NAO"))</f>
        <v/>
      </c>
      <c r="Z1257" s="5" t="str">
        <f aca="false">IF(A1257="","",IF(J1257="","",IFERROR(360/J1257,"")))</f>
        <v/>
      </c>
      <c r="AA1257" s="5" t="str">
        <f aca="false">IF(A1257="","",IF(H1257=0,"Parado (sem venda 90d)",IF(Z1257&gt;12,"Alto (&gt;12x/ano)",IF(Z1257&gt;=4,"Medio (4-12x/ano)","Baixo (&lt;4x/ano)"))))</f>
        <v/>
      </c>
    </row>
    <row r="1258" customFormat="false" ht="15" hidden="false" customHeight="true" outlineLevel="0" collapsed="false">
      <c r="A1258" s="6"/>
      <c r="B1258" s="6"/>
      <c r="C1258" s="6"/>
      <c r="D1258" s="6"/>
      <c r="E1258" s="6"/>
      <c r="F1258" s="6"/>
      <c r="G1258" s="6"/>
      <c r="H1258" s="6"/>
      <c r="I1258" s="6"/>
      <c r="J1258" s="6"/>
      <c r="K1258" s="18"/>
      <c r="L1258" s="19" t="str">
        <f aca="false">IF(A1258="","",G1258*K1258)</f>
        <v/>
      </c>
      <c r="M1258" s="20"/>
      <c r="N1258" s="6"/>
      <c r="O1258" s="6"/>
      <c r="P1258" s="5" t="str">
        <f aca="false">IF(A1258="","",H1258/90)</f>
        <v/>
      </c>
      <c r="Q1258" s="5" t="str">
        <f aca="false">IF(A1258="","",IFERROR(INDEX(Parâmetros!$C$6:$C$10,MATCH(F1258,Parâmetros!$B$6:$B$10,0)),""))</f>
        <v/>
      </c>
      <c r="R1258" s="5" t="str">
        <f aca="false">IF(OR(A1258="",P1258="",Q1258=""),"",P1258*Q1258)</f>
        <v/>
      </c>
      <c r="S1258" s="5" t="str">
        <f aca="false">IF(R1258="","",MAX(0,R1258-G1258))</f>
        <v/>
      </c>
      <c r="T1258" s="21" t="str">
        <f aca="false">IF(S1258="","",S1258*K1258)</f>
        <v/>
      </c>
      <c r="U1258" s="5" t="str">
        <f aca="false">IF(A1258="","",IF(J1258&gt;Parâmetros!$C$14,"SIM","NAO"))</f>
        <v/>
      </c>
      <c r="V1258" s="5" t="str">
        <f aca="false">IF(B1258="","",TRIM(LEFT(B1258,IFERROR(FIND(" ",B1258)-1,LEN(B1258)))))</f>
        <v/>
      </c>
      <c r="W1258" s="22"/>
      <c r="X1258" s="5" t="str">
        <f aca="false">IF(A1258="","",IF(W1258&lt;&gt;"",W1258,V1258))</f>
        <v/>
      </c>
      <c r="Y1258" s="5" t="str">
        <f aca="false">IF(A1258="","",IF(COUNTIFS($X$2:$X$2001,X1258,$D$2:$D$2001,"&lt;&gt;"&amp;D1258,$C$2:$C$2001,C1258)&gt;0,"SIM","NAO"))</f>
        <v/>
      </c>
      <c r="Z1258" s="5" t="str">
        <f aca="false">IF(A1258="","",IF(J1258="","",IFERROR(360/J1258,"")))</f>
        <v/>
      </c>
      <c r="AA1258" s="5" t="str">
        <f aca="false">IF(A1258="","",IF(H1258=0,"Parado (sem venda 90d)",IF(Z1258&gt;12,"Alto (&gt;12x/ano)",IF(Z1258&gt;=4,"Medio (4-12x/ano)","Baixo (&lt;4x/ano)"))))</f>
        <v/>
      </c>
    </row>
    <row r="1259" customFormat="false" ht="15" hidden="false" customHeight="true" outlineLevel="0" collapsed="false">
      <c r="A1259" s="6"/>
      <c r="B1259" s="6"/>
      <c r="C1259" s="6"/>
      <c r="D1259" s="6"/>
      <c r="E1259" s="6"/>
      <c r="F1259" s="6"/>
      <c r="G1259" s="6"/>
      <c r="H1259" s="6"/>
      <c r="I1259" s="6"/>
      <c r="J1259" s="6"/>
      <c r="K1259" s="18"/>
      <c r="L1259" s="19" t="str">
        <f aca="false">IF(A1259="","",G1259*K1259)</f>
        <v/>
      </c>
      <c r="M1259" s="20"/>
      <c r="N1259" s="6"/>
      <c r="O1259" s="6"/>
      <c r="P1259" s="5" t="str">
        <f aca="false">IF(A1259="","",H1259/90)</f>
        <v/>
      </c>
      <c r="Q1259" s="5" t="str">
        <f aca="false">IF(A1259="","",IFERROR(INDEX(Parâmetros!$C$6:$C$10,MATCH(F1259,Parâmetros!$B$6:$B$10,0)),""))</f>
        <v/>
      </c>
      <c r="R1259" s="5" t="str">
        <f aca="false">IF(OR(A1259="",P1259="",Q1259=""),"",P1259*Q1259)</f>
        <v/>
      </c>
      <c r="S1259" s="5" t="str">
        <f aca="false">IF(R1259="","",MAX(0,R1259-G1259))</f>
        <v/>
      </c>
      <c r="T1259" s="21" t="str">
        <f aca="false">IF(S1259="","",S1259*K1259)</f>
        <v/>
      </c>
      <c r="U1259" s="5" t="str">
        <f aca="false">IF(A1259="","",IF(J1259&gt;Parâmetros!$C$14,"SIM","NAO"))</f>
        <v/>
      </c>
      <c r="V1259" s="5" t="str">
        <f aca="false">IF(B1259="","",TRIM(LEFT(B1259,IFERROR(FIND(" ",B1259)-1,LEN(B1259)))))</f>
        <v/>
      </c>
      <c r="W1259" s="22"/>
      <c r="X1259" s="5" t="str">
        <f aca="false">IF(A1259="","",IF(W1259&lt;&gt;"",W1259,V1259))</f>
        <v/>
      </c>
      <c r="Y1259" s="5" t="str">
        <f aca="false">IF(A1259="","",IF(COUNTIFS($X$2:$X$2001,X1259,$D$2:$D$2001,"&lt;&gt;"&amp;D1259,$C$2:$C$2001,C1259)&gt;0,"SIM","NAO"))</f>
        <v/>
      </c>
      <c r="Z1259" s="5" t="str">
        <f aca="false">IF(A1259="","",IF(J1259="","",IFERROR(360/J1259,"")))</f>
        <v/>
      </c>
      <c r="AA1259" s="5" t="str">
        <f aca="false">IF(A1259="","",IF(H1259=0,"Parado (sem venda 90d)",IF(Z1259&gt;12,"Alto (&gt;12x/ano)",IF(Z1259&gt;=4,"Medio (4-12x/ano)","Baixo (&lt;4x/ano)"))))</f>
        <v/>
      </c>
    </row>
    <row r="1260" customFormat="false" ht="15" hidden="false" customHeight="true" outlineLevel="0" collapsed="false">
      <c r="A1260" s="6"/>
      <c r="B1260" s="6"/>
      <c r="C1260" s="6"/>
      <c r="D1260" s="6"/>
      <c r="E1260" s="6"/>
      <c r="F1260" s="6"/>
      <c r="G1260" s="6"/>
      <c r="H1260" s="6"/>
      <c r="I1260" s="6"/>
      <c r="J1260" s="6"/>
      <c r="K1260" s="18"/>
      <c r="L1260" s="19" t="str">
        <f aca="false">IF(A1260="","",G1260*K1260)</f>
        <v/>
      </c>
      <c r="M1260" s="20"/>
      <c r="N1260" s="6"/>
      <c r="O1260" s="6"/>
      <c r="P1260" s="5" t="str">
        <f aca="false">IF(A1260="","",H1260/90)</f>
        <v/>
      </c>
      <c r="Q1260" s="5" t="str">
        <f aca="false">IF(A1260="","",IFERROR(INDEX(Parâmetros!$C$6:$C$10,MATCH(F1260,Parâmetros!$B$6:$B$10,0)),""))</f>
        <v/>
      </c>
      <c r="R1260" s="5" t="str">
        <f aca="false">IF(OR(A1260="",P1260="",Q1260=""),"",P1260*Q1260)</f>
        <v/>
      </c>
      <c r="S1260" s="5" t="str">
        <f aca="false">IF(R1260="","",MAX(0,R1260-G1260))</f>
        <v/>
      </c>
      <c r="T1260" s="21" t="str">
        <f aca="false">IF(S1260="","",S1260*K1260)</f>
        <v/>
      </c>
      <c r="U1260" s="5" t="str">
        <f aca="false">IF(A1260="","",IF(J1260&gt;Parâmetros!$C$14,"SIM","NAO"))</f>
        <v/>
      </c>
      <c r="V1260" s="5" t="str">
        <f aca="false">IF(B1260="","",TRIM(LEFT(B1260,IFERROR(FIND(" ",B1260)-1,LEN(B1260)))))</f>
        <v/>
      </c>
      <c r="W1260" s="22"/>
      <c r="X1260" s="5" t="str">
        <f aca="false">IF(A1260="","",IF(W1260&lt;&gt;"",W1260,V1260))</f>
        <v/>
      </c>
      <c r="Y1260" s="5" t="str">
        <f aca="false">IF(A1260="","",IF(COUNTIFS($X$2:$X$2001,X1260,$D$2:$D$2001,"&lt;&gt;"&amp;D1260,$C$2:$C$2001,C1260)&gt;0,"SIM","NAO"))</f>
        <v/>
      </c>
      <c r="Z1260" s="5" t="str">
        <f aca="false">IF(A1260="","",IF(J1260="","",IFERROR(360/J1260,"")))</f>
        <v/>
      </c>
      <c r="AA1260" s="5" t="str">
        <f aca="false">IF(A1260="","",IF(H1260=0,"Parado (sem venda 90d)",IF(Z1260&gt;12,"Alto (&gt;12x/ano)",IF(Z1260&gt;=4,"Medio (4-12x/ano)","Baixo (&lt;4x/ano)"))))</f>
        <v/>
      </c>
    </row>
    <row r="1261" customFormat="false" ht="15" hidden="false" customHeight="true" outlineLevel="0" collapsed="false">
      <c r="A1261" s="6"/>
      <c r="B1261" s="6"/>
      <c r="C1261" s="6"/>
      <c r="D1261" s="6"/>
      <c r="E1261" s="6"/>
      <c r="F1261" s="6"/>
      <c r="G1261" s="6"/>
      <c r="H1261" s="6"/>
      <c r="I1261" s="6"/>
      <c r="J1261" s="6"/>
      <c r="K1261" s="18"/>
      <c r="L1261" s="19" t="str">
        <f aca="false">IF(A1261="","",G1261*K1261)</f>
        <v/>
      </c>
      <c r="M1261" s="20"/>
      <c r="N1261" s="6"/>
      <c r="O1261" s="6"/>
      <c r="P1261" s="5" t="str">
        <f aca="false">IF(A1261="","",H1261/90)</f>
        <v/>
      </c>
      <c r="Q1261" s="5" t="str">
        <f aca="false">IF(A1261="","",IFERROR(INDEX(Parâmetros!$C$6:$C$10,MATCH(F1261,Parâmetros!$B$6:$B$10,0)),""))</f>
        <v/>
      </c>
      <c r="R1261" s="5" t="str">
        <f aca="false">IF(OR(A1261="",P1261="",Q1261=""),"",P1261*Q1261)</f>
        <v/>
      </c>
      <c r="S1261" s="5" t="str">
        <f aca="false">IF(R1261="","",MAX(0,R1261-G1261))</f>
        <v/>
      </c>
      <c r="T1261" s="21" t="str">
        <f aca="false">IF(S1261="","",S1261*K1261)</f>
        <v/>
      </c>
      <c r="U1261" s="5" t="str">
        <f aca="false">IF(A1261="","",IF(J1261&gt;Parâmetros!$C$14,"SIM","NAO"))</f>
        <v/>
      </c>
      <c r="V1261" s="5" t="str">
        <f aca="false">IF(B1261="","",TRIM(LEFT(B1261,IFERROR(FIND(" ",B1261)-1,LEN(B1261)))))</f>
        <v/>
      </c>
      <c r="W1261" s="22"/>
      <c r="X1261" s="5" t="str">
        <f aca="false">IF(A1261="","",IF(W1261&lt;&gt;"",W1261,V1261))</f>
        <v/>
      </c>
      <c r="Y1261" s="5" t="str">
        <f aca="false">IF(A1261="","",IF(COUNTIFS($X$2:$X$2001,X1261,$D$2:$D$2001,"&lt;&gt;"&amp;D1261,$C$2:$C$2001,C1261)&gt;0,"SIM","NAO"))</f>
        <v/>
      </c>
      <c r="Z1261" s="5" t="str">
        <f aca="false">IF(A1261="","",IF(J1261="","",IFERROR(360/J1261,"")))</f>
        <v/>
      </c>
      <c r="AA1261" s="5" t="str">
        <f aca="false">IF(A1261="","",IF(H1261=0,"Parado (sem venda 90d)",IF(Z1261&gt;12,"Alto (&gt;12x/ano)",IF(Z1261&gt;=4,"Medio (4-12x/ano)","Baixo (&lt;4x/ano)"))))</f>
        <v/>
      </c>
    </row>
    <row r="1262" customFormat="false" ht="15" hidden="false" customHeight="true" outlineLevel="0" collapsed="false">
      <c r="A1262" s="6"/>
      <c r="B1262" s="6"/>
      <c r="C1262" s="6"/>
      <c r="D1262" s="6"/>
      <c r="E1262" s="6"/>
      <c r="F1262" s="6"/>
      <c r="G1262" s="6"/>
      <c r="H1262" s="6"/>
      <c r="I1262" s="6"/>
      <c r="J1262" s="6"/>
      <c r="K1262" s="18"/>
      <c r="L1262" s="19" t="str">
        <f aca="false">IF(A1262="","",G1262*K1262)</f>
        <v/>
      </c>
      <c r="M1262" s="20"/>
      <c r="N1262" s="6"/>
      <c r="O1262" s="6"/>
      <c r="P1262" s="5" t="str">
        <f aca="false">IF(A1262="","",H1262/90)</f>
        <v/>
      </c>
      <c r="Q1262" s="5" t="str">
        <f aca="false">IF(A1262="","",IFERROR(INDEX(Parâmetros!$C$6:$C$10,MATCH(F1262,Parâmetros!$B$6:$B$10,0)),""))</f>
        <v/>
      </c>
      <c r="R1262" s="5" t="str">
        <f aca="false">IF(OR(A1262="",P1262="",Q1262=""),"",P1262*Q1262)</f>
        <v/>
      </c>
      <c r="S1262" s="5" t="str">
        <f aca="false">IF(R1262="","",MAX(0,R1262-G1262))</f>
        <v/>
      </c>
      <c r="T1262" s="21" t="str">
        <f aca="false">IF(S1262="","",S1262*K1262)</f>
        <v/>
      </c>
      <c r="U1262" s="5" t="str">
        <f aca="false">IF(A1262="","",IF(J1262&gt;Parâmetros!$C$14,"SIM","NAO"))</f>
        <v/>
      </c>
      <c r="V1262" s="5" t="str">
        <f aca="false">IF(B1262="","",TRIM(LEFT(B1262,IFERROR(FIND(" ",B1262)-1,LEN(B1262)))))</f>
        <v/>
      </c>
      <c r="W1262" s="22"/>
      <c r="X1262" s="5" t="str">
        <f aca="false">IF(A1262="","",IF(W1262&lt;&gt;"",W1262,V1262))</f>
        <v/>
      </c>
      <c r="Y1262" s="5" t="str">
        <f aca="false">IF(A1262="","",IF(COUNTIFS($X$2:$X$2001,X1262,$D$2:$D$2001,"&lt;&gt;"&amp;D1262,$C$2:$C$2001,C1262)&gt;0,"SIM","NAO"))</f>
        <v/>
      </c>
      <c r="Z1262" s="5" t="str">
        <f aca="false">IF(A1262="","",IF(J1262="","",IFERROR(360/J1262,"")))</f>
        <v/>
      </c>
      <c r="AA1262" s="5" t="str">
        <f aca="false">IF(A1262="","",IF(H1262=0,"Parado (sem venda 90d)",IF(Z1262&gt;12,"Alto (&gt;12x/ano)",IF(Z1262&gt;=4,"Medio (4-12x/ano)","Baixo (&lt;4x/ano)"))))</f>
        <v/>
      </c>
    </row>
    <row r="1263" customFormat="false" ht="15" hidden="false" customHeight="true" outlineLevel="0" collapsed="false">
      <c r="A1263" s="6"/>
      <c r="B1263" s="6"/>
      <c r="C1263" s="6"/>
      <c r="D1263" s="6"/>
      <c r="E1263" s="6"/>
      <c r="F1263" s="6"/>
      <c r="G1263" s="6"/>
      <c r="H1263" s="6"/>
      <c r="I1263" s="6"/>
      <c r="J1263" s="6"/>
      <c r="K1263" s="18"/>
      <c r="L1263" s="19" t="str">
        <f aca="false">IF(A1263="","",G1263*K1263)</f>
        <v/>
      </c>
      <c r="M1263" s="20"/>
      <c r="N1263" s="6"/>
      <c r="O1263" s="6"/>
      <c r="P1263" s="5" t="str">
        <f aca="false">IF(A1263="","",H1263/90)</f>
        <v/>
      </c>
      <c r="Q1263" s="5" t="str">
        <f aca="false">IF(A1263="","",IFERROR(INDEX(Parâmetros!$C$6:$C$10,MATCH(F1263,Parâmetros!$B$6:$B$10,0)),""))</f>
        <v/>
      </c>
      <c r="R1263" s="5" t="str">
        <f aca="false">IF(OR(A1263="",P1263="",Q1263=""),"",P1263*Q1263)</f>
        <v/>
      </c>
      <c r="S1263" s="5" t="str">
        <f aca="false">IF(R1263="","",MAX(0,R1263-G1263))</f>
        <v/>
      </c>
      <c r="T1263" s="21" t="str">
        <f aca="false">IF(S1263="","",S1263*K1263)</f>
        <v/>
      </c>
      <c r="U1263" s="5" t="str">
        <f aca="false">IF(A1263="","",IF(J1263&gt;Parâmetros!$C$14,"SIM","NAO"))</f>
        <v/>
      </c>
      <c r="V1263" s="5" t="str">
        <f aca="false">IF(B1263="","",TRIM(LEFT(B1263,IFERROR(FIND(" ",B1263)-1,LEN(B1263)))))</f>
        <v/>
      </c>
      <c r="W1263" s="22"/>
      <c r="X1263" s="5" t="str">
        <f aca="false">IF(A1263="","",IF(W1263&lt;&gt;"",W1263,V1263))</f>
        <v/>
      </c>
      <c r="Y1263" s="5" t="str">
        <f aca="false">IF(A1263="","",IF(COUNTIFS($X$2:$X$2001,X1263,$D$2:$D$2001,"&lt;&gt;"&amp;D1263,$C$2:$C$2001,C1263)&gt;0,"SIM","NAO"))</f>
        <v/>
      </c>
      <c r="Z1263" s="5" t="str">
        <f aca="false">IF(A1263="","",IF(J1263="","",IFERROR(360/J1263,"")))</f>
        <v/>
      </c>
      <c r="AA1263" s="5" t="str">
        <f aca="false">IF(A1263="","",IF(H1263=0,"Parado (sem venda 90d)",IF(Z1263&gt;12,"Alto (&gt;12x/ano)",IF(Z1263&gt;=4,"Medio (4-12x/ano)","Baixo (&lt;4x/ano)"))))</f>
        <v/>
      </c>
    </row>
    <row r="1264" customFormat="false" ht="15" hidden="false" customHeight="true" outlineLevel="0" collapsed="false">
      <c r="A1264" s="6"/>
      <c r="B1264" s="6"/>
      <c r="C1264" s="6"/>
      <c r="D1264" s="6"/>
      <c r="E1264" s="6"/>
      <c r="F1264" s="6"/>
      <c r="G1264" s="6"/>
      <c r="H1264" s="6"/>
      <c r="I1264" s="6"/>
      <c r="J1264" s="6"/>
      <c r="K1264" s="18"/>
      <c r="L1264" s="19" t="str">
        <f aca="false">IF(A1264="","",G1264*K1264)</f>
        <v/>
      </c>
      <c r="M1264" s="20"/>
      <c r="N1264" s="6"/>
      <c r="O1264" s="6"/>
      <c r="P1264" s="5" t="str">
        <f aca="false">IF(A1264="","",H1264/90)</f>
        <v/>
      </c>
      <c r="Q1264" s="5" t="str">
        <f aca="false">IF(A1264="","",IFERROR(INDEX(Parâmetros!$C$6:$C$10,MATCH(F1264,Parâmetros!$B$6:$B$10,0)),""))</f>
        <v/>
      </c>
      <c r="R1264" s="5" t="str">
        <f aca="false">IF(OR(A1264="",P1264="",Q1264=""),"",P1264*Q1264)</f>
        <v/>
      </c>
      <c r="S1264" s="5" t="str">
        <f aca="false">IF(R1264="","",MAX(0,R1264-G1264))</f>
        <v/>
      </c>
      <c r="T1264" s="21" t="str">
        <f aca="false">IF(S1264="","",S1264*K1264)</f>
        <v/>
      </c>
      <c r="U1264" s="5" t="str">
        <f aca="false">IF(A1264="","",IF(J1264&gt;Parâmetros!$C$14,"SIM","NAO"))</f>
        <v/>
      </c>
      <c r="V1264" s="5" t="str">
        <f aca="false">IF(B1264="","",TRIM(LEFT(B1264,IFERROR(FIND(" ",B1264)-1,LEN(B1264)))))</f>
        <v/>
      </c>
      <c r="W1264" s="22"/>
      <c r="X1264" s="5" t="str">
        <f aca="false">IF(A1264="","",IF(W1264&lt;&gt;"",W1264,V1264))</f>
        <v/>
      </c>
      <c r="Y1264" s="5" t="str">
        <f aca="false">IF(A1264="","",IF(COUNTIFS($X$2:$X$2001,X1264,$D$2:$D$2001,"&lt;&gt;"&amp;D1264,$C$2:$C$2001,C1264)&gt;0,"SIM","NAO"))</f>
        <v/>
      </c>
      <c r="Z1264" s="5" t="str">
        <f aca="false">IF(A1264="","",IF(J1264="","",IFERROR(360/J1264,"")))</f>
        <v/>
      </c>
      <c r="AA1264" s="5" t="str">
        <f aca="false">IF(A1264="","",IF(H1264=0,"Parado (sem venda 90d)",IF(Z1264&gt;12,"Alto (&gt;12x/ano)",IF(Z1264&gt;=4,"Medio (4-12x/ano)","Baixo (&lt;4x/ano)"))))</f>
        <v/>
      </c>
    </row>
    <row r="1265" customFormat="false" ht="15" hidden="false" customHeight="true" outlineLevel="0" collapsed="false">
      <c r="A1265" s="6"/>
      <c r="B1265" s="6"/>
      <c r="C1265" s="6"/>
      <c r="D1265" s="6"/>
      <c r="E1265" s="6"/>
      <c r="F1265" s="6"/>
      <c r="G1265" s="6"/>
      <c r="H1265" s="6"/>
      <c r="I1265" s="6"/>
      <c r="J1265" s="6"/>
      <c r="K1265" s="18"/>
      <c r="L1265" s="19" t="str">
        <f aca="false">IF(A1265="","",G1265*K1265)</f>
        <v/>
      </c>
      <c r="M1265" s="20"/>
      <c r="N1265" s="6"/>
      <c r="O1265" s="6"/>
      <c r="P1265" s="5" t="str">
        <f aca="false">IF(A1265="","",H1265/90)</f>
        <v/>
      </c>
      <c r="Q1265" s="5" t="str">
        <f aca="false">IF(A1265="","",IFERROR(INDEX(Parâmetros!$C$6:$C$10,MATCH(F1265,Parâmetros!$B$6:$B$10,0)),""))</f>
        <v/>
      </c>
      <c r="R1265" s="5" t="str">
        <f aca="false">IF(OR(A1265="",P1265="",Q1265=""),"",P1265*Q1265)</f>
        <v/>
      </c>
      <c r="S1265" s="5" t="str">
        <f aca="false">IF(R1265="","",MAX(0,R1265-G1265))</f>
        <v/>
      </c>
      <c r="T1265" s="21" t="str">
        <f aca="false">IF(S1265="","",S1265*K1265)</f>
        <v/>
      </c>
      <c r="U1265" s="5" t="str">
        <f aca="false">IF(A1265="","",IF(J1265&gt;Parâmetros!$C$14,"SIM","NAO"))</f>
        <v/>
      </c>
      <c r="V1265" s="5" t="str">
        <f aca="false">IF(B1265="","",TRIM(LEFT(B1265,IFERROR(FIND(" ",B1265)-1,LEN(B1265)))))</f>
        <v/>
      </c>
      <c r="W1265" s="22"/>
      <c r="X1265" s="5" t="str">
        <f aca="false">IF(A1265="","",IF(W1265&lt;&gt;"",W1265,V1265))</f>
        <v/>
      </c>
      <c r="Y1265" s="5" t="str">
        <f aca="false">IF(A1265="","",IF(COUNTIFS($X$2:$X$2001,X1265,$D$2:$D$2001,"&lt;&gt;"&amp;D1265,$C$2:$C$2001,C1265)&gt;0,"SIM","NAO"))</f>
        <v/>
      </c>
      <c r="Z1265" s="5" t="str">
        <f aca="false">IF(A1265="","",IF(J1265="","",IFERROR(360/J1265,"")))</f>
        <v/>
      </c>
      <c r="AA1265" s="5" t="str">
        <f aca="false">IF(A1265="","",IF(H1265=0,"Parado (sem venda 90d)",IF(Z1265&gt;12,"Alto (&gt;12x/ano)",IF(Z1265&gt;=4,"Medio (4-12x/ano)","Baixo (&lt;4x/ano)"))))</f>
        <v/>
      </c>
    </row>
    <row r="1266" customFormat="false" ht="15" hidden="false" customHeight="true" outlineLevel="0" collapsed="false">
      <c r="A1266" s="6"/>
      <c r="B1266" s="6"/>
      <c r="C1266" s="6"/>
      <c r="D1266" s="6"/>
      <c r="E1266" s="6"/>
      <c r="F1266" s="6"/>
      <c r="G1266" s="6"/>
      <c r="H1266" s="6"/>
      <c r="I1266" s="6"/>
      <c r="J1266" s="6"/>
      <c r="K1266" s="18"/>
      <c r="L1266" s="19" t="str">
        <f aca="false">IF(A1266="","",G1266*K1266)</f>
        <v/>
      </c>
      <c r="M1266" s="20"/>
      <c r="N1266" s="6"/>
      <c r="O1266" s="6"/>
      <c r="P1266" s="5" t="str">
        <f aca="false">IF(A1266="","",H1266/90)</f>
        <v/>
      </c>
      <c r="Q1266" s="5" t="str">
        <f aca="false">IF(A1266="","",IFERROR(INDEX(Parâmetros!$C$6:$C$10,MATCH(F1266,Parâmetros!$B$6:$B$10,0)),""))</f>
        <v/>
      </c>
      <c r="R1266" s="5" t="str">
        <f aca="false">IF(OR(A1266="",P1266="",Q1266=""),"",P1266*Q1266)</f>
        <v/>
      </c>
      <c r="S1266" s="5" t="str">
        <f aca="false">IF(R1266="","",MAX(0,R1266-G1266))</f>
        <v/>
      </c>
      <c r="T1266" s="21" t="str">
        <f aca="false">IF(S1266="","",S1266*K1266)</f>
        <v/>
      </c>
      <c r="U1266" s="5" t="str">
        <f aca="false">IF(A1266="","",IF(J1266&gt;Parâmetros!$C$14,"SIM","NAO"))</f>
        <v/>
      </c>
      <c r="V1266" s="5" t="str">
        <f aca="false">IF(B1266="","",TRIM(LEFT(B1266,IFERROR(FIND(" ",B1266)-1,LEN(B1266)))))</f>
        <v/>
      </c>
      <c r="W1266" s="22"/>
      <c r="X1266" s="5" t="str">
        <f aca="false">IF(A1266="","",IF(W1266&lt;&gt;"",W1266,V1266))</f>
        <v/>
      </c>
      <c r="Y1266" s="5" t="str">
        <f aca="false">IF(A1266="","",IF(COUNTIFS($X$2:$X$2001,X1266,$D$2:$D$2001,"&lt;&gt;"&amp;D1266,$C$2:$C$2001,C1266)&gt;0,"SIM","NAO"))</f>
        <v/>
      </c>
      <c r="Z1266" s="5" t="str">
        <f aca="false">IF(A1266="","",IF(J1266="","",IFERROR(360/J1266,"")))</f>
        <v/>
      </c>
      <c r="AA1266" s="5" t="str">
        <f aca="false">IF(A1266="","",IF(H1266=0,"Parado (sem venda 90d)",IF(Z1266&gt;12,"Alto (&gt;12x/ano)",IF(Z1266&gt;=4,"Medio (4-12x/ano)","Baixo (&lt;4x/ano)"))))</f>
        <v/>
      </c>
    </row>
    <row r="1267" customFormat="false" ht="15" hidden="false" customHeight="true" outlineLevel="0" collapsed="false">
      <c r="A1267" s="6"/>
      <c r="B1267" s="6"/>
      <c r="C1267" s="6"/>
      <c r="D1267" s="6"/>
      <c r="E1267" s="6"/>
      <c r="F1267" s="6"/>
      <c r="G1267" s="6"/>
      <c r="H1267" s="6"/>
      <c r="I1267" s="6"/>
      <c r="J1267" s="6"/>
      <c r="K1267" s="18"/>
      <c r="L1267" s="19" t="str">
        <f aca="false">IF(A1267="","",G1267*K1267)</f>
        <v/>
      </c>
      <c r="M1267" s="20"/>
      <c r="N1267" s="6"/>
      <c r="O1267" s="6"/>
      <c r="P1267" s="5" t="str">
        <f aca="false">IF(A1267="","",H1267/90)</f>
        <v/>
      </c>
      <c r="Q1267" s="5" t="str">
        <f aca="false">IF(A1267="","",IFERROR(INDEX(Parâmetros!$C$6:$C$10,MATCH(F1267,Parâmetros!$B$6:$B$10,0)),""))</f>
        <v/>
      </c>
      <c r="R1267" s="5" t="str">
        <f aca="false">IF(OR(A1267="",P1267="",Q1267=""),"",P1267*Q1267)</f>
        <v/>
      </c>
      <c r="S1267" s="5" t="str">
        <f aca="false">IF(R1267="","",MAX(0,R1267-G1267))</f>
        <v/>
      </c>
      <c r="T1267" s="21" t="str">
        <f aca="false">IF(S1267="","",S1267*K1267)</f>
        <v/>
      </c>
      <c r="U1267" s="5" t="str">
        <f aca="false">IF(A1267="","",IF(J1267&gt;Parâmetros!$C$14,"SIM","NAO"))</f>
        <v/>
      </c>
      <c r="V1267" s="5" t="str">
        <f aca="false">IF(B1267="","",TRIM(LEFT(B1267,IFERROR(FIND(" ",B1267)-1,LEN(B1267)))))</f>
        <v/>
      </c>
      <c r="W1267" s="22"/>
      <c r="X1267" s="5" t="str">
        <f aca="false">IF(A1267="","",IF(W1267&lt;&gt;"",W1267,V1267))</f>
        <v/>
      </c>
      <c r="Y1267" s="5" t="str">
        <f aca="false">IF(A1267="","",IF(COUNTIFS($X$2:$X$2001,X1267,$D$2:$D$2001,"&lt;&gt;"&amp;D1267,$C$2:$C$2001,C1267)&gt;0,"SIM","NAO"))</f>
        <v/>
      </c>
      <c r="Z1267" s="5" t="str">
        <f aca="false">IF(A1267="","",IF(J1267="","",IFERROR(360/J1267,"")))</f>
        <v/>
      </c>
      <c r="AA1267" s="5" t="str">
        <f aca="false">IF(A1267="","",IF(H1267=0,"Parado (sem venda 90d)",IF(Z1267&gt;12,"Alto (&gt;12x/ano)",IF(Z1267&gt;=4,"Medio (4-12x/ano)","Baixo (&lt;4x/ano)"))))</f>
        <v/>
      </c>
    </row>
    <row r="1268" customFormat="false" ht="15" hidden="false" customHeight="true" outlineLevel="0" collapsed="false">
      <c r="A1268" s="6"/>
      <c r="B1268" s="6"/>
      <c r="C1268" s="6"/>
      <c r="D1268" s="6"/>
      <c r="E1268" s="6"/>
      <c r="F1268" s="6"/>
      <c r="G1268" s="6"/>
      <c r="H1268" s="6"/>
      <c r="I1268" s="6"/>
      <c r="J1268" s="6"/>
      <c r="K1268" s="18"/>
      <c r="L1268" s="19" t="str">
        <f aca="false">IF(A1268="","",G1268*K1268)</f>
        <v/>
      </c>
      <c r="M1268" s="20"/>
      <c r="N1268" s="6"/>
      <c r="O1268" s="6"/>
      <c r="P1268" s="5" t="str">
        <f aca="false">IF(A1268="","",H1268/90)</f>
        <v/>
      </c>
      <c r="Q1268" s="5" t="str">
        <f aca="false">IF(A1268="","",IFERROR(INDEX(Parâmetros!$C$6:$C$10,MATCH(F1268,Parâmetros!$B$6:$B$10,0)),""))</f>
        <v/>
      </c>
      <c r="R1268" s="5" t="str">
        <f aca="false">IF(OR(A1268="",P1268="",Q1268=""),"",P1268*Q1268)</f>
        <v/>
      </c>
      <c r="S1268" s="5" t="str">
        <f aca="false">IF(R1268="","",MAX(0,R1268-G1268))</f>
        <v/>
      </c>
      <c r="T1268" s="21" t="str">
        <f aca="false">IF(S1268="","",S1268*K1268)</f>
        <v/>
      </c>
      <c r="U1268" s="5" t="str">
        <f aca="false">IF(A1268="","",IF(J1268&gt;Parâmetros!$C$14,"SIM","NAO"))</f>
        <v/>
      </c>
      <c r="V1268" s="5" t="str">
        <f aca="false">IF(B1268="","",TRIM(LEFT(B1268,IFERROR(FIND(" ",B1268)-1,LEN(B1268)))))</f>
        <v/>
      </c>
      <c r="W1268" s="22"/>
      <c r="X1268" s="5" t="str">
        <f aca="false">IF(A1268="","",IF(W1268&lt;&gt;"",W1268,V1268))</f>
        <v/>
      </c>
      <c r="Y1268" s="5" t="str">
        <f aca="false">IF(A1268="","",IF(COUNTIFS($X$2:$X$2001,X1268,$D$2:$D$2001,"&lt;&gt;"&amp;D1268,$C$2:$C$2001,C1268)&gt;0,"SIM","NAO"))</f>
        <v/>
      </c>
      <c r="Z1268" s="5" t="str">
        <f aca="false">IF(A1268="","",IF(J1268="","",IFERROR(360/J1268,"")))</f>
        <v/>
      </c>
      <c r="AA1268" s="5" t="str">
        <f aca="false">IF(A1268="","",IF(H1268=0,"Parado (sem venda 90d)",IF(Z1268&gt;12,"Alto (&gt;12x/ano)",IF(Z1268&gt;=4,"Medio (4-12x/ano)","Baixo (&lt;4x/ano)"))))</f>
        <v/>
      </c>
    </row>
    <row r="1269" customFormat="false" ht="15" hidden="false" customHeight="true" outlineLevel="0" collapsed="false">
      <c r="A1269" s="6"/>
      <c r="B1269" s="6"/>
      <c r="C1269" s="6"/>
      <c r="D1269" s="6"/>
      <c r="E1269" s="6"/>
      <c r="F1269" s="6"/>
      <c r="G1269" s="6"/>
      <c r="H1269" s="6"/>
      <c r="I1269" s="6"/>
      <c r="J1269" s="6"/>
      <c r="K1269" s="18"/>
      <c r="L1269" s="19" t="str">
        <f aca="false">IF(A1269="","",G1269*K1269)</f>
        <v/>
      </c>
      <c r="M1269" s="20"/>
      <c r="N1269" s="6"/>
      <c r="O1269" s="6"/>
      <c r="P1269" s="5" t="str">
        <f aca="false">IF(A1269="","",H1269/90)</f>
        <v/>
      </c>
      <c r="Q1269" s="5" t="str">
        <f aca="false">IF(A1269="","",IFERROR(INDEX(Parâmetros!$C$6:$C$10,MATCH(F1269,Parâmetros!$B$6:$B$10,0)),""))</f>
        <v/>
      </c>
      <c r="R1269" s="5" t="str">
        <f aca="false">IF(OR(A1269="",P1269="",Q1269=""),"",P1269*Q1269)</f>
        <v/>
      </c>
      <c r="S1269" s="5" t="str">
        <f aca="false">IF(R1269="","",MAX(0,R1269-G1269))</f>
        <v/>
      </c>
      <c r="T1269" s="21" t="str">
        <f aca="false">IF(S1269="","",S1269*K1269)</f>
        <v/>
      </c>
      <c r="U1269" s="5" t="str">
        <f aca="false">IF(A1269="","",IF(J1269&gt;Parâmetros!$C$14,"SIM","NAO"))</f>
        <v/>
      </c>
      <c r="V1269" s="5" t="str">
        <f aca="false">IF(B1269="","",TRIM(LEFT(B1269,IFERROR(FIND(" ",B1269)-1,LEN(B1269)))))</f>
        <v/>
      </c>
      <c r="W1269" s="22"/>
      <c r="X1269" s="5" t="str">
        <f aca="false">IF(A1269="","",IF(W1269&lt;&gt;"",W1269,V1269))</f>
        <v/>
      </c>
      <c r="Y1269" s="5" t="str">
        <f aca="false">IF(A1269="","",IF(COUNTIFS($X$2:$X$2001,X1269,$D$2:$D$2001,"&lt;&gt;"&amp;D1269,$C$2:$C$2001,C1269)&gt;0,"SIM","NAO"))</f>
        <v/>
      </c>
      <c r="Z1269" s="5" t="str">
        <f aca="false">IF(A1269="","",IF(J1269="","",IFERROR(360/J1269,"")))</f>
        <v/>
      </c>
      <c r="AA1269" s="5" t="str">
        <f aca="false">IF(A1269="","",IF(H1269=0,"Parado (sem venda 90d)",IF(Z1269&gt;12,"Alto (&gt;12x/ano)",IF(Z1269&gt;=4,"Medio (4-12x/ano)","Baixo (&lt;4x/ano)"))))</f>
        <v/>
      </c>
    </row>
    <row r="1270" customFormat="false" ht="15" hidden="false" customHeight="true" outlineLevel="0" collapsed="false">
      <c r="A1270" s="6"/>
      <c r="B1270" s="6"/>
      <c r="C1270" s="6"/>
      <c r="D1270" s="6"/>
      <c r="E1270" s="6"/>
      <c r="F1270" s="6"/>
      <c r="G1270" s="6"/>
      <c r="H1270" s="6"/>
      <c r="I1270" s="6"/>
      <c r="J1270" s="6"/>
      <c r="K1270" s="18"/>
      <c r="L1270" s="19" t="str">
        <f aca="false">IF(A1270="","",G1270*K1270)</f>
        <v/>
      </c>
      <c r="M1270" s="20"/>
      <c r="N1270" s="6"/>
      <c r="O1270" s="6"/>
      <c r="P1270" s="5" t="str">
        <f aca="false">IF(A1270="","",H1270/90)</f>
        <v/>
      </c>
      <c r="Q1270" s="5" t="str">
        <f aca="false">IF(A1270="","",IFERROR(INDEX(Parâmetros!$C$6:$C$10,MATCH(F1270,Parâmetros!$B$6:$B$10,0)),""))</f>
        <v/>
      </c>
      <c r="R1270" s="5" t="str">
        <f aca="false">IF(OR(A1270="",P1270="",Q1270=""),"",P1270*Q1270)</f>
        <v/>
      </c>
      <c r="S1270" s="5" t="str">
        <f aca="false">IF(R1270="","",MAX(0,R1270-G1270))</f>
        <v/>
      </c>
      <c r="T1270" s="21" t="str">
        <f aca="false">IF(S1270="","",S1270*K1270)</f>
        <v/>
      </c>
      <c r="U1270" s="5" t="str">
        <f aca="false">IF(A1270="","",IF(J1270&gt;Parâmetros!$C$14,"SIM","NAO"))</f>
        <v/>
      </c>
      <c r="V1270" s="5" t="str">
        <f aca="false">IF(B1270="","",TRIM(LEFT(B1270,IFERROR(FIND(" ",B1270)-1,LEN(B1270)))))</f>
        <v/>
      </c>
      <c r="W1270" s="22"/>
      <c r="X1270" s="5" t="str">
        <f aca="false">IF(A1270="","",IF(W1270&lt;&gt;"",W1270,V1270))</f>
        <v/>
      </c>
      <c r="Y1270" s="5" t="str">
        <f aca="false">IF(A1270="","",IF(COUNTIFS($X$2:$X$2001,X1270,$D$2:$D$2001,"&lt;&gt;"&amp;D1270,$C$2:$C$2001,C1270)&gt;0,"SIM","NAO"))</f>
        <v/>
      </c>
      <c r="Z1270" s="5" t="str">
        <f aca="false">IF(A1270="","",IF(J1270="","",IFERROR(360/J1270,"")))</f>
        <v/>
      </c>
      <c r="AA1270" s="5" t="str">
        <f aca="false">IF(A1270="","",IF(H1270=0,"Parado (sem venda 90d)",IF(Z1270&gt;12,"Alto (&gt;12x/ano)",IF(Z1270&gt;=4,"Medio (4-12x/ano)","Baixo (&lt;4x/ano)"))))</f>
        <v/>
      </c>
    </row>
    <row r="1271" customFormat="false" ht="15" hidden="false" customHeight="true" outlineLevel="0" collapsed="false">
      <c r="A1271" s="6"/>
      <c r="B1271" s="6"/>
      <c r="C1271" s="6"/>
      <c r="D1271" s="6"/>
      <c r="E1271" s="6"/>
      <c r="F1271" s="6"/>
      <c r="G1271" s="6"/>
      <c r="H1271" s="6"/>
      <c r="I1271" s="6"/>
      <c r="J1271" s="6"/>
      <c r="K1271" s="18"/>
      <c r="L1271" s="19" t="str">
        <f aca="false">IF(A1271="","",G1271*K1271)</f>
        <v/>
      </c>
      <c r="M1271" s="20"/>
      <c r="N1271" s="6"/>
      <c r="O1271" s="6"/>
      <c r="P1271" s="5" t="str">
        <f aca="false">IF(A1271="","",H1271/90)</f>
        <v/>
      </c>
      <c r="Q1271" s="5" t="str">
        <f aca="false">IF(A1271="","",IFERROR(INDEX(Parâmetros!$C$6:$C$10,MATCH(F1271,Parâmetros!$B$6:$B$10,0)),""))</f>
        <v/>
      </c>
      <c r="R1271" s="5" t="str">
        <f aca="false">IF(OR(A1271="",P1271="",Q1271=""),"",P1271*Q1271)</f>
        <v/>
      </c>
      <c r="S1271" s="5" t="str">
        <f aca="false">IF(R1271="","",MAX(0,R1271-G1271))</f>
        <v/>
      </c>
      <c r="T1271" s="21" t="str">
        <f aca="false">IF(S1271="","",S1271*K1271)</f>
        <v/>
      </c>
      <c r="U1271" s="5" t="str">
        <f aca="false">IF(A1271="","",IF(J1271&gt;Parâmetros!$C$14,"SIM","NAO"))</f>
        <v/>
      </c>
      <c r="V1271" s="5" t="str">
        <f aca="false">IF(B1271="","",TRIM(LEFT(B1271,IFERROR(FIND(" ",B1271)-1,LEN(B1271)))))</f>
        <v/>
      </c>
      <c r="W1271" s="22"/>
      <c r="X1271" s="5" t="str">
        <f aca="false">IF(A1271="","",IF(W1271&lt;&gt;"",W1271,V1271))</f>
        <v/>
      </c>
      <c r="Y1271" s="5" t="str">
        <f aca="false">IF(A1271="","",IF(COUNTIFS($X$2:$X$2001,X1271,$D$2:$D$2001,"&lt;&gt;"&amp;D1271,$C$2:$C$2001,C1271)&gt;0,"SIM","NAO"))</f>
        <v/>
      </c>
      <c r="Z1271" s="5" t="str">
        <f aca="false">IF(A1271="","",IF(J1271="","",IFERROR(360/J1271,"")))</f>
        <v/>
      </c>
      <c r="AA1271" s="5" t="str">
        <f aca="false">IF(A1271="","",IF(H1271=0,"Parado (sem venda 90d)",IF(Z1271&gt;12,"Alto (&gt;12x/ano)",IF(Z1271&gt;=4,"Medio (4-12x/ano)","Baixo (&lt;4x/ano)"))))</f>
        <v/>
      </c>
    </row>
    <row r="1272" customFormat="false" ht="15" hidden="false" customHeight="true" outlineLevel="0" collapsed="false">
      <c r="A1272" s="6"/>
      <c r="B1272" s="6"/>
      <c r="C1272" s="6"/>
      <c r="D1272" s="6"/>
      <c r="E1272" s="6"/>
      <c r="F1272" s="6"/>
      <c r="G1272" s="6"/>
      <c r="H1272" s="6"/>
      <c r="I1272" s="6"/>
      <c r="J1272" s="6"/>
      <c r="K1272" s="18"/>
      <c r="L1272" s="19" t="str">
        <f aca="false">IF(A1272="","",G1272*K1272)</f>
        <v/>
      </c>
      <c r="M1272" s="20"/>
      <c r="N1272" s="6"/>
      <c r="O1272" s="6"/>
      <c r="P1272" s="5" t="str">
        <f aca="false">IF(A1272="","",H1272/90)</f>
        <v/>
      </c>
      <c r="Q1272" s="5" t="str">
        <f aca="false">IF(A1272="","",IFERROR(INDEX(Parâmetros!$C$6:$C$10,MATCH(F1272,Parâmetros!$B$6:$B$10,0)),""))</f>
        <v/>
      </c>
      <c r="R1272" s="5" t="str">
        <f aca="false">IF(OR(A1272="",P1272="",Q1272=""),"",P1272*Q1272)</f>
        <v/>
      </c>
      <c r="S1272" s="5" t="str">
        <f aca="false">IF(R1272="","",MAX(0,R1272-G1272))</f>
        <v/>
      </c>
      <c r="T1272" s="21" t="str">
        <f aca="false">IF(S1272="","",S1272*K1272)</f>
        <v/>
      </c>
      <c r="U1272" s="5" t="str">
        <f aca="false">IF(A1272="","",IF(J1272&gt;Parâmetros!$C$14,"SIM","NAO"))</f>
        <v/>
      </c>
      <c r="V1272" s="5" t="str">
        <f aca="false">IF(B1272="","",TRIM(LEFT(B1272,IFERROR(FIND(" ",B1272)-1,LEN(B1272)))))</f>
        <v/>
      </c>
      <c r="W1272" s="22"/>
      <c r="X1272" s="5" t="str">
        <f aca="false">IF(A1272="","",IF(W1272&lt;&gt;"",W1272,V1272))</f>
        <v/>
      </c>
      <c r="Y1272" s="5" t="str">
        <f aca="false">IF(A1272="","",IF(COUNTIFS($X$2:$X$2001,X1272,$D$2:$D$2001,"&lt;&gt;"&amp;D1272,$C$2:$C$2001,C1272)&gt;0,"SIM","NAO"))</f>
        <v/>
      </c>
      <c r="Z1272" s="5" t="str">
        <f aca="false">IF(A1272="","",IF(J1272="","",IFERROR(360/J1272,"")))</f>
        <v/>
      </c>
      <c r="AA1272" s="5" t="str">
        <f aca="false">IF(A1272="","",IF(H1272=0,"Parado (sem venda 90d)",IF(Z1272&gt;12,"Alto (&gt;12x/ano)",IF(Z1272&gt;=4,"Medio (4-12x/ano)","Baixo (&lt;4x/ano)"))))</f>
        <v/>
      </c>
    </row>
    <row r="1273" customFormat="false" ht="15" hidden="false" customHeight="true" outlineLevel="0" collapsed="false">
      <c r="A1273" s="6"/>
      <c r="B1273" s="6"/>
      <c r="C1273" s="6"/>
      <c r="D1273" s="6"/>
      <c r="E1273" s="6"/>
      <c r="F1273" s="6"/>
      <c r="G1273" s="6"/>
      <c r="H1273" s="6"/>
      <c r="I1273" s="6"/>
      <c r="J1273" s="6"/>
      <c r="K1273" s="18"/>
      <c r="L1273" s="19" t="str">
        <f aca="false">IF(A1273="","",G1273*K1273)</f>
        <v/>
      </c>
      <c r="M1273" s="20"/>
      <c r="N1273" s="6"/>
      <c r="O1273" s="6"/>
      <c r="P1273" s="5" t="str">
        <f aca="false">IF(A1273="","",H1273/90)</f>
        <v/>
      </c>
      <c r="Q1273" s="5" t="str">
        <f aca="false">IF(A1273="","",IFERROR(INDEX(Parâmetros!$C$6:$C$10,MATCH(F1273,Parâmetros!$B$6:$B$10,0)),""))</f>
        <v/>
      </c>
      <c r="R1273" s="5" t="str">
        <f aca="false">IF(OR(A1273="",P1273="",Q1273=""),"",P1273*Q1273)</f>
        <v/>
      </c>
      <c r="S1273" s="5" t="str">
        <f aca="false">IF(R1273="","",MAX(0,R1273-G1273))</f>
        <v/>
      </c>
      <c r="T1273" s="21" t="str">
        <f aca="false">IF(S1273="","",S1273*K1273)</f>
        <v/>
      </c>
      <c r="U1273" s="5" t="str">
        <f aca="false">IF(A1273="","",IF(J1273&gt;Parâmetros!$C$14,"SIM","NAO"))</f>
        <v/>
      </c>
      <c r="V1273" s="5" t="str">
        <f aca="false">IF(B1273="","",TRIM(LEFT(B1273,IFERROR(FIND(" ",B1273)-1,LEN(B1273)))))</f>
        <v/>
      </c>
      <c r="W1273" s="22"/>
      <c r="X1273" s="5" t="str">
        <f aca="false">IF(A1273="","",IF(W1273&lt;&gt;"",W1273,V1273))</f>
        <v/>
      </c>
      <c r="Y1273" s="5" t="str">
        <f aca="false">IF(A1273="","",IF(COUNTIFS($X$2:$X$2001,X1273,$D$2:$D$2001,"&lt;&gt;"&amp;D1273,$C$2:$C$2001,C1273)&gt;0,"SIM","NAO"))</f>
        <v/>
      </c>
      <c r="Z1273" s="5" t="str">
        <f aca="false">IF(A1273="","",IF(J1273="","",IFERROR(360/J1273,"")))</f>
        <v/>
      </c>
      <c r="AA1273" s="5" t="str">
        <f aca="false">IF(A1273="","",IF(H1273=0,"Parado (sem venda 90d)",IF(Z1273&gt;12,"Alto (&gt;12x/ano)",IF(Z1273&gt;=4,"Medio (4-12x/ano)","Baixo (&lt;4x/ano)"))))</f>
        <v/>
      </c>
    </row>
    <row r="1274" customFormat="false" ht="15" hidden="false" customHeight="true" outlineLevel="0" collapsed="false">
      <c r="A1274" s="6"/>
      <c r="B1274" s="6"/>
      <c r="C1274" s="6"/>
      <c r="D1274" s="6"/>
      <c r="E1274" s="6"/>
      <c r="F1274" s="6"/>
      <c r="G1274" s="6"/>
      <c r="H1274" s="6"/>
      <c r="I1274" s="6"/>
      <c r="J1274" s="6"/>
      <c r="K1274" s="18"/>
      <c r="L1274" s="19" t="str">
        <f aca="false">IF(A1274="","",G1274*K1274)</f>
        <v/>
      </c>
      <c r="M1274" s="20"/>
      <c r="N1274" s="6"/>
      <c r="O1274" s="6"/>
      <c r="P1274" s="5" t="str">
        <f aca="false">IF(A1274="","",H1274/90)</f>
        <v/>
      </c>
      <c r="Q1274" s="5" t="str">
        <f aca="false">IF(A1274="","",IFERROR(INDEX(Parâmetros!$C$6:$C$10,MATCH(F1274,Parâmetros!$B$6:$B$10,0)),""))</f>
        <v/>
      </c>
      <c r="R1274" s="5" t="str">
        <f aca="false">IF(OR(A1274="",P1274="",Q1274=""),"",P1274*Q1274)</f>
        <v/>
      </c>
      <c r="S1274" s="5" t="str">
        <f aca="false">IF(R1274="","",MAX(0,R1274-G1274))</f>
        <v/>
      </c>
      <c r="T1274" s="21" t="str">
        <f aca="false">IF(S1274="","",S1274*K1274)</f>
        <v/>
      </c>
      <c r="U1274" s="5" t="str">
        <f aca="false">IF(A1274="","",IF(J1274&gt;Parâmetros!$C$14,"SIM","NAO"))</f>
        <v/>
      </c>
      <c r="V1274" s="5" t="str">
        <f aca="false">IF(B1274="","",TRIM(LEFT(B1274,IFERROR(FIND(" ",B1274)-1,LEN(B1274)))))</f>
        <v/>
      </c>
      <c r="W1274" s="22"/>
      <c r="X1274" s="5" t="str">
        <f aca="false">IF(A1274="","",IF(W1274&lt;&gt;"",W1274,V1274))</f>
        <v/>
      </c>
      <c r="Y1274" s="5" t="str">
        <f aca="false">IF(A1274="","",IF(COUNTIFS($X$2:$X$2001,X1274,$D$2:$D$2001,"&lt;&gt;"&amp;D1274,$C$2:$C$2001,C1274)&gt;0,"SIM","NAO"))</f>
        <v/>
      </c>
      <c r="Z1274" s="5" t="str">
        <f aca="false">IF(A1274="","",IF(J1274="","",IFERROR(360/J1274,"")))</f>
        <v/>
      </c>
      <c r="AA1274" s="5" t="str">
        <f aca="false">IF(A1274="","",IF(H1274=0,"Parado (sem venda 90d)",IF(Z1274&gt;12,"Alto (&gt;12x/ano)",IF(Z1274&gt;=4,"Medio (4-12x/ano)","Baixo (&lt;4x/ano)"))))</f>
        <v/>
      </c>
    </row>
    <row r="1275" customFormat="false" ht="15" hidden="false" customHeight="true" outlineLevel="0" collapsed="false">
      <c r="A1275" s="6"/>
      <c r="B1275" s="6"/>
      <c r="C1275" s="6"/>
      <c r="D1275" s="6"/>
      <c r="E1275" s="6"/>
      <c r="F1275" s="6"/>
      <c r="G1275" s="6"/>
      <c r="H1275" s="6"/>
      <c r="I1275" s="6"/>
      <c r="J1275" s="6"/>
      <c r="K1275" s="18"/>
      <c r="L1275" s="19" t="str">
        <f aca="false">IF(A1275="","",G1275*K1275)</f>
        <v/>
      </c>
      <c r="M1275" s="20"/>
      <c r="N1275" s="6"/>
      <c r="O1275" s="6"/>
      <c r="P1275" s="5" t="str">
        <f aca="false">IF(A1275="","",H1275/90)</f>
        <v/>
      </c>
      <c r="Q1275" s="5" t="str">
        <f aca="false">IF(A1275="","",IFERROR(INDEX(Parâmetros!$C$6:$C$10,MATCH(F1275,Parâmetros!$B$6:$B$10,0)),""))</f>
        <v/>
      </c>
      <c r="R1275" s="5" t="str">
        <f aca="false">IF(OR(A1275="",P1275="",Q1275=""),"",P1275*Q1275)</f>
        <v/>
      </c>
      <c r="S1275" s="5" t="str">
        <f aca="false">IF(R1275="","",MAX(0,R1275-G1275))</f>
        <v/>
      </c>
      <c r="T1275" s="21" t="str">
        <f aca="false">IF(S1275="","",S1275*K1275)</f>
        <v/>
      </c>
      <c r="U1275" s="5" t="str">
        <f aca="false">IF(A1275="","",IF(J1275&gt;Parâmetros!$C$14,"SIM","NAO"))</f>
        <v/>
      </c>
      <c r="V1275" s="5" t="str">
        <f aca="false">IF(B1275="","",TRIM(LEFT(B1275,IFERROR(FIND(" ",B1275)-1,LEN(B1275)))))</f>
        <v/>
      </c>
      <c r="W1275" s="22"/>
      <c r="X1275" s="5" t="str">
        <f aca="false">IF(A1275="","",IF(W1275&lt;&gt;"",W1275,V1275))</f>
        <v/>
      </c>
      <c r="Y1275" s="5" t="str">
        <f aca="false">IF(A1275="","",IF(COUNTIFS($X$2:$X$2001,X1275,$D$2:$D$2001,"&lt;&gt;"&amp;D1275,$C$2:$C$2001,C1275)&gt;0,"SIM","NAO"))</f>
        <v/>
      </c>
      <c r="Z1275" s="5" t="str">
        <f aca="false">IF(A1275="","",IF(J1275="","",IFERROR(360/J1275,"")))</f>
        <v/>
      </c>
      <c r="AA1275" s="5" t="str">
        <f aca="false">IF(A1275="","",IF(H1275=0,"Parado (sem venda 90d)",IF(Z1275&gt;12,"Alto (&gt;12x/ano)",IF(Z1275&gt;=4,"Medio (4-12x/ano)","Baixo (&lt;4x/ano)"))))</f>
        <v/>
      </c>
    </row>
    <row r="1276" customFormat="false" ht="15" hidden="false" customHeight="true" outlineLevel="0" collapsed="false">
      <c r="A1276" s="6"/>
      <c r="B1276" s="6"/>
      <c r="C1276" s="6"/>
      <c r="D1276" s="6"/>
      <c r="E1276" s="6"/>
      <c r="F1276" s="6"/>
      <c r="G1276" s="6"/>
      <c r="H1276" s="6"/>
      <c r="I1276" s="6"/>
      <c r="J1276" s="6"/>
      <c r="K1276" s="18"/>
      <c r="L1276" s="19" t="str">
        <f aca="false">IF(A1276="","",G1276*K1276)</f>
        <v/>
      </c>
      <c r="M1276" s="20"/>
      <c r="N1276" s="6"/>
      <c r="O1276" s="6"/>
      <c r="P1276" s="5" t="str">
        <f aca="false">IF(A1276="","",H1276/90)</f>
        <v/>
      </c>
      <c r="Q1276" s="5" t="str">
        <f aca="false">IF(A1276="","",IFERROR(INDEX(Parâmetros!$C$6:$C$10,MATCH(F1276,Parâmetros!$B$6:$B$10,0)),""))</f>
        <v/>
      </c>
      <c r="R1276" s="5" t="str">
        <f aca="false">IF(OR(A1276="",P1276="",Q1276=""),"",P1276*Q1276)</f>
        <v/>
      </c>
      <c r="S1276" s="5" t="str">
        <f aca="false">IF(R1276="","",MAX(0,R1276-G1276))</f>
        <v/>
      </c>
      <c r="T1276" s="21" t="str">
        <f aca="false">IF(S1276="","",S1276*K1276)</f>
        <v/>
      </c>
      <c r="U1276" s="5" t="str">
        <f aca="false">IF(A1276="","",IF(J1276&gt;Parâmetros!$C$14,"SIM","NAO"))</f>
        <v/>
      </c>
      <c r="V1276" s="5" t="str">
        <f aca="false">IF(B1276="","",TRIM(LEFT(B1276,IFERROR(FIND(" ",B1276)-1,LEN(B1276)))))</f>
        <v/>
      </c>
      <c r="W1276" s="22"/>
      <c r="X1276" s="5" t="str">
        <f aca="false">IF(A1276="","",IF(W1276&lt;&gt;"",W1276,V1276))</f>
        <v/>
      </c>
      <c r="Y1276" s="5" t="str">
        <f aca="false">IF(A1276="","",IF(COUNTIFS($X$2:$X$2001,X1276,$D$2:$D$2001,"&lt;&gt;"&amp;D1276,$C$2:$C$2001,C1276)&gt;0,"SIM","NAO"))</f>
        <v/>
      </c>
      <c r="Z1276" s="5" t="str">
        <f aca="false">IF(A1276="","",IF(J1276="","",IFERROR(360/J1276,"")))</f>
        <v/>
      </c>
      <c r="AA1276" s="5" t="str">
        <f aca="false">IF(A1276="","",IF(H1276=0,"Parado (sem venda 90d)",IF(Z1276&gt;12,"Alto (&gt;12x/ano)",IF(Z1276&gt;=4,"Medio (4-12x/ano)","Baixo (&lt;4x/ano)"))))</f>
        <v/>
      </c>
    </row>
    <row r="1277" customFormat="false" ht="15" hidden="false" customHeight="true" outlineLevel="0" collapsed="false">
      <c r="A1277" s="6"/>
      <c r="B1277" s="6"/>
      <c r="C1277" s="6"/>
      <c r="D1277" s="6"/>
      <c r="E1277" s="6"/>
      <c r="F1277" s="6"/>
      <c r="G1277" s="6"/>
      <c r="H1277" s="6"/>
      <c r="I1277" s="6"/>
      <c r="J1277" s="6"/>
      <c r="K1277" s="18"/>
      <c r="L1277" s="19" t="str">
        <f aca="false">IF(A1277="","",G1277*K1277)</f>
        <v/>
      </c>
      <c r="M1277" s="20"/>
      <c r="N1277" s="6"/>
      <c r="O1277" s="6"/>
      <c r="P1277" s="5" t="str">
        <f aca="false">IF(A1277="","",H1277/90)</f>
        <v/>
      </c>
      <c r="Q1277" s="5" t="str">
        <f aca="false">IF(A1277="","",IFERROR(INDEX(Parâmetros!$C$6:$C$10,MATCH(F1277,Parâmetros!$B$6:$B$10,0)),""))</f>
        <v/>
      </c>
      <c r="R1277" s="5" t="str">
        <f aca="false">IF(OR(A1277="",P1277="",Q1277=""),"",P1277*Q1277)</f>
        <v/>
      </c>
      <c r="S1277" s="5" t="str">
        <f aca="false">IF(R1277="","",MAX(0,R1277-G1277))</f>
        <v/>
      </c>
      <c r="T1277" s="21" t="str">
        <f aca="false">IF(S1277="","",S1277*K1277)</f>
        <v/>
      </c>
      <c r="U1277" s="5" t="str">
        <f aca="false">IF(A1277="","",IF(J1277&gt;Parâmetros!$C$14,"SIM","NAO"))</f>
        <v/>
      </c>
      <c r="V1277" s="5" t="str">
        <f aca="false">IF(B1277="","",TRIM(LEFT(B1277,IFERROR(FIND(" ",B1277)-1,LEN(B1277)))))</f>
        <v/>
      </c>
      <c r="W1277" s="22"/>
      <c r="X1277" s="5" t="str">
        <f aca="false">IF(A1277="","",IF(W1277&lt;&gt;"",W1277,V1277))</f>
        <v/>
      </c>
      <c r="Y1277" s="5" t="str">
        <f aca="false">IF(A1277="","",IF(COUNTIFS($X$2:$X$2001,X1277,$D$2:$D$2001,"&lt;&gt;"&amp;D1277,$C$2:$C$2001,C1277)&gt;0,"SIM","NAO"))</f>
        <v/>
      </c>
      <c r="Z1277" s="5" t="str">
        <f aca="false">IF(A1277="","",IF(J1277="","",IFERROR(360/J1277,"")))</f>
        <v/>
      </c>
      <c r="AA1277" s="5" t="str">
        <f aca="false">IF(A1277="","",IF(H1277=0,"Parado (sem venda 90d)",IF(Z1277&gt;12,"Alto (&gt;12x/ano)",IF(Z1277&gt;=4,"Medio (4-12x/ano)","Baixo (&lt;4x/ano)"))))</f>
        <v/>
      </c>
    </row>
    <row r="1278" customFormat="false" ht="15" hidden="false" customHeight="true" outlineLevel="0" collapsed="false">
      <c r="A1278" s="6"/>
      <c r="B1278" s="6"/>
      <c r="C1278" s="6"/>
      <c r="D1278" s="6"/>
      <c r="E1278" s="6"/>
      <c r="F1278" s="6"/>
      <c r="G1278" s="6"/>
      <c r="H1278" s="6"/>
      <c r="I1278" s="6"/>
      <c r="J1278" s="6"/>
      <c r="K1278" s="18"/>
      <c r="L1278" s="19" t="str">
        <f aca="false">IF(A1278="","",G1278*K1278)</f>
        <v/>
      </c>
      <c r="M1278" s="20"/>
      <c r="N1278" s="6"/>
      <c r="O1278" s="6"/>
      <c r="P1278" s="5" t="str">
        <f aca="false">IF(A1278="","",H1278/90)</f>
        <v/>
      </c>
      <c r="Q1278" s="5" t="str">
        <f aca="false">IF(A1278="","",IFERROR(INDEX(Parâmetros!$C$6:$C$10,MATCH(F1278,Parâmetros!$B$6:$B$10,0)),""))</f>
        <v/>
      </c>
      <c r="R1278" s="5" t="str">
        <f aca="false">IF(OR(A1278="",P1278="",Q1278=""),"",P1278*Q1278)</f>
        <v/>
      </c>
      <c r="S1278" s="5" t="str">
        <f aca="false">IF(R1278="","",MAX(0,R1278-G1278))</f>
        <v/>
      </c>
      <c r="T1278" s="21" t="str">
        <f aca="false">IF(S1278="","",S1278*K1278)</f>
        <v/>
      </c>
      <c r="U1278" s="5" t="str">
        <f aca="false">IF(A1278="","",IF(J1278&gt;Parâmetros!$C$14,"SIM","NAO"))</f>
        <v/>
      </c>
      <c r="V1278" s="5" t="str">
        <f aca="false">IF(B1278="","",TRIM(LEFT(B1278,IFERROR(FIND(" ",B1278)-1,LEN(B1278)))))</f>
        <v/>
      </c>
      <c r="W1278" s="22"/>
      <c r="X1278" s="5" t="str">
        <f aca="false">IF(A1278="","",IF(W1278&lt;&gt;"",W1278,V1278))</f>
        <v/>
      </c>
      <c r="Y1278" s="5" t="str">
        <f aca="false">IF(A1278="","",IF(COUNTIFS($X$2:$X$2001,X1278,$D$2:$D$2001,"&lt;&gt;"&amp;D1278,$C$2:$C$2001,C1278)&gt;0,"SIM","NAO"))</f>
        <v/>
      </c>
      <c r="Z1278" s="5" t="str">
        <f aca="false">IF(A1278="","",IF(J1278="","",IFERROR(360/J1278,"")))</f>
        <v/>
      </c>
      <c r="AA1278" s="5" t="str">
        <f aca="false">IF(A1278="","",IF(H1278=0,"Parado (sem venda 90d)",IF(Z1278&gt;12,"Alto (&gt;12x/ano)",IF(Z1278&gt;=4,"Medio (4-12x/ano)","Baixo (&lt;4x/ano)"))))</f>
        <v/>
      </c>
    </row>
    <row r="1279" customFormat="false" ht="15" hidden="false" customHeight="true" outlineLevel="0" collapsed="false">
      <c r="A1279" s="6"/>
      <c r="B1279" s="6"/>
      <c r="C1279" s="6"/>
      <c r="D1279" s="6"/>
      <c r="E1279" s="6"/>
      <c r="F1279" s="6"/>
      <c r="G1279" s="6"/>
      <c r="H1279" s="6"/>
      <c r="I1279" s="6"/>
      <c r="J1279" s="6"/>
      <c r="K1279" s="18"/>
      <c r="L1279" s="19" t="str">
        <f aca="false">IF(A1279="","",G1279*K1279)</f>
        <v/>
      </c>
      <c r="M1279" s="20"/>
      <c r="N1279" s="6"/>
      <c r="O1279" s="6"/>
      <c r="P1279" s="5" t="str">
        <f aca="false">IF(A1279="","",H1279/90)</f>
        <v/>
      </c>
      <c r="Q1279" s="5" t="str">
        <f aca="false">IF(A1279="","",IFERROR(INDEX(Parâmetros!$C$6:$C$10,MATCH(F1279,Parâmetros!$B$6:$B$10,0)),""))</f>
        <v/>
      </c>
      <c r="R1279" s="5" t="str">
        <f aca="false">IF(OR(A1279="",P1279="",Q1279=""),"",P1279*Q1279)</f>
        <v/>
      </c>
      <c r="S1279" s="5" t="str">
        <f aca="false">IF(R1279="","",MAX(0,R1279-G1279))</f>
        <v/>
      </c>
      <c r="T1279" s="21" t="str">
        <f aca="false">IF(S1279="","",S1279*K1279)</f>
        <v/>
      </c>
      <c r="U1279" s="5" t="str">
        <f aca="false">IF(A1279="","",IF(J1279&gt;Parâmetros!$C$14,"SIM","NAO"))</f>
        <v/>
      </c>
      <c r="V1279" s="5" t="str">
        <f aca="false">IF(B1279="","",TRIM(LEFT(B1279,IFERROR(FIND(" ",B1279)-1,LEN(B1279)))))</f>
        <v/>
      </c>
      <c r="W1279" s="22"/>
      <c r="X1279" s="5" t="str">
        <f aca="false">IF(A1279="","",IF(W1279&lt;&gt;"",W1279,V1279))</f>
        <v/>
      </c>
      <c r="Y1279" s="5" t="str">
        <f aca="false">IF(A1279="","",IF(COUNTIFS($X$2:$X$2001,X1279,$D$2:$D$2001,"&lt;&gt;"&amp;D1279,$C$2:$C$2001,C1279)&gt;0,"SIM","NAO"))</f>
        <v/>
      </c>
      <c r="Z1279" s="5" t="str">
        <f aca="false">IF(A1279="","",IF(J1279="","",IFERROR(360/J1279,"")))</f>
        <v/>
      </c>
      <c r="AA1279" s="5" t="str">
        <f aca="false">IF(A1279="","",IF(H1279=0,"Parado (sem venda 90d)",IF(Z1279&gt;12,"Alto (&gt;12x/ano)",IF(Z1279&gt;=4,"Medio (4-12x/ano)","Baixo (&lt;4x/ano)"))))</f>
        <v/>
      </c>
    </row>
    <row r="1280" customFormat="false" ht="15" hidden="false" customHeight="true" outlineLevel="0" collapsed="false">
      <c r="A1280" s="6"/>
      <c r="B1280" s="6"/>
      <c r="C1280" s="6"/>
      <c r="D1280" s="6"/>
      <c r="E1280" s="6"/>
      <c r="F1280" s="6"/>
      <c r="G1280" s="6"/>
      <c r="H1280" s="6"/>
      <c r="I1280" s="6"/>
      <c r="J1280" s="6"/>
      <c r="K1280" s="18"/>
      <c r="L1280" s="19" t="str">
        <f aca="false">IF(A1280="","",G1280*K1280)</f>
        <v/>
      </c>
      <c r="M1280" s="20"/>
      <c r="N1280" s="6"/>
      <c r="O1280" s="6"/>
      <c r="P1280" s="5" t="str">
        <f aca="false">IF(A1280="","",H1280/90)</f>
        <v/>
      </c>
      <c r="Q1280" s="5" t="str">
        <f aca="false">IF(A1280="","",IFERROR(INDEX(Parâmetros!$C$6:$C$10,MATCH(F1280,Parâmetros!$B$6:$B$10,0)),""))</f>
        <v/>
      </c>
      <c r="R1280" s="5" t="str">
        <f aca="false">IF(OR(A1280="",P1280="",Q1280=""),"",P1280*Q1280)</f>
        <v/>
      </c>
      <c r="S1280" s="5" t="str">
        <f aca="false">IF(R1280="","",MAX(0,R1280-G1280))</f>
        <v/>
      </c>
      <c r="T1280" s="21" t="str">
        <f aca="false">IF(S1280="","",S1280*K1280)</f>
        <v/>
      </c>
      <c r="U1280" s="5" t="str">
        <f aca="false">IF(A1280="","",IF(J1280&gt;Parâmetros!$C$14,"SIM","NAO"))</f>
        <v/>
      </c>
      <c r="V1280" s="5" t="str">
        <f aca="false">IF(B1280="","",TRIM(LEFT(B1280,IFERROR(FIND(" ",B1280)-1,LEN(B1280)))))</f>
        <v/>
      </c>
      <c r="W1280" s="22"/>
      <c r="X1280" s="5" t="str">
        <f aca="false">IF(A1280="","",IF(W1280&lt;&gt;"",W1280,V1280))</f>
        <v/>
      </c>
      <c r="Y1280" s="5" t="str">
        <f aca="false">IF(A1280="","",IF(COUNTIFS($X$2:$X$2001,X1280,$D$2:$D$2001,"&lt;&gt;"&amp;D1280,$C$2:$C$2001,C1280)&gt;0,"SIM","NAO"))</f>
        <v/>
      </c>
      <c r="Z1280" s="5" t="str">
        <f aca="false">IF(A1280="","",IF(J1280="","",IFERROR(360/J1280,"")))</f>
        <v/>
      </c>
      <c r="AA1280" s="5" t="str">
        <f aca="false">IF(A1280="","",IF(H1280=0,"Parado (sem venda 90d)",IF(Z1280&gt;12,"Alto (&gt;12x/ano)",IF(Z1280&gt;=4,"Medio (4-12x/ano)","Baixo (&lt;4x/ano)"))))</f>
        <v/>
      </c>
    </row>
    <row r="1281" customFormat="false" ht="15" hidden="false" customHeight="true" outlineLevel="0" collapsed="false">
      <c r="A1281" s="6"/>
      <c r="B1281" s="6"/>
      <c r="C1281" s="6"/>
      <c r="D1281" s="6"/>
      <c r="E1281" s="6"/>
      <c r="F1281" s="6"/>
      <c r="G1281" s="6"/>
      <c r="H1281" s="6"/>
      <c r="I1281" s="6"/>
      <c r="J1281" s="6"/>
      <c r="K1281" s="18"/>
      <c r="L1281" s="19" t="str">
        <f aca="false">IF(A1281="","",G1281*K1281)</f>
        <v/>
      </c>
      <c r="M1281" s="20"/>
      <c r="N1281" s="6"/>
      <c r="O1281" s="6"/>
      <c r="P1281" s="5" t="str">
        <f aca="false">IF(A1281="","",H1281/90)</f>
        <v/>
      </c>
      <c r="Q1281" s="5" t="str">
        <f aca="false">IF(A1281="","",IFERROR(INDEX(Parâmetros!$C$6:$C$10,MATCH(F1281,Parâmetros!$B$6:$B$10,0)),""))</f>
        <v/>
      </c>
      <c r="R1281" s="5" t="str">
        <f aca="false">IF(OR(A1281="",P1281="",Q1281=""),"",P1281*Q1281)</f>
        <v/>
      </c>
      <c r="S1281" s="5" t="str">
        <f aca="false">IF(R1281="","",MAX(0,R1281-G1281))</f>
        <v/>
      </c>
      <c r="T1281" s="21" t="str">
        <f aca="false">IF(S1281="","",S1281*K1281)</f>
        <v/>
      </c>
      <c r="U1281" s="5" t="str">
        <f aca="false">IF(A1281="","",IF(J1281&gt;Parâmetros!$C$14,"SIM","NAO"))</f>
        <v/>
      </c>
      <c r="V1281" s="5" t="str">
        <f aca="false">IF(B1281="","",TRIM(LEFT(B1281,IFERROR(FIND(" ",B1281)-1,LEN(B1281)))))</f>
        <v/>
      </c>
      <c r="W1281" s="22"/>
      <c r="X1281" s="5" t="str">
        <f aca="false">IF(A1281="","",IF(W1281&lt;&gt;"",W1281,V1281))</f>
        <v/>
      </c>
      <c r="Y1281" s="5" t="str">
        <f aca="false">IF(A1281="","",IF(COUNTIFS($X$2:$X$2001,X1281,$D$2:$D$2001,"&lt;&gt;"&amp;D1281,$C$2:$C$2001,C1281)&gt;0,"SIM","NAO"))</f>
        <v/>
      </c>
      <c r="Z1281" s="5" t="str">
        <f aca="false">IF(A1281="","",IF(J1281="","",IFERROR(360/J1281,"")))</f>
        <v/>
      </c>
      <c r="AA1281" s="5" t="str">
        <f aca="false">IF(A1281="","",IF(H1281=0,"Parado (sem venda 90d)",IF(Z1281&gt;12,"Alto (&gt;12x/ano)",IF(Z1281&gt;=4,"Medio (4-12x/ano)","Baixo (&lt;4x/ano)"))))</f>
        <v/>
      </c>
    </row>
    <row r="1282" customFormat="false" ht="15" hidden="false" customHeight="true" outlineLevel="0" collapsed="false">
      <c r="A1282" s="6"/>
      <c r="B1282" s="6"/>
      <c r="C1282" s="6"/>
      <c r="D1282" s="6"/>
      <c r="E1282" s="6"/>
      <c r="F1282" s="6"/>
      <c r="G1282" s="6"/>
      <c r="H1282" s="6"/>
      <c r="I1282" s="6"/>
      <c r="J1282" s="6"/>
      <c r="K1282" s="18"/>
      <c r="L1282" s="19" t="str">
        <f aca="false">IF(A1282="","",G1282*K1282)</f>
        <v/>
      </c>
      <c r="M1282" s="20"/>
      <c r="N1282" s="6"/>
      <c r="O1282" s="6"/>
      <c r="P1282" s="5" t="str">
        <f aca="false">IF(A1282="","",H1282/90)</f>
        <v/>
      </c>
      <c r="Q1282" s="5" t="str">
        <f aca="false">IF(A1282="","",IFERROR(INDEX(Parâmetros!$C$6:$C$10,MATCH(F1282,Parâmetros!$B$6:$B$10,0)),""))</f>
        <v/>
      </c>
      <c r="R1282" s="5" t="str">
        <f aca="false">IF(OR(A1282="",P1282="",Q1282=""),"",P1282*Q1282)</f>
        <v/>
      </c>
      <c r="S1282" s="5" t="str">
        <f aca="false">IF(R1282="","",MAX(0,R1282-G1282))</f>
        <v/>
      </c>
      <c r="T1282" s="21" t="str">
        <f aca="false">IF(S1282="","",S1282*K1282)</f>
        <v/>
      </c>
      <c r="U1282" s="5" t="str">
        <f aca="false">IF(A1282="","",IF(J1282&gt;Parâmetros!$C$14,"SIM","NAO"))</f>
        <v/>
      </c>
      <c r="V1282" s="5" t="str">
        <f aca="false">IF(B1282="","",TRIM(LEFT(B1282,IFERROR(FIND(" ",B1282)-1,LEN(B1282)))))</f>
        <v/>
      </c>
      <c r="W1282" s="22"/>
      <c r="X1282" s="5" t="str">
        <f aca="false">IF(A1282="","",IF(W1282&lt;&gt;"",W1282,V1282))</f>
        <v/>
      </c>
      <c r="Y1282" s="5" t="str">
        <f aca="false">IF(A1282="","",IF(COUNTIFS($X$2:$X$2001,X1282,$D$2:$D$2001,"&lt;&gt;"&amp;D1282,$C$2:$C$2001,C1282)&gt;0,"SIM","NAO"))</f>
        <v/>
      </c>
      <c r="Z1282" s="5" t="str">
        <f aca="false">IF(A1282="","",IF(J1282="","",IFERROR(360/J1282,"")))</f>
        <v/>
      </c>
      <c r="AA1282" s="5" t="str">
        <f aca="false">IF(A1282="","",IF(H1282=0,"Parado (sem venda 90d)",IF(Z1282&gt;12,"Alto (&gt;12x/ano)",IF(Z1282&gt;=4,"Medio (4-12x/ano)","Baixo (&lt;4x/ano)"))))</f>
        <v/>
      </c>
    </row>
    <row r="1283" customFormat="false" ht="15" hidden="false" customHeight="true" outlineLevel="0" collapsed="false">
      <c r="A1283" s="6"/>
      <c r="B1283" s="6"/>
      <c r="C1283" s="6"/>
      <c r="D1283" s="6"/>
      <c r="E1283" s="6"/>
      <c r="F1283" s="6"/>
      <c r="G1283" s="6"/>
      <c r="H1283" s="6"/>
      <c r="I1283" s="6"/>
      <c r="J1283" s="6"/>
      <c r="K1283" s="18"/>
      <c r="L1283" s="19" t="str">
        <f aca="false">IF(A1283="","",G1283*K1283)</f>
        <v/>
      </c>
      <c r="M1283" s="20"/>
      <c r="N1283" s="6"/>
      <c r="O1283" s="6"/>
      <c r="P1283" s="5" t="str">
        <f aca="false">IF(A1283="","",H1283/90)</f>
        <v/>
      </c>
      <c r="Q1283" s="5" t="str">
        <f aca="false">IF(A1283="","",IFERROR(INDEX(Parâmetros!$C$6:$C$10,MATCH(F1283,Parâmetros!$B$6:$B$10,0)),""))</f>
        <v/>
      </c>
      <c r="R1283" s="5" t="str">
        <f aca="false">IF(OR(A1283="",P1283="",Q1283=""),"",P1283*Q1283)</f>
        <v/>
      </c>
      <c r="S1283" s="5" t="str">
        <f aca="false">IF(R1283="","",MAX(0,R1283-G1283))</f>
        <v/>
      </c>
      <c r="T1283" s="21" t="str">
        <f aca="false">IF(S1283="","",S1283*K1283)</f>
        <v/>
      </c>
      <c r="U1283" s="5" t="str">
        <f aca="false">IF(A1283="","",IF(J1283&gt;Parâmetros!$C$14,"SIM","NAO"))</f>
        <v/>
      </c>
      <c r="V1283" s="5" t="str">
        <f aca="false">IF(B1283="","",TRIM(LEFT(B1283,IFERROR(FIND(" ",B1283)-1,LEN(B1283)))))</f>
        <v/>
      </c>
      <c r="W1283" s="22"/>
      <c r="X1283" s="5" t="str">
        <f aca="false">IF(A1283="","",IF(W1283&lt;&gt;"",W1283,V1283))</f>
        <v/>
      </c>
      <c r="Y1283" s="5" t="str">
        <f aca="false">IF(A1283="","",IF(COUNTIFS($X$2:$X$2001,X1283,$D$2:$D$2001,"&lt;&gt;"&amp;D1283,$C$2:$C$2001,C1283)&gt;0,"SIM","NAO"))</f>
        <v/>
      </c>
      <c r="Z1283" s="5" t="str">
        <f aca="false">IF(A1283="","",IF(J1283="","",IFERROR(360/J1283,"")))</f>
        <v/>
      </c>
      <c r="AA1283" s="5" t="str">
        <f aca="false">IF(A1283="","",IF(H1283=0,"Parado (sem venda 90d)",IF(Z1283&gt;12,"Alto (&gt;12x/ano)",IF(Z1283&gt;=4,"Medio (4-12x/ano)","Baixo (&lt;4x/ano)"))))</f>
        <v/>
      </c>
    </row>
    <row r="1284" customFormat="false" ht="15" hidden="false" customHeight="true" outlineLevel="0" collapsed="false">
      <c r="A1284" s="6"/>
      <c r="B1284" s="6"/>
      <c r="C1284" s="6"/>
      <c r="D1284" s="6"/>
      <c r="E1284" s="6"/>
      <c r="F1284" s="6"/>
      <c r="G1284" s="6"/>
      <c r="H1284" s="6"/>
      <c r="I1284" s="6"/>
      <c r="J1284" s="6"/>
      <c r="K1284" s="18"/>
      <c r="L1284" s="19" t="str">
        <f aca="false">IF(A1284="","",G1284*K1284)</f>
        <v/>
      </c>
      <c r="M1284" s="20"/>
      <c r="N1284" s="6"/>
      <c r="O1284" s="6"/>
      <c r="P1284" s="5" t="str">
        <f aca="false">IF(A1284="","",H1284/90)</f>
        <v/>
      </c>
      <c r="Q1284" s="5" t="str">
        <f aca="false">IF(A1284="","",IFERROR(INDEX(Parâmetros!$C$6:$C$10,MATCH(F1284,Parâmetros!$B$6:$B$10,0)),""))</f>
        <v/>
      </c>
      <c r="R1284" s="5" t="str">
        <f aca="false">IF(OR(A1284="",P1284="",Q1284=""),"",P1284*Q1284)</f>
        <v/>
      </c>
      <c r="S1284" s="5" t="str">
        <f aca="false">IF(R1284="","",MAX(0,R1284-G1284))</f>
        <v/>
      </c>
      <c r="T1284" s="21" t="str">
        <f aca="false">IF(S1284="","",S1284*K1284)</f>
        <v/>
      </c>
      <c r="U1284" s="5" t="str">
        <f aca="false">IF(A1284="","",IF(J1284&gt;Parâmetros!$C$14,"SIM","NAO"))</f>
        <v/>
      </c>
      <c r="V1284" s="5" t="str">
        <f aca="false">IF(B1284="","",TRIM(LEFT(B1284,IFERROR(FIND(" ",B1284)-1,LEN(B1284)))))</f>
        <v/>
      </c>
      <c r="W1284" s="22"/>
      <c r="X1284" s="5" t="str">
        <f aca="false">IF(A1284="","",IF(W1284&lt;&gt;"",W1284,V1284))</f>
        <v/>
      </c>
      <c r="Y1284" s="5" t="str">
        <f aca="false">IF(A1284="","",IF(COUNTIFS($X$2:$X$2001,X1284,$D$2:$D$2001,"&lt;&gt;"&amp;D1284,$C$2:$C$2001,C1284)&gt;0,"SIM","NAO"))</f>
        <v/>
      </c>
      <c r="Z1284" s="5" t="str">
        <f aca="false">IF(A1284="","",IF(J1284="","",IFERROR(360/J1284,"")))</f>
        <v/>
      </c>
      <c r="AA1284" s="5" t="str">
        <f aca="false">IF(A1284="","",IF(H1284=0,"Parado (sem venda 90d)",IF(Z1284&gt;12,"Alto (&gt;12x/ano)",IF(Z1284&gt;=4,"Medio (4-12x/ano)","Baixo (&lt;4x/ano)"))))</f>
        <v/>
      </c>
    </row>
    <row r="1285" customFormat="false" ht="15" hidden="false" customHeight="true" outlineLevel="0" collapsed="false">
      <c r="A1285" s="6"/>
      <c r="B1285" s="6"/>
      <c r="C1285" s="6"/>
      <c r="D1285" s="6"/>
      <c r="E1285" s="6"/>
      <c r="F1285" s="6"/>
      <c r="G1285" s="6"/>
      <c r="H1285" s="6"/>
      <c r="I1285" s="6"/>
      <c r="J1285" s="6"/>
      <c r="K1285" s="18"/>
      <c r="L1285" s="19" t="str">
        <f aca="false">IF(A1285="","",G1285*K1285)</f>
        <v/>
      </c>
      <c r="M1285" s="20"/>
      <c r="N1285" s="6"/>
      <c r="O1285" s="6"/>
      <c r="P1285" s="5" t="str">
        <f aca="false">IF(A1285="","",H1285/90)</f>
        <v/>
      </c>
      <c r="Q1285" s="5" t="str">
        <f aca="false">IF(A1285="","",IFERROR(INDEX(Parâmetros!$C$6:$C$10,MATCH(F1285,Parâmetros!$B$6:$B$10,0)),""))</f>
        <v/>
      </c>
      <c r="R1285" s="5" t="str">
        <f aca="false">IF(OR(A1285="",P1285="",Q1285=""),"",P1285*Q1285)</f>
        <v/>
      </c>
      <c r="S1285" s="5" t="str">
        <f aca="false">IF(R1285="","",MAX(0,R1285-G1285))</f>
        <v/>
      </c>
      <c r="T1285" s="21" t="str">
        <f aca="false">IF(S1285="","",S1285*K1285)</f>
        <v/>
      </c>
      <c r="U1285" s="5" t="str">
        <f aca="false">IF(A1285="","",IF(J1285&gt;Parâmetros!$C$14,"SIM","NAO"))</f>
        <v/>
      </c>
      <c r="V1285" s="5" t="str">
        <f aca="false">IF(B1285="","",TRIM(LEFT(B1285,IFERROR(FIND(" ",B1285)-1,LEN(B1285)))))</f>
        <v/>
      </c>
      <c r="W1285" s="22"/>
      <c r="X1285" s="5" t="str">
        <f aca="false">IF(A1285="","",IF(W1285&lt;&gt;"",W1285,V1285))</f>
        <v/>
      </c>
      <c r="Y1285" s="5" t="str">
        <f aca="false">IF(A1285="","",IF(COUNTIFS($X$2:$X$2001,X1285,$D$2:$D$2001,"&lt;&gt;"&amp;D1285,$C$2:$C$2001,C1285)&gt;0,"SIM","NAO"))</f>
        <v/>
      </c>
      <c r="Z1285" s="5" t="str">
        <f aca="false">IF(A1285="","",IF(J1285="","",IFERROR(360/J1285,"")))</f>
        <v/>
      </c>
      <c r="AA1285" s="5" t="str">
        <f aca="false">IF(A1285="","",IF(H1285=0,"Parado (sem venda 90d)",IF(Z1285&gt;12,"Alto (&gt;12x/ano)",IF(Z1285&gt;=4,"Medio (4-12x/ano)","Baixo (&lt;4x/ano)"))))</f>
        <v/>
      </c>
    </row>
    <row r="1286" customFormat="false" ht="15" hidden="false" customHeight="true" outlineLevel="0" collapsed="false">
      <c r="A1286" s="6"/>
      <c r="B1286" s="6"/>
      <c r="C1286" s="6"/>
      <c r="D1286" s="6"/>
      <c r="E1286" s="6"/>
      <c r="F1286" s="6"/>
      <c r="G1286" s="6"/>
      <c r="H1286" s="6"/>
      <c r="I1286" s="6"/>
      <c r="J1286" s="6"/>
      <c r="K1286" s="18"/>
      <c r="L1286" s="19" t="str">
        <f aca="false">IF(A1286="","",G1286*K1286)</f>
        <v/>
      </c>
      <c r="M1286" s="20"/>
      <c r="N1286" s="6"/>
      <c r="O1286" s="6"/>
      <c r="P1286" s="5" t="str">
        <f aca="false">IF(A1286="","",H1286/90)</f>
        <v/>
      </c>
      <c r="Q1286" s="5" t="str">
        <f aca="false">IF(A1286="","",IFERROR(INDEX(Parâmetros!$C$6:$C$10,MATCH(F1286,Parâmetros!$B$6:$B$10,0)),""))</f>
        <v/>
      </c>
      <c r="R1286" s="5" t="str">
        <f aca="false">IF(OR(A1286="",P1286="",Q1286=""),"",P1286*Q1286)</f>
        <v/>
      </c>
      <c r="S1286" s="5" t="str">
        <f aca="false">IF(R1286="","",MAX(0,R1286-G1286))</f>
        <v/>
      </c>
      <c r="T1286" s="21" t="str">
        <f aca="false">IF(S1286="","",S1286*K1286)</f>
        <v/>
      </c>
      <c r="U1286" s="5" t="str">
        <f aca="false">IF(A1286="","",IF(J1286&gt;Parâmetros!$C$14,"SIM","NAO"))</f>
        <v/>
      </c>
      <c r="V1286" s="5" t="str">
        <f aca="false">IF(B1286="","",TRIM(LEFT(B1286,IFERROR(FIND(" ",B1286)-1,LEN(B1286)))))</f>
        <v/>
      </c>
      <c r="W1286" s="22"/>
      <c r="X1286" s="5" t="str">
        <f aca="false">IF(A1286="","",IF(W1286&lt;&gt;"",W1286,V1286))</f>
        <v/>
      </c>
      <c r="Y1286" s="5" t="str">
        <f aca="false">IF(A1286="","",IF(COUNTIFS($X$2:$X$2001,X1286,$D$2:$D$2001,"&lt;&gt;"&amp;D1286,$C$2:$C$2001,C1286)&gt;0,"SIM","NAO"))</f>
        <v/>
      </c>
      <c r="Z1286" s="5" t="str">
        <f aca="false">IF(A1286="","",IF(J1286="","",IFERROR(360/J1286,"")))</f>
        <v/>
      </c>
      <c r="AA1286" s="5" t="str">
        <f aca="false">IF(A1286="","",IF(H1286=0,"Parado (sem venda 90d)",IF(Z1286&gt;12,"Alto (&gt;12x/ano)",IF(Z1286&gt;=4,"Medio (4-12x/ano)","Baixo (&lt;4x/ano)"))))</f>
        <v/>
      </c>
    </row>
    <row r="1287" customFormat="false" ht="15" hidden="false" customHeight="true" outlineLevel="0" collapsed="false">
      <c r="A1287" s="6"/>
      <c r="B1287" s="6"/>
      <c r="C1287" s="6"/>
      <c r="D1287" s="6"/>
      <c r="E1287" s="6"/>
      <c r="F1287" s="6"/>
      <c r="G1287" s="6"/>
      <c r="H1287" s="6"/>
      <c r="I1287" s="6"/>
      <c r="J1287" s="6"/>
      <c r="K1287" s="18"/>
      <c r="L1287" s="19" t="str">
        <f aca="false">IF(A1287="","",G1287*K1287)</f>
        <v/>
      </c>
      <c r="M1287" s="20"/>
      <c r="N1287" s="6"/>
      <c r="O1287" s="6"/>
      <c r="P1287" s="5" t="str">
        <f aca="false">IF(A1287="","",H1287/90)</f>
        <v/>
      </c>
      <c r="Q1287" s="5" t="str">
        <f aca="false">IF(A1287="","",IFERROR(INDEX(Parâmetros!$C$6:$C$10,MATCH(F1287,Parâmetros!$B$6:$B$10,0)),""))</f>
        <v/>
      </c>
      <c r="R1287" s="5" t="str">
        <f aca="false">IF(OR(A1287="",P1287="",Q1287=""),"",P1287*Q1287)</f>
        <v/>
      </c>
      <c r="S1287" s="5" t="str">
        <f aca="false">IF(R1287="","",MAX(0,R1287-G1287))</f>
        <v/>
      </c>
      <c r="T1287" s="21" t="str">
        <f aca="false">IF(S1287="","",S1287*K1287)</f>
        <v/>
      </c>
      <c r="U1287" s="5" t="str">
        <f aca="false">IF(A1287="","",IF(J1287&gt;Parâmetros!$C$14,"SIM","NAO"))</f>
        <v/>
      </c>
      <c r="V1287" s="5" t="str">
        <f aca="false">IF(B1287="","",TRIM(LEFT(B1287,IFERROR(FIND(" ",B1287)-1,LEN(B1287)))))</f>
        <v/>
      </c>
      <c r="W1287" s="22"/>
      <c r="X1287" s="5" t="str">
        <f aca="false">IF(A1287="","",IF(W1287&lt;&gt;"",W1287,V1287))</f>
        <v/>
      </c>
      <c r="Y1287" s="5" t="str">
        <f aca="false">IF(A1287="","",IF(COUNTIFS($X$2:$X$2001,X1287,$D$2:$D$2001,"&lt;&gt;"&amp;D1287,$C$2:$C$2001,C1287)&gt;0,"SIM","NAO"))</f>
        <v/>
      </c>
      <c r="Z1287" s="5" t="str">
        <f aca="false">IF(A1287="","",IF(J1287="","",IFERROR(360/J1287,"")))</f>
        <v/>
      </c>
      <c r="AA1287" s="5" t="str">
        <f aca="false">IF(A1287="","",IF(H1287=0,"Parado (sem venda 90d)",IF(Z1287&gt;12,"Alto (&gt;12x/ano)",IF(Z1287&gt;=4,"Medio (4-12x/ano)","Baixo (&lt;4x/ano)"))))</f>
        <v/>
      </c>
    </row>
    <row r="1288" customFormat="false" ht="15" hidden="false" customHeight="true" outlineLevel="0" collapsed="false">
      <c r="A1288" s="6"/>
      <c r="B1288" s="6"/>
      <c r="C1288" s="6"/>
      <c r="D1288" s="6"/>
      <c r="E1288" s="6"/>
      <c r="F1288" s="6"/>
      <c r="G1288" s="6"/>
      <c r="H1288" s="6"/>
      <c r="I1288" s="6"/>
      <c r="J1288" s="6"/>
      <c r="K1288" s="18"/>
      <c r="L1288" s="19" t="str">
        <f aca="false">IF(A1288="","",G1288*K1288)</f>
        <v/>
      </c>
      <c r="M1288" s="20"/>
      <c r="N1288" s="6"/>
      <c r="O1288" s="6"/>
      <c r="P1288" s="5" t="str">
        <f aca="false">IF(A1288="","",H1288/90)</f>
        <v/>
      </c>
      <c r="Q1288" s="5" t="str">
        <f aca="false">IF(A1288="","",IFERROR(INDEX(Parâmetros!$C$6:$C$10,MATCH(F1288,Parâmetros!$B$6:$B$10,0)),""))</f>
        <v/>
      </c>
      <c r="R1288" s="5" t="str">
        <f aca="false">IF(OR(A1288="",P1288="",Q1288=""),"",P1288*Q1288)</f>
        <v/>
      </c>
      <c r="S1288" s="5" t="str">
        <f aca="false">IF(R1288="","",MAX(0,R1288-G1288))</f>
        <v/>
      </c>
      <c r="T1288" s="21" t="str">
        <f aca="false">IF(S1288="","",S1288*K1288)</f>
        <v/>
      </c>
      <c r="U1288" s="5" t="str">
        <f aca="false">IF(A1288="","",IF(J1288&gt;Parâmetros!$C$14,"SIM","NAO"))</f>
        <v/>
      </c>
      <c r="V1288" s="5" t="str">
        <f aca="false">IF(B1288="","",TRIM(LEFT(B1288,IFERROR(FIND(" ",B1288)-1,LEN(B1288)))))</f>
        <v/>
      </c>
      <c r="W1288" s="22"/>
      <c r="X1288" s="5" t="str">
        <f aca="false">IF(A1288="","",IF(W1288&lt;&gt;"",W1288,V1288))</f>
        <v/>
      </c>
      <c r="Y1288" s="5" t="str">
        <f aca="false">IF(A1288="","",IF(COUNTIFS($X$2:$X$2001,X1288,$D$2:$D$2001,"&lt;&gt;"&amp;D1288,$C$2:$C$2001,C1288)&gt;0,"SIM","NAO"))</f>
        <v/>
      </c>
      <c r="Z1288" s="5" t="str">
        <f aca="false">IF(A1288="","",IF(J1288="","",IFERROR(360/J1288,"")))</f>
        <v/>
      </c>
      <c r="AA1288" s="5" t="str">
        <f aca="false">IF(A1288="","",IF(H1288=0,"Parado (sem venda 90d)",IF(Z1288&gt;12,"Alto (&gt;12x/ano)",IF(Z1288&gt;=4,"Medio (4-12x/ano)","Baixo (&lt;4x/ano)"))))</f>
        <v/>
      </c>
    </row>
    <row r="1289" customFormat="false" ht="15" hidden="false" customHeight="true" outlineLevel="0" collapsed="false">
      <c r="A1289" s="6"/>
      <c r="B1289" s="6"/>
      <c r="C1289" s="6"/>
      <c r="D1289" s="6"/>
      <c r="E1289" s="6"/>
      <c r="F1289" s="6"/>
      <c r="G1289" s="6"/>
      <c r="H1289" s="6"/>
      <c r="I1289" s="6"/>
      <c r="J1289" s="6"/>
      <c r="K1289" s="18"/>
      <c r="L1289" s="19" t="str">
        <f aca="false">IF(A1289="","",G1289*K1289)</f>
        <v/>
      </c>
      <c r="M1289" s="20"/>
      <c r="N1289" s="6"/>
      <c r="O1289" s="6"/>
      <c r="P1289" s="5" t="str">
        <f aca="false">IF(A1289="","",H1289/90)</f>
        <v/>
      </c>
      <c r="Q1289" s="5" t="str">
        <f aca="false">IF(A1289="","",IFERROR(INDEX(Parâmetros!$C$6:$C$10,MATCH(F1289,Parâmetros!$B$6:$B$10,0)),""))</f>
        <v/>
      </c>
      <c r="R1289" s="5" t="str">
        <f aca="false">IF(OR(A1289="",P1289="",Q1289=""),"",P1289*Q1289)</f>
        <v/>
      </c>
      <c r="S1289" s="5" t="str">
        <f aca="false">IF(R1289="","",MAX(0,R1289-G1289))</f>
        <v/>
      </c>
      <c r="T1289" s="21" t="str">
        <f aca="false">IF(S1289="","",S1289*K1289)</f>
        <v/>
      </c>
      <c r="U1289" s="5" t="str">
        <f aca="false">IF(A1289="","",IF(J1289&gt;Parâmetros!$C$14,"SIM","NAO"))</f>
        <v/>
      </c>
      <c r="V1289" s="5" t="str">
        <f aca="false">IF(B1289="","",TRIM(LEFT(B1289,IFERROR(FIND(" ",B1289)-1,LEN(B1289)))))</f>
        <v/>
      </c>
      <c r="W1289" s="22"/>
      <c r="X1289" s="5" t="str">
        <f aca="false">IF(A1289="","",IF(W1289&lt;&gt;"",W1289,V1289))</f>
        <v/>
      </c>
      <c r="Y1289" s="5" t="str">
        <f aca="false">IF(A1289="","",IF(COUNTIFS($X$2:$X$2001,X1289,$D$2:$D$2001,"&lt;&gt;"&amp;D1289,$C$2:$C$2001,C1289)&gt;0,"SIM","NAO"))</f>
        <v/>
      </c>
      <c r="Z1289" s="5" t="str">
        <f aca="false">IF(A1289="","",IF(J1289="","",IFERROR(360/J1289,"")))</f>
        <v/>
      </c>
      <c r="AA1289" s="5" t="str">
        <f aca="false">IF(A1289="","",IF(H1289=0,"Parado (sem venda 90d)",IF(Z1289&gt;12,"Alto (&gt;12x/ano)",IF(Z1289&gt;=4,"Medio (4-12x/ano)","Baixo (&lt;4x/ano)"))))</f>
        <v/>
      </c>
    </row>
    <row r="1290" customFormat="false" ht="15" hidden="false" customHeight="true" outlineLevel="0" collapsed="false">
      <c r="A1290" s="6"/>
      <c r="B1290" s="6"/>
      <c r="C1290" s="6"/>
      <c r="D1290" s="6"/>
      <c r="E1290" s="6"/>
      <c r="F1290" s="6"/>
      <c r="G1290" s="6"/>
      <c r="H1290" s="6"/>
      <c r="I1290" s="6"/>
      <c r="J1290" s="6"/>
      <c r="K1290" s="18"/>
      <c r="L1290" s="19" t="str">
        <f aca="false">IF(A1290="","",G1290*K1290)</f>
        <v/>
      </c>
      <c r="M1290" s="20"/>
      <c r="N1290" s="6"/>
      <c r="O1290" s="6"/>
      <c r="P1290" s="5" t="str">
        <f aca="false">IF(A1290="","",H1290/90)</f>
        <v/>
      </c>
      <c r="Q1290" s="5" t="str">
        <f aca="false">IF(A1290="","",IFERROR(INDEX(Parâmetros!$C$6:$C$10,MATCH(F1290,Parâmetros!$B$6:$B$10,0)),""))</f>
        <v/>
      </c>
      <c r="R1290" s="5" t="str">
        <f aca="false">IF(OR(A1290="",P1290="",Q1290=""),"",P1290*Q1290)</f>
        <v/>
      </c>
      <c r="S1290" s="5" t="str">
        <f aca="false">IF(R1290="","",MAX(0,R1290-G1290))</f>
        <v/>
      </c>
      <c r="T1290" s="21" t="str">
        <f aca="false">IF(S1290="","",S1290*K1290)</f>
        <v/>
      </c>
      <c r="U1290" s="5" t="str">
        <f aca="false">IF(A1290="","",IF(J1290&gt;Parâmetros!$C$14,"SIM","NAO"))</f>
        <v/>
      </c>
      <c r="V1290" s="5" t="str">
        <f aca="false">IF(B1290="","",TRIM(LEFT(B1290,IFERROR(FIND(" ",B1290)-1,LEN(B1290)))))</f>
        <v/>
      </c>
      <c r="W1290" s="22"/>
      <c r="X1290" s="5" t="str">
        <f aca="false">IF(A1290="","",IF(W1290&lt;&gt;"",W1290,V1290))</f>
        <v/>
      </c>
      <c r="Y1290" s="5" t="str">
        <f aca="false">IF(A1290="","",IF(COUNTIFS($X$2:$X$2001,X1290,$D$2:$D$2001,"&lt;&gt;"&amp;D1290,$C$2:$C$2001,C1290)&gt;0,"SIM","NAO"))</f>
        <v/>
      </c>
      <c r="Z1290" s="5" t="str">
        <f aca="false">IF(A1290="","",IF(J1290="","",IFERROR(360/J1290,"")))</f>
        <v/>
      </c>
      <c r="AA1290" s="5" t="str">
        <f aca="false">IF(A1290="","",IF(H1290=0,"Parado (sem venda 90d)",IF(Z1290&gt;12,"Alto (&gt;12x/ano)",IF(Z1290&gt;=4,"Medio (4-12x/ano)","Baixo (&lt;4x/ano)"))))</f>
        <v/>
      </c>
    </row>
    <row r="1291" customFormat="false" ht="15" hidden="false" customHeight="true" outlineLevel="0" collapsed="false">
      <c r="A1291" s="6"/>
      <c r="B1291" s="6"/>
      <c r="C1291" s="6"/>
      <c r="D1291" s="6"/>
      <c r="E1291" s="6"/>
      <c r="F1291" s="6"/>
      <c r="G1291" s="6"/>
      <c r="H1291" s="6"/>
      <c r="I1291" s="6"/>
      <c r="J1291" s="6"/>
      <c r="K1291" s="18"/>
      <c r="L1291" s="19" t="str">
        <f aca="false">IF(A1291="","",G1291*K1291)</f>
        <v/>
      </c>
      <c r="M1291" s="20"/>
      <c r="N1291" s="6"/>
      <c r="O1291" s="6"/>
      <c r="P1291" s="5" t="str">
        <f aca="false">IF(A1291="","",H1291/90)</f>
        <v/>
      </c>
      <c r="Q1291" s="5" t="str">
        <f aca="false">IF(A1291="","",IFERROR(INDEX(Parâmetros!$C$6:$C$10,MATCH(F1291,Parâmetros!$B$6:$B$10,0)),""))</f>
        <v/>
      </c>
      <c r="R1291" s="5" t="str">
        <f aca="false">IF(OR(A1291="",P1291="",Q1291=""),"",P1291*Q1291)</f>
        <v/>
      </c>
      <c r="S1291" s="5" t="str">
        <f aca="false">IF(R1291="","",MAX(0,R1291-G1291))</f>
        <v/>
      </c>
      <c r="T1291" s="21" t="str">
        <f aca="false">IF(S1291="","",S1291*K1291)</f>
        <v/>
      </c>
      <c r="U1291" s="5" t="str">
        <f aca="false">IF(A1291="","",IF(J1291&gt;Parâmetros!$C$14,"SIM","NAO"))</f>
        <v/>
      </c>
      <c r="V1291" s="5" t="str">
        <f aca="false">IF(B1291="","",TRIM(LEFT(B1291,IFERROR(FIND(" ",B1291)-1,LEN(B1291)))))</f>
        <v/>
      </c>
      <c r="W1291" s="22"/>
      <c r="X1291" s="5" t="str">
        <f aca="false">IF(A1291="","",IF(W1291&lt;&gt;"",W1291,V1291))</f>
        <v/>
      </c>
      <c r="Y1291" s="5" t="str">
        <f aca="false">IF(A1291="","",IF(COUNTIFS($X$2:$X$2001,X1291,$D$2:$D$2001,"&lt;&gt;"&amp;D1291,$C$2:$C$2001,C1291)&gt;0,"SIM","NAO"))</f>
        <v/>
      </c>
      <c r="Z1291" s="5" t="str">
        <f aca="false">IF(A1291="","",IF(J1291="","",IFERROR(360/J1291,"")))</f>
        <v/>
      </c>
      <c r="AA1291" s="5" t="str">
        <f aca="false">IF(A1291="","",IF(H1291=0,"Parado (sem venda 90d)",IF(Z1291&gt;12,"Alto (&gt;12x/ano)",IF(Z1291&gt;=4,"Medio (4-12x/ano)","Baixo (&lt;4x/ano)"))))</f>
        <v/>
      </c>
    </row>
    <row r="1292" customFormat="false" ht="15" hidden="false" customHeight="true" outlineLevel="0" collapsed="false">
      <c r="A1292" s="6"/>
      <c r="B1292" s="6"/>
      <c r="C1292" s="6"/>
      <c r="D1292" s="6"/>
      <c r="E1292" s="6"/>
      <c r="F1292" s="6"/>
      <c r="G1292" s="6"/>
      <c r="H1292" s="6"/>
      <c r="I1292" s="6"/>
      <c r="J1292" s="6"/>
      <c r="K1292" s="18"/>
      <c r="L1292" s="19" t="str">
        <f aca="false">IF(A1292="","",G1292*K1292)</f>
        <v/>
      </c>
      <c r="M1292" s="20"/>
      <c r="N1292" s="6"/>
      <c r="O1292" s="6"/>
      <c r="P1292" s="5" t="str">
        <f aca="false">IF(A1292="","",H1292/90)</f>
        <v/>
      </c>
      <c r="Q1292" s="5" t="str">
        <f aca="false">IF(A1292="","",IFERROR(INDEX(Parâmetros!$C$6:$C$10,MATCH(F1292,Parâmetros!$B$6:$B$10,0)),""))</f>
        <v/>
      </c>
      <c r="R1292" s="5" t="str">
        <f aca="false">IF(OR(A1292="",P1292="",Q1292=""),"",P1292*Q1292)</f>
        <v/>
      </c>
      <c r="S1292" s="5" t="str">
        <f aca="false">IF(R1292="","",MAX(0,R1292-G1292))</f>
        <v/>
      </c>
      <c r="T1292" s="21" t="str">
        <f aca="false">IF(S1292="","",S1292*K1292)</f>
        <v/>
      </c>
      <c r="U1292" s="5" t="str">
        <f aca="false">IF(A1292="","",IF(J1292&gt;Parâmetros!$C$14,"SIM","NAO"))</f>
        <v/>
      </c>
      <c r="V1292" s="5" t="str">
        <f aca="false">IF(B1292="","",TRIM(LEFT(B1292,IFERROR(FIND(" ",B1292)-1,LEN(B1292)))))</f>
        <v/>
      </c>
      <c r="W1292" s="22"/>
      <c r="X1292" s="5" t="str">
        <f aca="false">IF(A1292="","",IF(W1292&lt;&gt;"",W1292,V1292))</f>
        <v/>
      </c>
      <c r="Y1292" s="5" t="str">
        <f aca="false">IF(A1292="","",IF(COUNTIFS($X$2:$X$2001,X1292,$D$2:$D$2001,"&lt;&gt;"&amp;D1292,$C$2:$C$2001,C1292)&gt;0,"SIM","NAO"))</f>
        <v/>
      </c>
      <c r="Z1292" s="5" t="str">
        <f aca="false">IF(A1292="","",IF(J1292="","",IFERROR(360/J1292,"")))</f>
        <v/>
      </c>
      <c r="AA1292" s="5" t="str">
        <f aca="false">IF(A1292="","",IF(H1292=0,"Parado (sem venda 90d)",IF(Z1292&gt;12,"Alto (&gt;12x/ano)",IF(Z1292&gt;=4,"Medio (4-12x/ano)","Baixo (&lt;4x/ano)"))))</f>
        <v/>
      </c>
    </row>
    <row r="1293" customFormat="false" ht="15" hidden="false" customHeight="true" outlineLevel="0" collapsed="false">
      <c r="A1293" s="6"/>
      <c r="B1293" s="6"/>
      <c r="C1293" s="6"/>
      <c r="D1293" s="6"/>
      <c r="E1293" s="6"/>
      <c r="F1293" s="6"/>
      <c r="G1293" s="6"/>
      <c r="H1293" s="6"/>
      <c r="I1293" s="6"/>
      <c r="J1293" s="6"/>
      <c r="K1293" s="18"/>
      <c r="L1293" s="19" t="str">
        <f aca="false">IF(A1293="","",G1293*K1293)</f>
        <v/>
      </c>
      <c r="M1293" s="20"/>
      <c r="N1293" s="6"/>
      <c r="O1293" s="6"/>
      <c r="P1293" s="5" t="str">
        <f aca="false">IF(A1293="","",H1293/90)</f>
        <v/>
      </c>
      <c r="Q1293" s="5" t="str">
        <f aca="false">IF(A1293="","",IFERROR(INDEX(Parâmetros!$C$6:$C$10,MATCH(F1293,Parâmetros!$B$6:$B$10,0)),""))</f>
        <v/>
      </c>
      <c r="R1293" s="5" t="str">
        <f aca="false">IF(OR(A1293="",P1293="",Q1293=""),"",P1293*Q1293)</f>
        <v/>
      </c>
      <c r="S1293" s="5" t="str">
        <f aca="false">IF(R1293="","",MAX(0,R1293-G1293))</f>
        <v/>
      </c>
      <c r="T1293" s="21" t="str">
        <f aca="false">IF(S1293="","",S1293*K1293)</f>
        <v/>
      </c>
      <c r="U1293" s="5" t="str">
        <f aca="false">IF(A1293="","",IF(J1293&gt;Parâmetros!$C$14,"SIM","NAO"))</f>
        <v/>
      </c>
      <c r="V1293" s="5" t="str">
        <f aca="false">IF(B1293="","",TRIM(LEFT(B1293,IFERROR(FIND(" ",B1293)-1,LEN(B1293)))))</f>
        <v/>
      </c>
      <c r="W1293" s="22"/>
      <c r="X1293" s="5" t="str">
        <f aca="false">IF(A1293="","",IF(W1293&lt;&gt;"",W1293,V1293))</f>
        <v/>
      </c>
      <c r="Y1293" s="5" t="str">
        <f aca="false">IF(A1293="","",IF(COUNTIFS($X$2:$X$2001,X1293,$D$2:$D$2001,"&lt;&gt;"&amp;D1293,$C$2:$C$2001,C1293)&gt;0,"SIM","NAO"))</f>
        <v/>
      </c>
      <c r="Z1293" s="5" t="str">
        <f aca="false">IF(A1293="","",IF(J1293="","",IFERROR(360/J1293,"")))</f>
        <v/>
      </c>
      <c r="AA1293" s="5" t="str">
        <f aca="false">IF(A1293="","",IF(H1293=0,"Parado (sem venda 90d)",IF(Z1293&gt;12,"Alto (&gt;12x/ano)",IF(Z1293&gt;=4,"Medio (4-12x/ano)","Baixo (&lt;4x/ano)"))))</f>
        <v/>
      </c>
    </row>
    <row r="1294" customFormat="false" ht="15" hidden="false" customHeight="true" outlineLevel="0" collapsed="false">
      <c r="A1294" s="6"/>
      <c r="B1294" s="6"/>
      <c r="C1294" s="6"/>
      <c r="D1294" s="6"/>
      <c r="E1294" s="6"/>
      <c r="F1294" s="6"/>
      <c r="G1294" s="6"/>
      <c r="H1294" s="6"/>
      <c r="I1294" s="6"/>
      <c r="J1294" s="6"/>
      <c r="K1294" s="18"/>
      <c r="L1294" s="19" t="str">
        <f aca="false">IF(A1294="","",G1294*K1294)</f>
        <v/>
      </c>
      <c r="M1294" s="20"/>
      <c r="N1294" s="6"/>
      <c r="O1294" s="6"/>
      <c r="P1294" s="5" t="str">
        <f aca="false">IF(A1294="","",H1294/90)</f>
        <v/>
      </c>
      <c r="Q1294" s="5" t="str">
        <f aca="false">IF(A1294="","",IFERROR(INDEX(Parâmetros!$C$6:$C$10,MATCH(F1294,Parâmetros!$B$6:$B$10,0)),""))</f>
        <v/>
      </c>
      <c r="R1294" s="5" t="str">
        <f aca="false">IF(OR(A1294="",P1294="",Q1294=""),"",P1294*Q1294)</f>
        <v/>
      </c>
      <c r="S1294" s="5" t="str">
        <f aca="false">IF(R1294="","",MAX(0,R1294-G1294))</f>
        <v/>
      </c>
      <c r="T1294" s="21" t="str">
        <f aca="false">IF(S1294="","",S1294*K1294)</f>
        <v/>
      </c>
      <c r="U1294" s="5" t="str">
        <f aca="false">IF(A1294="","",IF(J1294&gt;Parâmetros!$C$14,"SIM","NAO"))</f>
        <v/>
      </c>
      <c r="V1294" s="5" t="str">
        <f aca="false">IF(B1294="","",TRIM(LEFT(B1294,IFERROR(FIND(" ",B1294)-1,LEN(B1294)))))</f>
        <v/>
      </c>
      <c r="W1294" s="22"/>
      <c r="X1294" s="5" t="str">
        <f aca="false">IF(A1294="","",IF(W1294&lt;&gt;"",W1294,V1294))</f>
        <v/>
      </c>
      <c r="Y1294" s="5" t="str">
        <f aca="false">IF(A1294="","",IF(COUNTIFS($X$2:$X$2001,X1294,$D$2:$D$2001,"&lt;&gt;"&amp;D1294,$C$2:$C$2001,C1294)&gt;0,"SIM","NAO"))</f>
        <v/>
      </c>
      <c r="Z1294" s="5" t="str">
        <f aca="false">IF(A1294="","",IF(J1294="","",IFERROR(360/J1294,"")))</f>
        <v/>
      </c>
      <c r="AA1294" s="5" t="str">
        <f aca="false">IF(A1294="","",IF(H1294=0,"Parado (sem venda 90d)",IF(Z1294&gt;12,"Alto (&gt;12x/ano)",IF(Z1294&gt;=4,"Medio (4-12x/ano)","Baixo (&lt;4x/ano)"))))</f>
        <v/>
      </c>
    </row>
    <row r="1295" customFormat="false" ht="15" hidden="false" customHeight="true" outlineLevel="0" collapsed="false">
      <c r="A1295" s="6"/>
      <c r="B1295" s="6"/>
      <c r="C1295" s="6"/>
      <c r="D1295" s="6"/>
      <c r="E1295" s="6"/>
      <c r="F1295" s="6"/>
      <c r="G1295" s="6"/>
      <c r="H1295" s="6"/>
      <c r="I1295" s="6"/>
      <c r="J1295" s="6"/>
      <c r="K1295" s="18"/>
      <c r="L1295" s="19" t="str">
        <f aca="false">IF(A1295="","",G1295*K1295)</f>
        <v/>
      </c>
      <c r="M1295" s="20"/>
      <c r="N1295" s="6"/>
      <c r="O1295" s="6"/>
      <c r="P1295" s="5" t="str">
        <f aca="false">IF(A1295="","",H1295/90)</f>
        <v/>
      </c>
      <c r="Q1295" s="5" t="str">
        <f aca="false">IF(A1295="","",IFERROR(INDEX(Parâmetros!$C$6:$C$10,MATCH(F1295,Parâmetros!$B$6:$B$10,0)),""))</f>
        <v/>
      </c>
      <c r="R1295" s="5" t="str">
        <f aca="false">IF(OR(A1295="",P1295="",Q1295=""),"",P1295*Q1295)</f>
        <v/>
      </c>
      <c r="S1295" s="5" t="str">
        <f aca="false">IF(R1295="","",MAX(0,R1295-G1295))</f>
        <v/>
      </c>
      <c r="T1295" s="21" t="str">
        <f aca="false">IF(S1295="","",S1295*K1295)</f>
        <v/>
      </c>
      <c r="U1295" s="5" t="str">
        <f aca="false">IF(A1295="","",IF(J1295&gt;Parâmetros!$C$14,"SIM","NAO"))</f>
        <v/>
      </c>
      <c r="V1295" s="5" t="str">
        <f aca="false">IF(B1295="","",TRIM(LEFT(B1295,IFERROR(FIND(" ",B1295)-1,LEN(B1295)))))</f>
        <v/>
      </c>
      <c r="W1295" s="22"/>
      <c r="X1295" s="5" t="str">
        <f aca="false">IF(A1295="","",IF(W1295&lt;&gt;"",W1295,V1295))</f>
        <v/>
      </c>
      <c r="Y1295" s="5" t="str">
        <f aca="false">IF(A1295="","",IF(COUNTIFS($X$2:$X$2001,X1295,$D$2:$D$2001,"&lt;&gt;"&amp;D1295,$C$2:$C$2001,C1295)&gt;0,"SIM","NAO"))</f>
        <v/>
      </c>
      <c r="Z1295" s="5" t="str">
        <f aca="false">IF(A1295="","",IF(J1295="","",IFERROR(360/J1295,"")))</f>
        <v/>
      </c>
      <c r="AA1295" s="5" t="str">
        <f aca="false">IF(A1295="","",IF(H1295=0,"Parado (sem venda 90d)",IF(Z1295&gt;12,"Alto (&gt;12x/ano)",IF(Z1295&gt;=4,"Medio (4-12x/ano)","Baixo (&lt;4x/ano)"))))</f>
        <v/>
      </c>
    </row>
    <row r="1296" customFormat="false" ht="15" hidden="false" customHeight="true" outlineLevel="0" collapsed="false">
      <c r="A1296" s="6"/>
      <c r="B1296" s="6"/>
      <c r="C1296" s="6"/>
      <c r="D1296" s="6"/>
      <c r="E1296" s="6"/>
      <c r="F1296" s="6"/>
      <c r="G1296" s="6"/>
      <c r="H1296" s="6"/>
      <c r="I1296" s="6"/>
      <c r="J1296" s="6"/>
      <c r="K1296" s="18"/>
      <c r="L1296" s="19" t="str">
        <f aca="false">IF(A1296="","",G1296*K1296)</f>
        <v/>
      </c>
      <c r="M1296" s="20"/>
      <c r="N1296" s="6"/>
      <c r="O1296" s="6"/>
      <c r="P1296" s="5" t="str">
        <f aca="false">IF(A1296="","",H1296/90)</f>
        <v/>
      </c>
      <c r="Q1296" s="5" t="str">
        <f aca="false">IF(A1296="","",IFERROR(INDEX(Parâmetros!$C$6:$C$10,MATCH(F1296,Parâmetros!$B$6:$B$10,0)),""))</f>
        <v/>
      </c>
      <c r="R1296" s="5" t="str">
        <f aca="false">IF(OR(A1296="",P1296="",Q1296=""),"",P1296*Q1296)</f>
        <v/>
      </c>
      <c r="S1296" s="5" t="str">
        <f aca="false">IF(R1296="","",MAX(0,R1296-G1296))</f>
        <v/>
      </c>
      <c r="T1296" s="21" t="str">
        <f aca="false">IF(S1296="","",S1296*K1296)</f>
        <v/>
      </c>
      <c r="U1296" s="5" t="str">
        <f aca="false">IF(A1296="","",IF(J1296&gt;Parâmetros!$C$14,"SIM","NAO"))</f>
        <v/>
      </c>
      <c r="V1296" s="5" t="str">
        <f aca="false">IF(B1296="","",TRIM(LEFT(B1296,IFERROR(FIND(" ",B1296)-1,LEN(B1296)))))</f>
        <v/>
      </c>
      <c r="W1296" s="22"/>
      <c r="X1296" s="5" t="str">
        <f aca="false">IF(A1296="","",IF(W1296&lt;&gt;"",W1296,V1296))</f>
        <v/>
      </c>
      <c r="Y1296" s="5" t="str">
        <f aca="false">IF(A1296="","",IF(COUNTIFS($X$2:$X$2001,X1296,$D$2:$D$2001,"&lt;&gt;"&amp;D1296,$C$2:$C$2001,C1296)&gt;0,"SIM","NAO"))</f>
        <v/>
      </c>
      <c r="Z1296" s="5" t="str">
        <f aca="false">IF(A1296="","",IF(J1296="","",IFERROR(360/J1296,"")))</f>
        <v/>
      </c>
      <c r="AA1296" s="5" t="str">
        <f aca="false">IF(A1296="","",IF(H1296=0,"Parado (sem venda 90d)",IF(Z1296&gt;12,"Alto (&gt;12x/ano)",IF(Z1296&gt;=4,"Medio (4-12x/ano)","Baixo (&lt;4x/ano)"))))</f>
        <v/>
      </c>
    </row>
    <row r="1297" customFormat="false" ht="15" hidden="false" customHeight="true" outlineLevel="0" collapsed="false">
      <c r="A1297" s="6"/>
      <c r="B1297" s="6"/>
      <c r="C1297" s="6"/>
      <c r="D1297" s="6"/>
      <c r="E1297" s="6"/>
      <c r="F1297" s="6"/>
      <c r="G1297" s="6"/>
      <c r="H1297" s="6"/>
      <c r="I1297" s="6"/>
      <c r="J1297" s="6"/>
      <c r="K1297" s="18"/>
      <c r="L1297" s="19" t="str">
        <f aca="false">IF(A1297="","",G1297*K1297)</f>
        <v/>
      </c>
      <c r="M1297" s="20"/>
      <c r="N1297" s="6"/>
      <c r="O1297" s="6"/>
      <c r="P1297" s="5" t="str">
        <f aca="false">IF(A1297="","",H1297/90)</f>
        <v/>
      </c>
      <c r="Q1297" s="5" t="str">
        <f aca="false">IF(A1297="","",IFERROR(INDEX(Parâmetros!$C$6:$C$10,MATCH(F1297,Parâmetros!$B$6:$B$10,0)),""))</f>
        <v/>
      </c>
      <c r="R1297" s="5" t="str">
        <f aca="false">IF(OR(A1297="",P1297="",Q1297=""),"",P1297*Q1297)</f>
        <v/>
      </c>
      <c r="S1297" s="5" t="str">
        <f aca="false">IF(R1297="","",MAX(0,R1297-G1297))</f>
        <v/>
      </c>
      <c r="T1297" s="21" t="str">
        <f aca="false">IF(S1297="","",S1297*K1297)</f>
        <v/>
      </c>
      <c r="U1297" s="5" t="str">
        <f aca="false">IF(A1297="","",IF(J1297&gt;Parâmetros!$C$14,"SIM","NAO"))</f>
        <v/>
      </c>
      <c r="V1297" s="5" t="str">
        <f aca="false">IF(B1297="","",TRIM(LEFT(B1297,IFERROR(FIND(" ",B1297)-1,LEN(B1297)))))</f>
        <v/>
      </c>
      <c r="W1297" s="22"/>
      <c r="X1297" s="5" t="str">
        <f aca="false">IF(A1297="","",IF(W1297&lt;&gt;"",W1297,V1297))</f>
        <v/>
      </c>
      <c r="Y1297" s="5" t="str">
        <f aca="false">IF(A1297="","",IF(COUNTIFS($X$2:$X$2001,X1297,$D$2:$D$2001,"&lt;&gt;"&amp;D1297,$C$2:$C$2001,C1297)&gt;0,"SIM","NAO"))</f>
        <v/>
      </c>
      <c r="Z1297" s="5" t="str">
        <f aca="false">IF(A1297="","",IF(J1297="","",IFERROR(360/J1297,"")))</f>
        <v/>
      </c>
      <c r="AA1297" s="5" t="str">
        <f aca="false">IF(A1297="","",IF(H1297=0,"Parado (sem venda 90d)",IF(Z1297&gt;12,"Alto (&gt;12x/ano)",IF(Z1297&gt;=4,"Medio (4-12x/ano)","Baixo (&lt;4x/ano)"))))</f>
        <v/>
      </c>
    </row>
    <row r="1298" customFormat="false" ht="15" hidden="false" customHeight="true" outlineLevel="0" collapsed="false">
      <c r="A1298" s="6"/>
      <c r="B1298" s="6"/>
      <c r="C1298" s="6"/>
      <c r="D1298" s="6"/>
      <c r="E1298" s="6"/>
      <c r="F1298" s="6"/>
      <c r="G1298" s="6"/>
      <c r="H1298" s="6"/>
      <c r="I1298" s="6"/>
      <c r="J1298" s="6"/>
      <c r="K1298" s="18"/>
      <c r="L1298" s="19" t="str">
        <f aca="false">IF(A1298="","",G1298*K1298)</f>
        <v/>
      </c>
      <c r="M1298" s="20"/>
      <c r="N1298" s="6"/>
      <c r="O1298" s="6"/>
      <c r="P1298" s="5" t="str">
        <f aca="false">IF(A1298="","",H1298/90)</f>
        <v/>
      </c>
      <c r="Q1298" s="5" t="str">
        <f aca="false">IF(A1298="","",IFERROR(INDEX(Parâmetros!$C$6:$C$10,MATCH(F1298,Parâmetros!$B$6:$B$10,0)),""))</f>
        <v/>
      </c>
      <c r="R1298" s="5" t="str">
        <f aca="false">IF(OR(A1298="",P1298="",Q1298=""),"",P1298*Q1298)</f>
        <v/>
      </c>
      <c r="S1298" s="5" t="str">
        <f aca="false">IF(R1298="","",MAX(0,R1298-G1298))</f>
        <v/>
      </c>
      <c r="T1298" s="21" t="str">
        <f aca="false">IF(S1298="","",S1298*K1298)</f>
        <v/>
      </c>
      <c r="U1298" s="5" t="str">
        <f aca="false">IF(A1298="","",IF(J1298&gt;Parâmetros!$C$14,"SIM","NAO"))</f>
        <v/>
      </c>
      <c r="V1298" s="5" t="str">
        <f aca="false">IF(B1298="","",TRIM(LEFT(B1298,IFERROR(FIND(" ",B1298)-1,LEN(B1298)))))</f>
        <v/>
      </c>
      <c r="W1298" s="22"/>
      <c r="X1298" s="5" t="str">
        <f aca="false">IF(A1298="","",IF(W1298&lt;&gt;"",W1298,V1298))</f>
        <v/>
      </c>
      <c r="Y1298" s="5" t="str">
        <f aca="false">IF(A1298="","",IF(COUNTIFS($X$2:$X$2001,X1298,$D$2:$D$2001,"&lt;&gt;"&amp;D1298,$C$2:$C$2001,C1298)&gt;0,"SIM","NAO"))</f>
        <v/>
      </c>
      <c r="Z1298" s="5" t="str">
        <f aca="false">IF(A1298="","",IF(J1298="","",IFERROR(360/J1298,"")))</f>
        <v/>
      </c>
      <c r="AA1298" s="5" t="str">
        <f aca="false">IF(A1298="","",IF(H1298=0,"Parado (sem venda 90d)",IF(Z1298&gt;12,"Alto (&gt;12x/ano)",IF(Z1298&gt;=4,"Medio (4-12x/ano)","Baixo (&lt;4x/ano)"))))</f>
        <v/>
      </c>
    </row>
    <row r="1299" customFormat="false" ht="15" hidden="false" customHeight="true" outlineLevel="0" collapsed="false">
      <c r="A1299" s="6"/>
      <c r="B1299" s="6"/>
      <c r="C1299" s="6"/>
      <c r="D1299" s="6"/>
      <c r="E1299" s="6"/>
      <c r="F1299" s="6"/>
      <c r="G1299" s="6"/>
      <c r="H1299" s="6"/>
      <c r="I1299" s="6"/>
      <c r="J1299" s="6"/>
      <c r="K1299" s="18"/>
      <c r="L1299" s="19" t="str">
        <f aca="false">IF(A1299="","",G1299*K1299)</f>
        <v/>
      </c>
      <c r="M1299" s="20"/>
      <c r="N1299" s="6"/>
      <c r="O1299" s="6"/>
      <c r="P1299" s="5" t="str">
        <f aca="false">IF(A1299="","",H1299/90)</f>
        <v/>
      </c>
      <c r="Q1299" s="5" t="str">
        <f aca="false">IF(A1299="","",IFERROR(INDEX(Parâmetros!$C$6:$C$10,MATCH(F1299,Parâmetros!$B$6:$B$10,0)),""))</f>
        <v/>
      </c>
      <c r="R1299" s="5" t="str">
        <f aca="false">IF(OR(A1299="",P1299="",Q1299=""),"",P1299*Q1299)</f>
        <v/>
      </c>
      <c r="S1299" s="5" t="str">
        <f aca="false">IF(R1299="","",MAX(0,R1299-G1299))</f>
        <v/>
      </c>
      <c r="T1299" s="21" t="str">
        <f aca="false">IF(S1299="","",S1299*K1299)</f>
        <v/>
      </c>
      <c r="U1299" s="5" t="str">
        <f aca="false">IF(A1299="","",IF(J1299&gt;Parâmetros!$C$14,"SIM","NAO"))</f>
        <v/>
      </c>
      <c r="V1299" s="5" t="str">
        <f aca="false">IF(B1299="","",TRIM(LEFT(B1299,IFERROR(FIND(" ",B1299)-1,LEN(B1299)))))</f>
        <v/>
      </c>
      <c r="W1299" s="22"/>
      <c r="X1299" s="5" t="str">
        <f aca="false">IF(A1299="","",IF(W1299&lt;&gt;"",W1299,V1299))</f>
        <v/>
      </c>
      <c r="Y1299" s="5" t="str">
        <f aca="false">IF(A1299="","",IF(COUNTIFS($X$2:$X$2001,X1299,$D$2:$D$2001,"&lt;&gt;"&amp;D1299,$C$2:$C$2001,C1299)&gt;0,"SIM","NAO"))</f>
        <v/>
      </c>
      <c r="Z1299" s="5" t="str">
        <f aca="false">IF(A1299="","",IF(J1299="","",IFERROR(360/J1299,"")))</f>
        <v/>
      </c>
      <c r="AA1299" s="5" t="str">
        <f aca="false">IF(A1299="","",IF(H1299=0,"Parado (sem venda 90d)",IF(Z1299&gt;12,"Alto (&gt;12x/ano)",IF(Z1299&gt;=4,"Medio (4-12x/ano)","Baixo (&lt;4x/ano)"))))</f>
        <v/>
      </c>
    </row>
    <row r="1300" customFormat="false" ht="15" hidden="false" customHeight="true" outlineLevel="0" collapsed="false">
      <c r="A1300" s="6"/>
      <c r="B1300" s="6"/>
      <c r="C1300" s="6"/>
      <c r="D1300" s="6"/>
      <c r="E1300" s="6"/>
      <c r="F1300" s="6"/>
      <c r="G1300" s="6"/>
      <c r="H1300" s="6"/>
      <c r="I1300" s="6"/>
      <c r="J1300" s="6"/>
      <c r="K1300" s="18"/>
      <c r="L1300" s="19" t="str">
        <f aca="false">IF(A1300="","",G1300*K1300)</f>
        <v/>
      </c>
      <c r="M1300" s="20"/>
      <c r="N1300" s="6"/>
      <c r="O1300" s="6"/>
      <c r="P1300" s="5" t="str">
        <f aca="false">IF(A1300="","",H1300/90)</f>
        <v/>
      </c>
      <c r="Q1300" s="5" t="str">
        <f aca="false">IF(A1300="","",IFERROR(INDEX(Parâmetros!$C$6:$C$10,MATCH(F1300,Parâmetros!$B$6:$B$10,0)),""))</f>
        <v/>
      </c>
      <c r="R1300" s="5" t="str">
        <f aca="false">IF(OR(A1300="",P1300="",Q1300=""),"",P1300*Q1300)</f>
        <v/>
      </c>
      <c r="S1300" s="5" t="str">
        <f aca="false">IF(R1300="","",MAX(0,R1300-G1300))</f>
        <v/>
      </c>
      <c r="T1300" s="21" t="str">
        <f aca="false">IF(S1300="","",S1300*K1300)</f>
        <v/>
      </c>
      <c r="U1300" s="5" t="str">
        <f aca="false">IF(A1300="","",IF(J1300&gt;Parâmetros!$C$14,"SIM","NAO"))</f>
        <v/>
      </c>
      <c r="V1300" s="5" t="str">
        <f aca="false">IF(B1300="","",TRIM(LEFT(B1300,IFERROR(FIND(" ",B1300)-1,LEN(B1300)))))</f>
        <v/>
      </c>
      <c r="W1300" s="22"/>
      <c r="X1300" s="5" t="str">
        <f aca="false">IF(A1300="","",IF(W1300&lt;&gt;"",W1300,V1300))</f>
        <v/>
      </c>
      <c r="Y1300" s="5" t="str">
        <f aca="false">IF(A1300="","",IF(COUNTIFS($X$2:$X$2001,X1300,$D$2:$D$2001,"&lt;&gt;"&amp;D1300,$C$2:$C$2001,C1300)&gt;0,"SIM","NAO"))</f>
        <v/>
      </c>
      <c r="Z1300" s="5" t="str">
        <f aca="false">IF(A1300="","",IF(J1300="","",IFERROR(360/J1300,"")))</f>
        <v/>
      </c>
      <c r="AA1300" s="5" t="str">
        <f aca="false">IF(A1300="","",IF(H1300=0,"Parado (sem venda 90d)",IF(Z1300&gt;12,"Alto (&gt;12x/ano)",IF(Z1300&gt;=4,"Medio (4-12x/ano)","Baixo (&lt;4x/ano)"))))</f>
        <v/>
      </c>
    </row>
    <row r="1301" customFormat="false" ht="15" hidden="false" customHeight="true" outlineLevel="0" collapsed="false">
      <c r="A1301" s="6"/>
      <c r="B1301" s="6"/>
      <c r="C1301" s="6"/>
      <c r="D1301" s="6"/>
      <c r="E1301" s="6"/>
      <c r="F1301" s="6"/>
      <c r="G1301" s="6"/>
      <c r="H1301" s="6"/>
      <c r="I1301" s="6"/>
      <c r="J1301" s="6"/>
      <c r="K1301" s="18"/>
      <c r="L1301" s="19" t="str">
        <f aca="false">IF(A1301="","",G1301*K1301)</f>
        <v/>
      </c>
      <c r="M1301" s="20"/>
      <c r="N1301" s="6"/>
      <c r="O1301" s="6"/>
      <c r="P1301" s="5" t="str">
        <f aca="false">IF(A1301="","",H1301/90)</f>
        <v/>
      </c>
      <c r="Q1301" s="5" t="str">
        <f aca="false">IF(A1301="","",IFERROR(INDEX(Parâmetros!$C$6:$C$10,MATCH(F1301,Parâmetros!$B$6:$B$10,0)),""))</f>
        <v/>
      </c>
      <c r="R1301" s="5" t="str">
        <f aca="false">IF(OR(A1301="",P1301="",Q1301=""),"",P1301*Q1301)</f>
        <v/>
      </c>
      <c r="S1301" s="5" t="str">
        <f aca="false">IF(R1301="","",MAX(0,R1301-G1301))</f>
        <v/>
      </c>
      <c r="T1301" s="21" t="str">
        <f aca="false">IF(S1301="","",S1301*K1301)</f>
        <v/>
      </c>
      <c r="U1301" s="5" t="str">
        <f aca="false">IF(A1301="","",IF(J1301&gt;Parâmetros!$C$14,"SIM","NAO"))</f>
        <v/>
      </c>
      <c r="V1301" s="5" t="str">
        <f aca="false">IF(B1301="","",TRIM(LEFT(B1301,IFERROR(FIND(" ",B1301)-1,LEN(B1301)))))</f>
        <v/>
      </c>
      <c r="W1301" s="22"/>
      <c r="X1301" s="5" t="str">
        <f aca="false">IF(A1301="","",IF(W1301&lt;&gt;"",W1301,V1301))</f>
        <v/>
      </c>
      <c r="Y1301" s="5" t="str">
        <f aca="false">IF(A1301="","",IF(COUNTIFS($X$2:$X$2001,X1301,$D$2:$D$2001,"&lt;&gt;"&amp;D1301,$C$2:$C$2001,C1301)&gt;0,"SIM","NAO"))</f>
        <v/>
      </c>
      <c r="Z1301" s="5" t="str">
        <f aca="false">IF(A1301="","",IF(J1301="","",IFERROR(360/J1301,"")))</f>
        <v/>
      </c>
      <c r="AA1301" s="5" t="str">
        <f aca="false">IF(A1301="","",IF(H1301=0,"Parado (sem venda 90d)",IF(Z1301&gt;12,"Alto (&gt;12x/ano)",IF(Z1301&gt;=4,"Medio (4-12x/ano)","Baixo (&lt;4x/ano)"))))</f>
        <v/>
      </c>
    </row>
    <row r="1302" customFormat="false" ht="15" hidden="false" customHeight="true" outlineLevel="0" collapsed="false">
      <c r="A1302" s="6"/>
      <c r="B1302" s="6"/>
      <c r="C1302" s="6"/>
      <c r="D1302" s="6"/>
      <c r="E1302" s="6"/>
      <c r="F1302" s="6"/>
      <c r="G1302" s="6"/>
      <c r="H1302" s="6"/>
      <c r="I1302" s="6"/>
      <c r="J1302" s="6"/>
      <c r="K1302" s="18"/>
      <c r="L1302" s="19" t="str">
        <f aca="false">IF(A1302="","",G1302*K1302)</f>
        <v/>
      </c>
      <c r="M1302" s="20"/>
      <c r="N1302" s="6"/>
      <c r="O1302" s="6"/>
      <c r="P1302" s="5" t="str">
        <f aca="false">IF(A1302="","",H1302/90)</f>
        <v/>
      </c>
      <c r="Q1302" s="5" t="str">
        <f aca="false">IF(A1302="","",IFERROR(INDEX(Parâmetros!$C$6:$C$10,MATCH(F1302,Parâmetros!$B$6:$B$10,0)),""))</f>
        <v/>
      </c>
      <c r="R1302" s="5" t="str">
        <f aca="false">IF(OR(A1302="",P1302="",Q1302=""),"",P1302*Q1302)</f>
        <v/>
      </c>
      <c r="S1302" s="5" t="str">
        <f aca="false">IF(R1302="","",MAX(0,R1302-G1302))</f>
        <v/>
      </c>
      <c r="T1302" s="21" t="str">
        <f aca="false">IF(S1302="","",S1302*K1302)</f>
        <v/>
      </c>
      <c r="U1302" s="5" t="str">
        <f aca="false">IF(A1302="","",IF(J1302&gt;Parâmetros!$C$14,"SIM","NAO"))</f>
        <v/>
      </c>
      <c r="V1302" s="5" t="str">
        <f aca="false">IF(B1302="","",TRIM(LEFT(B1302,IFERROR(FIND(" ",B1302)-1,LEN(B1302)))))</f>
        <v/>
      </c>
      <c r="W1302" s="22"/>
      <c r="X1302" s="5" t="str">
        <f aca="false">IF(A1302="","",IF(W1302&lt;&gt;"",W1302,V1302))</f>
        <v/>
      </c>
      <c r="Y1302" s="5" t="str">
        <f aca="false">IF(A1302="","",IF(COUNTIFS($X$2:$X$2001,X1302,$D$2:$D$2001,"&lt;&gt;"&amp;D1302,$C$2:$C$2001,C1302)&gt;0,"SIM","NAO"))</f>
        <v/>
      </c>
      <c r="Z1302" s="5" t="str">
        <f aca="false">IF(A1302="","",IF(J1302="","",IFERROR(360/J1302,"")))</f>
        <v/>
      </c>
      <c r="AA1302" s="5" t="str">
        <f aca="false">IF(A1302="","",IF(H1302=0,"Parado (sem venda 90d)",IF(Z1302&gt;12,"Alto (&gt;12x/ano)",IF(Z1302&gt;=4,"Medio (4-12x/ano)","Baixo (&lt;4x/ano)"))))</f>
        <v/>
      </c>
    </row>
    <row r="1303" customFormat="false" ht="15" hidden="false" customHeight="true" outlineLevel="0" collapsed="false">
      <c r="A1303" s="6"/>
      <c r="B1303" s="6"/>
      <c r="C1303" s="6"/>
      <c r="D1303" s="6"/>
      <c r="E1303" s="6"/>
      <c r="F1303" s="6"/>
      <c r="G1303" s="6"/>
      <c r="H1303" s="6"/>
      <c r="I1303" s="6"/>
      <c r="J1303" s="6"/>
      <c r="K1303" s="18"/>
      <c r="L1303" s="19" t="str">
        <f aca="false">IF(A1303="","",G1303*K1303)</f>
        <v/>
      </c>
      <c r="M1303" s="20"/>
      <c r="N1303" s="6"/>
      <c r="O1303" s="6"/>
      <c r="P1303" s="5" t="str">
        <f aca="false">IF(A1303="","",H1303/90)</f>
        <v/>
      </c>
      <c r="Q1303" s="5" t="str">
        <f aca="false">IF(A1303="","",IFERROR(INDEX(Parâmetros!$C$6:$C$10,MATCH(F1303,Parâmetros!$B$6:$B$10,0)),""))</f>
        <v/>
      </c>
      <c r="R1303" s="5" t="str">
        <f aca="false">IF(OR(A1303="",P1303="",Q1303=""),"",P1303*Q1303)</f>
        <v/>
      </c>
      <c r="S1303" s="5" t="str">
        <f aca="false">IF(R1303="","",MAX(0,R1303-G1303))</f>
        <v/>
      </c>
      <c r="T1303" s="21" t="str">
        <f aca="false">IF(S1303="","",S1303*K1303)</f>
        <v/>
      </c>
      <c r="U1303" s="5" t="str">
        <f aca="false">IF(A1303="","",IF(J1303&gt;Parâmetros!$C$14,"SIM","NAO"))</f>
        <v/>
      </c>
      <c r="V1303" s="5" t="str">
        <f aca="false">IF(B1303="","",TRIM(LEFT(B1303,IFERROR(FIND(" ",B1303)-1,LEN(B1303)))))</f>
        <v/>
      </c>
      <c r="W1303" s="22"/>
      <c r="X1303" s="5" t="str">
        <f aca="false">IF(A1303="","",IF(W1303&lt;&gt;"",W1303,V1303))</f>
        <v/>
      </c>
      <c r="Y1303" s="5" t="str">
        <f aca="false">IF(A1303="","",IF(COUNTIFS($X$2:$X$2001,X1303,$D$2:$D$2001,"&lt;&gt;"&amp;D1303,$C$2:$C$2001,C1303)&gt;0,"SIM","NAO"))</f>
        <v/>
      </c>
      <c r="Z1303" s="5" t="str">
        <f aca="false">IF(A1303="","",IF(J1303="","",IFERROR(360/J1303,"")))</f>
        <v/>
      </c>
      <c r="AA1303" s="5" t="str">
        <f aca="false">IF(A1303="","",IF(H1303=0,"Parado (sem venda 90d)",IF(Z1303&gt;12,"Alto (&gt;12x/ano)",IF(Z1303&gt;=4,"Medio (4-12x/ano)","Baixo (&lt;4x/ano)"))))</f>
        <v/>
      </c>
    </row>
    <row r="1304" customFormat="false" ht="15" hidden="false" customHeight="true" outlineLevel="0" collapsed="false">
      <c r="A1304" s="6"/>
      <c r="B1304" s="6"/>
      <c r="C1304" s="6"/>
      <c r="D1304" s="6"/>
      <c r="E1304" s="6"/>
      <c r="F1304" s="6"/>
      <c r="G1304" s="6"/>
      <c r="H1304" s="6"/>
      <c r="I1304" s="6"/>
      <c r="J1304" s="6"/>
      <c r="K1304" s="18"/>
      <c r="L1304" s="19" t="str">
        <f aca="false">IF(A1304="","",G1304*K1304)</f>
        <v/>
      </c>
      <c r="M1304" s="20"/>
      <c r="N1304" s="6"/>
      <c r="O1304" s="6"/>
      <c r="P1304" s="5" t="str">
        <f aca="false">IF(A1304="","",H1304/90)</f>
        <v/>
      </c>
      <c r="Q1304" s="5" t="str">
        <f aca="false">IF(A1304="","",IFERROR(INDEX(Parâmetros!$C$6:$C$10,MATCH(F1304,Parâmetros!$B$6:$B$10,0)),""))</f>
        <v/>
      </c>
      <c r="R1304" s="5" t="str">
        <f aca="false">IF(OR(A1304="",P1304="",Q1304=""),"",P1304*Q1304)</f>
        <v/>
      </c>
      <c r="S1304" s="5" t="str">
        <f aca="false">IF(R1304="","",MAX(0,R1304-G1304))</f>
        <v/>
      </c>
      <c r="T1304" s="21" t="str">
        <f aca="false">IF(S1304="","",S1304*K1304)</f>
        <v/>
      </c>
      <c r="U1304" s="5" t="str">
        <f aca="false">IF(A1304="","",IF(J1304&gt;Parâmetros!$C$14,"SIM","NAO"))</f>
        <v/>
      </c>
      <c r="V1304" s="5" t="str">
        <f aca="false">IF(B1304="","",TRIM(LEFT(B1304,IFERROR(FIND(" ",B1304)-1,LEN(B1304)))))</f>
        <v/>
      </c>
      <c r="W1304" s="22"/>
      <c r="X1304" s="5" t="str">
        <f aca="false">IF(A1304="","",IF(W1304&lt;&gt;"",W1304,V1304))</f>
        <v/>
      </c>
      <c r="Y1304" s="5" t="str">
        <f aca="false">IF(A1304="","",IF(COUNTIFS($X$2:$X$2001,X1304,$D$2:$D$2001,"&lt;&gt;"&amp;D1304,$C$2:$C$2001,C1304)&gt;0,"SIM","NAO"))</f>
        <v/>
      </c>
      <c r="Z1304" s="5" t="str">
        <f aca="false">IF(A1304="","",IF(J1304="","",IFERROR(360/J1304,"")))</f>
        <v/>
      </c>
      <c r="AA1304" s="5" t="str">
        <f aca="false">IF(A1304="","",IF(H1304=0,"Parado (sem venda 90d)",IF(Z1304&gt;12,"Alto (&gt;12x/ano)",IF(Z1304&gt;=4,"Medio (4-12x/ano)","Baixo (&lt;4x/ano)"))))</f>
        <v/>
      </c>
    </row>
    <row r="1305" customFormat="false" ht="15" hidden="false" customHeight="true" outlineLevel="0" collapsed="false">
      <c r="A1305" s="6"/>
      <c r="B1305" s="6"/>
      <c r="C1305" s="6"/>
      <c r="D1305" s="6"/>
      <c r="E1305" s="6"/>
      <c r="F1305" s="6"/>
      <c r="G1305" s="6"/>
      <c r="H1305" s="6"/>
      <c r="I1305" s="6"/>
      <c r="J1305" s="6"/>
      <c r="K1305" s="18"/>
      <c r="L1305" s="19" t="str">
        <f aca="false">IF(A1305="","",G1305*K1305)</f>
        <v/>
      </c>
      <c r="M1305" s="20"/>
      <c r="N1305" s="6"/>
      <c r="O1305" s="6"/>
      <c r="P1305" s="5" t="str">
        <f aca="false">IF(A1305="","",H1305/90)</f>
        <v/>
      </c>
      <c r="Q1305" s="5" t="str">
        <f aca="false">IF(A1305="","",IFERROR(INDEX(Parâmetros!$C$6:$C$10,MATCH(F1305,Parâmetros!$B$6:$B$10,0)),""))</f>
        <v/>
      </c>
      <c r="R1305" s="5" t="str">
        <f aca="false">IF(OR(A1305="",P1305="",Q1305=""),"",P1305*Q1305)</f>
        <v/>
      </c>
      <c r="S1305" s="5" t="str">
        <f aca="false">IF(R1305="","",MAX(0,R1305-G1305))</f>
        <v/>
      </c>
      <c r="T1305" s="21" t="str">
        <f aca="false">IF(S1305="","",S1305*K1305)</f>
        <v/>
      </c>
      <c r="U1305" s="5" t="str">
        <f aca="false">IF(A1305="","",IF(J1305&gt;Parâmetros!$C$14,"SIM","NAO"))</f>
        <v/>
      </c>
      <c r="V1305" s="5" t="str">
        <f aca="false">IF(B1305="","",TRIM(LEFT(B1305,IFERROR(FIND(" ",B1305)-1,LEN(B1305)))))</f>
        <v/>
      </c>
      <c r="W1305" s="22"/>
      <c r="X1305" s="5" t="str">
        <f aca="false">IF(A1305="","",IF(W1305&lt;&gt;"",W1305,V1305))</f>
        <v/>
      </c>
      <c r="Y1305" s="5" t="str">
        <f aca="false">IF(A1305="","",IF(COUNTIFS($X$2:$X$2001,X1305,$D$2:$D$2001,"&lt;&gt;"&amp;D1305,$C$2:$C$2001,C1305)&gt;0,"SIM","NAO"))</f>
        <v/>
      </c>
      <c r="Z1305" s="5" t="str">
        <f aca="false">IF(A1305="","",IF(J1305="","",IFERROR(360/J1305,"")))</f>
        <v/>
      </c>
      <c r="AA1305" s="5" t="str">
        <f aca="false">IF(A1305="","",IF(H1305=0,"Parado (sem venda 90d)",IF(Z1305&gt;12,"Alto (&gt;12x/ano)",IF(Z1305&gt;=4,"Medio (4-12x/ano)","Baixo (&lt;4x/ano)"))))</f>
        <v/>
      </c>
    </row>
    <row r="1306" customFormat="false" ht="15" hidden="false" customHeight="true" outlineLevel="0" collapsed="false">
      <c r="A1306" s="6"/>
      <c r="B1306" s="6"/>
      <c r="C1306" s="6"/>
      <c r="D1306" s="6"/>
      <c r="E1306" s="6"/>
      <c r="F1306" s="6"/>
      <c r="G1306" s="6"/>
      <c r="H1306" s="6"/>
      <c r="I1306" s="6"/>
      <c r="J1306" s="6"/>
      <c r="K1306" s="18"/>
      <c r="L1306" s="19" t="str">
        <f aca="false">IF(A1306="","",G1306*K1306)</f>
        <v/>
      </c>
      <c r="M1306" s="20"/>
      <c r="N1306" s="6"/>
      <c r="O1306" s="6"/>
      <c r="P1306" s="5" t="str">
        <f aca="false">IF(A1306="","",H1306/90)</f>
        <v/>
      </c>
      <c r="Q1306" s="5" t="str">
        <f aca="false">IF(A1306="","",IFERROR(INDEX(Parâmetros!$C$6:$C$10,MATCH(F1306,Parâmetros!$B$6:$B$10,0)),""))</f>
        <v/>
      </c>
      <c r="R1306" s="5" t="str">
        <f aca="false">IF(OR(A1306="",P1306="",Q1306=""),"",P1306*Q1306)</f>
        <v/>
      </c>
      <c r="S1306" s="5" t="str">
        <f aca="false">IF(R1306="","",MAX(0,R1306-G1306))</f>
        <v/>
      </c>
      <c r="T1306" s="21" t="str">
        <f aca="false">IF(S1306="","",S1306*K1306)</f>
        <v/>
      </c>
      <c r="U1306" s="5" t="str">
        <f aca="false">IF(A1306="","",IF(J1306&gt;Parâmetros!$C$14,"SIM","NAO"))</f>
        <v/>
      </c>
      <c r="V1306" s="5" t="str">
        <f aca="false">IF(B1306="","",TRIM(LEFT(B1306,IFERROR(FIND(" ",B1306)-1,LEN(B1306)))))</f>
        <v/>
      </c>
      <c r="W1306" s="22"/>
      <c r="X1306" s="5" t="str">
        <f aca="false">IF(A1306="","",IF(W1306&lt;&gt;"",W1306,V1306))</f>
        <v/>
      </c>
      <c r="Y1306" s="5" t="str">
        <f aca="false">IF(A1306="","",IF(COUNTIFS($X$2:$X$2001,X1306,$D$2:$D$2001,"&lt;&gt;"&amp;D1306,$C$2:$C$2001,C1306)&gt;0,"SIM","NAO"))</f>
        <v/>
      </c>
      <c r="Z1306" s="5" t="str">
        <f aca="false">IF(A1306="","",IF(J1306="","",IFERROR(360/J1306,"")))</f>
        <v/>
      </c>
      <c r="AA1306" s="5" t="str">
        <f aca="false">IF(A1306="","",IF(H1306=0,"Parado (sem venda 90d)",IF(Z1306&gt;12,"Alto (&gt;12x/ano)",IF(Z1306&gt;=4,"Medio (4-12x/ano)","Baixo (&lt;4x/ano)"))))</f>
        <v/>
      </c>
    </row>
    <row r="1307" customFormat="false" ht="15" hidden="false" customHeight="true" outlineLevel="0" collapsed="false">
      <c r="A1307" s="6"/>
      <c r="B1307" s="6"/>
      <c r="C1307" s="6"/>
      <c r="D1307" s="6"/>
      <c r="E1307" s="6"/>
      <c r="F1307" s="6"/>
      <c r="G1307" s="6"/>
      <c r="H1307" s="6"/>
      <c r="I1307" s="6"/>
      <c r="J1307" s="6"/>
      <c r="K1307" s="18"/>
      <c r="L1307" s="19" t="str">
        <f aca="false">IF(A1307="","",G1307*K1307)</f>
        <v/>
      </c>
      <c r="M1307" s="20"/>
      <c r="N1307" s="6"/>
      <c r="O1307" s="6"/>
      <c r="P1307" s="5" t="str">
        <f aca="false">IF(A1307="","",H1307/90)</f>
        <v/>
      </c>
      <c r="Q1307" s="5" t="str">
        <f aca="false">IF(A1307="","",IFERROR(INDEX(Parâmetros!$C$6:$C$10,MATCH(F1307,Parâmetros!$B$6:$B$10,0)),""))</f>
        <v/>
      </c>
      <c r="R1307" s="5" t="str">
        <f aca="false">IF(OR(A1307="",P1307="",Q1307=""),"",P1307*Q1307)</f>
        <v/>
      </c>
      <c r="S1307" s="5" t="str">
        <f aca="false">IF(R1307="","",MAX(0,R1307-G1307))</f>
        <v/>
      </c>
      <c r="T1307" s="21" t="str">
        <f aca="false">IF(S1307="","",S1307*K1307)</f>
        <v/>
      </c>
      <c r="U1307" s="5" t="str">
        <f aca="false">IF(A1307="","",IF(J1307&gt;Parâmetros!$C$14,"SIM","NAO"))</f>
        <v/>
      </c>
      <c r="V1307" s="5" t="str">
        <f aca="false">IF(B1307="","",TRIM(LEFT(B1307,IFERROR(FIND(" ",B1307)-1,LEN(B1307)))))</f>
        <v/>
      </c>
      <c r="W1307" s="22"/>
      <c r="X1307" s="5" t="str">
        <f aca="false">IF(A1307="","",IF(W1307&lt;&gt;"",W1307,V1307))</f>
        <v/>
      </c>
      <c r="Y1307" s="5" t="str">
        <f aca="false">IF(A1307="","",IF(COUNTIFS($X$2:$X$2001,X1307,$D$2:$D$2001,"&lt;&gt;"&amp;D1307,$C$2:$C$2001,C1307)&gt;0,"SIM","NAO"))</f>
        <v/>
      </c>
      <c r="Z1307" s="5" t="str">
        <f aca="false">IF(A1307="","",IF(J1307="","",IFERROR(360/J1307,"")))</f>
        <v/>
      </c>
      <c r="AA1307" s="5" t="str">
        <f aca="false">IF(A1307="","",IF(H1307=0,"Parado (sem venda 90d)",IF(Z1307&gt;12,"Alto (&gt;12x/ano)",IF(Z1307&gt;=4,"Medio (4-12x/ano)","Baixo (&lt;4x/ano)"))))</f>
        <v/>
      </c>
    </row>
    <row r="1308" customFormat="false" ht="15" hidden="false" customHeight="true" outlineLevel="0" collapsed="false">
      <c r="A1308" s="6"/>
      <c r="B1308" s="6"/>
      <c r="C1308" s="6"/>
      <c r="D1308" s="6"/>
      <c r="E1308" s="6"/>
      <c r="F1308" s="6"/>
      <c r="G1308" s="6"/>
      <c r="H1308" s="6"/>
      <c r="I1308" s="6"/>
      <c r="J1308" s="6"/>
      <c r="K1308" s="18"/>
      <c r="L1308" s="19" t="str">
        <f aca="false">IF(A1308="","",G1308*K1308)</f>
        <v/>
      </c>
      <c r="M1308" s="20"/>
      <c r="N1308" s="6"/>
      <c r="O1308" s="6"/>
      <c r="P1308" s="5" t="str">
        <f aca="false">IF(A1308="","",H1308/90)</f>
        <v/>
      </c>
      <c r="Q1308" s="5" t="str">
        <f aca="false">IF(A1308="","",IFERROR(INDEX(Parâmetros!$C$6:$C$10,MATCH(F1308,Parâmetros!$B$6:$B$10,0)),""))</f>
        <v/>
      </c>
      <c r="R1308" s="5" t="str">
        <f aca="false">IF(OR(A1308="",P1308="",Q1308=""),"",P1308*Q1308)</f>
        <v/>
      </c>
      <c r="S1308" s="5" t="str">
        <f aca="false">IF(R1308="","",MAX(0,R1308-G1308))</f>
        <v/>
      </c>
      <c r="T1308" s="21" t="str">
        <f aca="false">IF(S1308="","",S1308*K1308)</f>
        <v/>
      </c>
      <c r="U1308" s="5" t="str">
        <f aca="false">IF(A1308="","",IF(J1308&gt;Parâmetros!$C$14,"SIM","NAO"))</f>
        <v/>
      </c>
      <c r="V1308" s="5" t="str">
        <f aca="false">IF(B1308="","",TRIM(LEFT(B1308,IFERROR(FIND(" ",B1308)-1,LEN(B1308)))))</f>
        <v/>
      </c>
      <c r="W1308" s="22"/>
      <c r="X1308" s="5" t="str">
        <f aca="false">IF(A1308="","",IF(W1308&lt;&gt;"",W1308,V1308))</f>
        <v/>
      </c>
      <c r="Y1308" s="5" t="str">
        <f aca="false">IF(A1308="","",IF(COUNTIFS($X$2:$X$2001,X1308,$D$2:$D$2001,"&lt;&gt;"&amp;D1308,$C$2:$C$2001,C1308)&gt;0,"SIM","NAO"))</f>
        <v/>
      </c>
      <c r="Z1308" s="5" t="str">
        <f aca="false">IF(A1308="","",IF(J1308="","",IFERROR(360/J1308,"")))</f>
        <v/>
      </c>
      <c r="AA1308" s="5" t="str">
        <f aca="false">IF(A1308="","",IF(H1308=0,"Parado (sem venda 90d)",IF(Z1308&gt;12,"Alto (&gt;12x/ano)",IF(Z1308&gt;=4,"Medio (4-12x/ano)","Baixo (&lt;4x/ano)"))))</f>
        <v/>
      </c>
    </row>
    <row r="1309" customFormat="false" ht="15" hidden="false" customHeight="true" outlineLevel="0" collapsed="false">
      <c r="A1309" s="6"/>
      <c r="B1309" s="6"/>
      <c r="C1309" s="6"/>
      <c r="D1309" s="6"/>
      <c r="E1309" s="6"/>
      <c r="F1309" s="6"/>
      <c r="G1309" s="6"/>
      <c r="H1309" s="6"/>
      <c r="I1309" s="6"/>
      <c r="J1309" s="6"/>
      <c r="K1309" s="18"/>
      <c r="L1309" s="19" t="str">
        <f aca="false">IF(A1309="","",G1309*K1309)</f>
        <v/>
      </c>
      <c r="M1309" s="20"/>
      <c r="N1309" s="6"/>
      <c r="O1309" s="6"/>
      <c r="P1309" s="5" t="str">
        <f aca="false">IF(A1309="","",H1309/90)</f>
        <v/>
      </c>
      <c r="Q1309" s="5" t="str">
        <f aca="false">IF(A1309="","",IFERROR(INDEX(Parâmetros!$C$6:$C$10,MATCH(F1309,Parâmetros!$B$6:$B$10,0)),""))</f>
        <v/>
      </c>
      <c r="R1309" s="5" t="str">
        <f aca="false">IF(OR(A1309="",P1309="",Q1309=""),"",P1309*Q1309)</f>
        <v/>
      </c>
      <c r="S1309" s="5" t="str">
        <f aca="false">IF(R1309="","",MAX(0,R1309-G1309))</f>
        <v/>
      </c>
      <c r="T1309" s="21" t="str">
        <f aca="false">IF(S1309="","",S1309*K1309)</f>
        <v/>
      </c>
      <c r="U1309" s="5" t="str">
        <f aca="false">IF(A1309="","",IF(J1309&gt;Parâmetros!$C$14,"SIM","NAO"))</f>
        <v/>
      </c>
      <c r="V1309" s="5" t="str">
        <f aca="false">IF(B1309="","",TRIM(LEFT(B1309,IFERROR(FIND(" ",B1309)-1,LEN(B1309)))))</f>
        <v/>
      </c>
      <c r="W1309" s="22"/>
      <c r="X1309" s="5" t="str">
        <f aca="false">IF(A1309="","",IF(W1309&lt;&gt;"",W1309,V1309))</f>
        <v/>
      </c>
      <c r="Y1309" s="5" t="str">
        <f aca="false">IF(A1309="","",IF(COUNTIFS($X$2:$X$2001,X1309,$D$2:$D$2001,"&lt;&gt;"&amp;D1309,$C$2:$C$2001,C1309)&gt;0,"SIM","NAO"))</f>
        <v/>
      </c>
      <c r="Z1309" s="5" t="str">
        <f aca="false">IF(A1309="","",IF(J1309="","",IFERROR(360/J1309,"")))</f>
        <v/>
      </c>
      <c r="AA1309" s="5" t="str">
        <f aca="false">IF(A1309="","",IF(H1309=0,"Parado (sem venda 90d)",IF(Z1309&gt;12,"Alto (&gt;12x/ano)",IF(Z1309&gt;=4,"Medio (4-12x/ano)","Baixo (&lt;4x/ano)"))))</f>
        <v/>
      </c>
    </row>
    <row r="1310" customFormat="false" ht="15" hidden="false" customHeight="true" outlineLevel="0" collapsed="false">
      <c r="A1310" s="6"/>
      <c r="B1310" s="6"/>
      <c r="C1310" s="6"/>
      <c r="D1310" s="6"/>
      <c r="E1310" s="6"/>
      <c r="F1310" s="6"/>
      <c r="G1310" s="6"/>
      <c r="H1310" s="6"/>
      <c r="I1310" s="6"/>
      <c r="J1310" s="6"/>
      <c r="K1310" s="18"/>
      <c r="L1310" s="19" t="str">
        <f aca="false">IF(A1310="","",G1310*K1310)</f>
        <v/>
      </c>
      <c r="M1310" s="20"/>
      <c r="N1310" s="6"/>
      <c r="O1310" s="6"/>
      <c r="P1310" s="5" t="str">
        <f aca="false">IF(A1310="","",H1310/90)</f>
        <v/>
      </c>
      <c r="Q1310" s="5" t="str">
        <f aca="false">IF(A1310="","",IFERROR(INDEX(Parâmetros!$C$6:$C$10,MATCH(F1310,Parâmetros!$B$6:$B$10,0)),""))</f>
        <v/>
      </c>
      <c r="R1310" s="5" t="str">
        <f aca="false">IF(OR(A1310="",P1310="",Q1310=""),"",P1310*Q1310)</f>
        <v/>
      </c>
      <c r="S1310" s="5" t="str">
        <f aca="false">IF(R1310="","",MAX(0,R1310-G1310))</f>
        <v/>
      </c>
      <c r="T1310" s="21" t="str">
        <f aca="false">IF(S1310="","",S1310*K1310)</f>
        <v/>
      </c>
      <c r="U1310" s="5" t="str">
        <f aca="false">IF(A1310="","",IF(J1310&gt;Parâmetros!$C$14,"SIM","NAO"))</f>
        <v/>
      </c>
      <c r="V1310" s="5" t="str">
        <f aca="false">IF(B1310="","",TRIM(LEFT(B1310,IFERROR(FIND(" ",B1310)-1,LEN(B1310)))))</f>
        <v/>
      </c>
      <c r="W1310" s="22"/>
      <c r="X1310" s="5" t="str">
        <f aca="false">IF(A1310="","",IF(W1310&lt;&gt;"",W1310,V1310))</f>
        <v/>
      </c>
      <c r="Y1310" s="5" t="str">
        <f aca="false">IF(A1310="","",IF(COUNTIFS($X$2:$X$2001,X1310,$D$2:$D$2001,"&lt;&gt;"&amp;D1310,$C$2:$C$2001,C1310)&gt;0,"SIM","NAO"))</f>
        <v/>
      </c>
      <c r="Z1310" s="5" t="str">
        <f aca="false">IF(A1310="","",IF(J1310="","",IFERROR(360/J1310,"")))</f>
        <v/>
      </c>
      <c r="AA1310" s="5" t="str">
        <f aca="false">IF(A1310="","",IF(H1310=0,"Parado (sem venda 90d)",IF(Z1310&gt;12,"Alto (&gt;12x/ano)",IF(Z1310&gt;=4,"Medio (4-12x/ano)","Baixo (&lt;4x/ano)"))))</f>
        <v/>
      </c>
    </row>
    <row r="1311" customFormat="false" ht="15" hidden="false" customHeight="true" outlineLevel="0" collapsed="false">
      <c r="A1311" s="6"/>
      <c r="B1311" s="6"/>
      <c r="C1311" s="6"/>
      <c r="D1311" s="6"/>
      <c r="E1311" s="6"/>
      <c r="F1311" s="6"/>
      <c r="G1311" s="6"/>
      <c r="H1311" s="6"/>
      <c r="I1311" s="6"/>
      <c r="J1311" s="6"/>
      <c r="K1311" s="18"/>
      <c r="L1311" s="19" t="str">
        <f aca="false">IF(A1311="","",G1311*K1311)</f>
        <v/>
      </c>
      <c r="M1311" s="20"/>
      <c r="N1311" s="6"/>
      <c r="O1311" s="6"/>
      <c r="P1311" s="5" t="str">
        <f aca="false">IF(A1311="","",H1311/90)</f>
        <v/>
      </c>
      <c r="Q1311" s="5" t="str">
        <f aca="false">IF(A1311="","",IFERROR(INDEX(Parâmetros!$C$6:$C$10,MATCH(F1311,Parâmetros!$B$6:$B$10,0)),""))</f>
        <v/>
      </c>
      <c r="R1311" s="5" t="str">
        <f aca="false">IF(OR(A1311="",P1311="",Q1311=""),"",P1311*Q1311)</f>
        <v/>
      </c>
      <c r="S1311" s="5" t="str">
        <f aca="false">IF(R1311="","",MAX(0,R1311-G1311))</f>
        <v/>
      </c>
      <c r="T1311" s="21" t="str">
        <f aca="false">IF(S1311="","",S1311*K1311)</f>
        <v/>
      </c>
      <c r="U1311" s="5" t="str">
        <f aca="false">IF(A1311="","",IF(J1311&gt;Parâmetros!$C$14,"SIM","NAO"))</f>
        <v/>
      </c>
      <c r="V1311" s="5" t="str">
        <f aca="false">IF(B1311="","",TRIM(LEFT(B1311,IFERROR(FIND(" ",B1311)-1,LEN(B1311)))))</f>
        <v/>
      </c>
      <c r="W1311" s="22"/>
      <c r="X1311" s="5" t="str">
        <f aca="false">IF(A1311="","",IF(W1311&lt;&gt;"",W1311,V1311))</f>
        <v/>
      </c>
      <c r="Y1311" s="5" t="str">
        <f aca="false">IF(A1311="","",IF(COUNTIFS($X$2:$X$2001,X1311,$D$2:$D$2001,"&lt;&gt;"&amp;D1311,$C$2:$C$2001,C1311)&gt;0,"SIM","NAO"))</f>
        <v/>
      </c>
      <c r="Z1311" s="5" t="str">
        <f aca="false">IF(A1311="","",IF(J1311="","",IFERROR(360/J1311,"")))</f>
        <v/>
      </c>
      <c r="AA1311" s="5" t="str">
        <f aca="false">IF(A1311="","",IF(H1311=0,"Parado (sem venda 90d)",IF(Z1311&gt;12,"Alto (&gt;12x/ano)",IF(Z1311&gt;=4,"Medio (4-12x/ano)","Baixo (&lt;4x/ano)"))))</f>
        <v/>
      </c>
    </row>
    <row r="1312" customFormat="false" ht="15" hidden="false" customHeight="true" outlineLevel="0" collapsed="false">
      <c r="A1312" s="6"/>
      <c r="B1312" s="6"/>
      <c r="C1312" s="6"/>
      <c r="D1312" s="6"/>
      <c r="E1312" s="6"/>
      <c r="F1312" s="6"/>
      <c r="G1312" s="6"/>
      <c r="H1312" s="6"/>
      <c r="I1312" s="6"/>
      <c r="J1312" s="6"/>
      <c r="K1312" s="18"/>
      <c r="L1312" s="19" t="str">
        <f aca="false">IF(A1312="","",G1312*K1312)</f>
        <v/>
      </c>
      <c r="M1312" s="20"/>
      <c r="N1312" s="6"/>
      <c r="O1312" s="6"/>
      <c r="P1312" s="5" t="str">
        <f aca="false">IF(A1312="","",H1312/90)</f>
        <v/>
      </c>
      <c r="Q1312" s="5" t="str">
        <f aca="false">IF(A1312="","",IFERROR(INDEX(Parâmetros!$C$6:$C$10,MATCH(F1312,Parâmetros!$B$6:$B$10,0)),""))</f>
        <v/>
      </c>
      <c r="R1312" s="5" t="str">
        <f aca="false">IF(OR(A1312="",P1312="",Q1312=""),"",P1312*Q1312)</f>
        <v/>
      </c>
      <c r="S1312" s="5" t="str">
        <f aca="false">IF(R1312="","",MAX(0,R1312-G1312))</f>
        <v/>
      </c>
      <c r="T1312" s="21" t="str">
        <f aca="false">IF(S1312="","",S1312*K1312)</f>
        <v/>
      </c>
      <c r="U1312" s="5" t="str">
        <f aca="false">IF(A1312="","",IF(J1312&gt;Parâmetros!$C$14,"SIM","NAO"))</f>
        <v/>
      </c>
      <c r="V1312" s="5" t="str">
        <f aca="false">IF(B1312="","",TRIM(LEFT(B1312,IFERROR(FIND(" ",B1312)-1,LEN(B1312)))))</f>
        <v/>
      </c>
      <c r="W1312" s="22"/>
      <c r="X1312" s="5" t="str">
        <f aca="false">IF(A1312="","",IF(W1312&lt;&gt;"",W1312,V1312))</f>
        <v/>
      </c>
      <c r="Y1312" s="5" t="str">
        <f aca="false">IF(A1312="","",IF(COUNTIFS($X$2:$X$2001,X1312,$D$2:$D$2001,"&lt;&gt;"&amp;D1312,$C$2:$C$2001,C1312)&gt;0,"SIM","NAO"))</f>
        <v/>
      </c>
      <c r="Z1312" s="5" t="str">
        <f aca="false">IF(A1312="","",IF(J1312="","",IFERROR(360/J1312,"")))</f>
        <v/>
      </c>
      <c r="AA1312" s="5" t="str">
        <f aca="false">IF(A1312="","",IF(H1312=0,"Parado (sem venda 90d)",IF(Z1312&gt;12,"Alto (&gt;12x/ano)",IF(Z1312&gt;=4,"Medio (4-12x/ano)","Baixo (&lt;4x/ano)"))))</f>
        <v/>
      </c>
    </row>
    <row r="1313" customFormat="false" ht="15" hidden="false" customHeight="true" outlineLevel="0" collapsed="false">
      <c r="A1313" s="6"/>
      <c r="B1313" s="6"/>
      <c r="C1313" s="6"/>
      <c r="D1313" s="6"/>
      <c r="E1313" s="6"/>
      <c r="F1313" s="6"/>
      <c r="G1313" s="6"/>
      <c r="H1313" s="6"/>
      <c r="I1313" s="6"/>
      <c r="J1313" s="6"/>
      <c r="K1313" s="18"/>
      <c r="L1313" s="19" t="str">
        <f aca="false">IF(A1313="","",G1313*K1313)</f>
        <v/>
      </c>
      <c r="M1313" s="20"/>
      <c r="N1313" s="6"/>
      <c r="O1313" s="6"/>
      <c r="P1313" s="5" t="str">
        <f aca="false">IF(A1313="","",H1313/90)</f>
        <v/>
      </c>
      <c r="Q1313" s="5" t="str">
        <f aca="false">IF(A1313="","",IFERROR(INDEX(Parâmetros!$C$6:$C$10,MATCH(F1313,Parâmetros!$B$6:$B$10,0)),""))</f>
        <v/>
      </c>
      <c r="R1313" s="5" t="str">
        <f aca="false">IF(OR(A1313="",P1313="",Q1313=""),"",P1313*Q1313)</f>
        <v/>
      </c>
      <c r="S1313" s="5" t="str">
        <f aca="false">IF(R1313="","",MAX(0,R1313-G1313))</f>
        <v/>
      </c>
      <c r="T1313" s="21" t="str">
        <f aca="false">IF(S1313="","",S1313*K1313)</f>
        <v/>
      </c>
      <c r="U1313" s="5" t="str">
        <f aca="false">IF(A1313="","",IF(J1313&gt;Parâmetros!$C$14,"SIM","NAO"))</f>
        <v/>
      </c>
      <c r="V1313" s="5" t="str">
        <f aca="false">IF(B1313="","",TRIM(LEFT(B1313,IFERROR(FIND(" ",B1313)-1,LEN(B1313)))))</f>
        <v/>
      </c>
      <c r="W1313" s="22"/>
      <c r="X1313" s="5" t="str">
        <f aca="false">IF(A1313="","",IF(W1313&lt;&gt;"",W1313,V1313))</f>
        <v/>
      </c>
      <c r="Y1313" s="5" t="str">
        <f aca="false">IF(A1313="","",IF(COUNTIFS($X$2:$X$2001,X1313,$D$2:$D$2001,"&lt;&gt;"&amp;D1313,$C$2:$C$2001,C1313)&gt;0,"SIM","NAO"))</f>
        <v/>
      </c>
      <c r="Z1313" s="5" t="str">
        <f aca="false">IF(A1313="","",IF(J1313="","",IFERROR(360/J1313,"")))</f>
        <v/>
      </c>
      <c r="AA1313" s="5" t="str">
        <f aca="false">IF(A1313="","",IF(H1313=0,"Parado (sem venda 90d)",IF(Z1313&gt;12,"Alto (&gt;12x/ano)",IF(Z1313&gt;=4,"Medio (4-12x/ano)","Baixo (&lt;4x/ano)"))))</f>
        <v/>
      </c>
    </row>
    <row r="1314" customFormat="false" ht="15" hidden="false" customHeight="true" outlineLevel="0" collapsed="false">
      <c r="A1314" s="6"/>
      <c r="B1314" s="6"/>
      <c r="C1314" s="6"/>
      <c r="D1314" s="6"/>
      <c r="E1314" s="6"/>
      <c r="F1314" s="6"/>
      <c r="G1314" s="6"/>
      <c r="H1314" s="6"/>
      <c r="I1314" s="6"/>
      <c r="J1314" s="6"/>
      <c r="K1314" s="18"/>
      <c r="L1314" s="19" t="str">
        <f aca="false">IF(A1314="","",G1314*K1314)</f>
        <v/>
      </c>
      <c r="M1314" s="20"/>
      <c r="N1314" s="6"/>
      <c r="O1314" s="6"/>
      <c r="P1314" s="5" t="str">
        <f aca="false">IF(A1314="","",H1314/90)</f>
        <v/>
      </c>
      <c r="Q1314" s="5" t="str">
        <f aca="false">IF(A1314="","",IFERROR(INDEX(Parâmetros!$C$6:$C$10,MATCH(F1314,Parâmetros!$B$6:$B$10,0)),""))</f>
        <v/>
      </c>
      <c r="R1314" s="5" t="str">
        <f aca="false">IF(OR(A1314="",P1314="",Q1314=""),"",P1314*Q1314)</f>
        <v/>
      </c>
      <c r="S1314" s="5" t="str">
        <f aca="false">IF(R1314="","",MAX(0,R1314-G1314))</f>
        <v/>
      </c>
      <c r="T1314" s="21" t="str">
        <f aca="false">IF(S1314="","",S1314*K1314)</f>
        <v/>
      </c>
      <c r="U1314" s="5" t="str">
        <f aca="false">IF(A1314="","",IF(J1314&gt;Parâmetros!$C$14,"SIM","NAO"))</f>
        <v/>
      </c>
      <c r="V1314" s="5" t="str">
        <f aca="false">IF(B1314="","",TRIM(LEFT(B1314,IFERROR(FIND(" ",B1314)-1,LEN(B1314)))))</f>
        <v/>
      </c>
      <c r="W1314" s="22"/>
      <c r="X1314" s="5" t="str">
        <f aca="false">IF(A1314="","",IF(W1314&lt;&gt;"",W1314,V1314))</f>
        <v/>
      </c>
      <c r="Y1314" s="5" t="str">
        <f aca="false">IF(A1314="","",IF(COUNTIFS($X$2:$X$2001,X1314,$D$2:$D$2001,"&lt;&gt;"&amp;D1314,$C$2:$C$2001,C1314)&gt;0,"SIM","NAO"))</f>
        <v/>
      </c>
      <c r="Z1314" s="5" t="str">
        <f aca="false">IF(A1314="","",IF(J1314="","",IFERROR(360/J1314,"")))</f>
        <v/>
      </c>
      <c r="AA1314" s="5" t="str">
        <f aca="false">IF(A1314="","",IF(H1314=0,"Parado (sem venda 90d)",IF(Z1314&gt;12,"Alto (&gt;12x/ano)",IF(Z1314&gt;=4,"Medio (4-12x/ano)","Baixo (&lt;4x/ano)"))))</f>
        <v/>
      </c>
    </row>
    <row r="1315" customFormat="false" ht="15" hidden="false" customHeight="true" outlineLevel="0" collapsed="false">
      <c r="A1315" s="6"/>
      <c r="B1315" s="6"/>
      <c r="C1315" s="6"/>
      <c r="D1315" s="6"/>
      <c r="E1315" s="6"/>
      <c r="F1315" s="6"/>
      <c r="G1315" s="6"/>
      <c r="H1315" s="6"/>
      <c r="I1315" s="6"/>
      <c r="J1315" s="6"/>
      <c r="K1315" s="18"/>
      <c r="L1315" s="19" t="str">
        <f aca="false">IF(A1315="","",G1315*K1315)</f>
        <v/>
      </c>
      <c r="M1315" s="20"/>
      <c r="N1315" s="6"/>
      <c r="O1315" s="6"/>
      <c r="P1315" s="5" t="str">
        <f aca="false">IF(A1315="","",H1315/90)</f>
        <v/>
      </c>
      <c r="Q1315" s="5" t="str">
        <f aca="false">IF(A1315="","",IFERROR(INDEX(Parâmetros!$C$6:$C$10,MATCH(F1315,Parâmetros!$B$6:$B$10,0)),""))</f>
        <v/>
      </c>
      <c r="R1315" s="5" t="str">
        <f aca="false">IF(OR(A1315="",P1315="",Q1315=""),"",P1315*Q1315)</f>
        <v/>
      </c>
      <c r="S1315" s="5" t="str">
        <f aca="false">IF(R1315="","",MAX(0,R1315-G1315))</f>
        <v/>
      </c>
      <c r="T1315" s="21" t="str">
        <f aca="false">IF(S1315="","",S1315*K1315)</f>
        <v/>
      </c>
      <c r="U1315" s="5" t="str">
        <f aca="false">IF(A1315="","",IF(J1315&gt;Parâmetros!$C$14,"SIM","NAO"))</f>
        <v/>
      </c>
      <c r="V1315" s="5" t="str">
        <f aca="false">IF(B1315="","",TRIM(LEFT(B1315,IFERROR(FIND(" ",B1315)-1,LEN(B1315)))))</f>
        <v/>
      </c>
      <c r="W1315" s="22"/>
      <c r="X1315" s="5" t="str">
        <f aca="false">IF(A1315="","",IF(W1315&lt;&gt;"",W1315,V1315))</f>
        <v/>
      </c>
      <c r="Y1315" s="5" t="str">
        <f aca="false">IF(A1315="","",IF(COUNTIFS($X$2:$X$2001,X1315,$D$2:$D$2001,"&lt;&gt;"&amp;D1315,$C$2:$C$2001,C1315)&gt;0,"SIM","NAO"))</f>
        <v/>
      </c>
      <c r="Z1315" s="5" t="str">
        <f aca="false">IF(A1315="","",IF(J1315="","",IFERROR(360/J1315,"")))</f>
        <v/>
      </c>
      <c r="AA1315" s="5" t="str">
        <f aca="false">IF(A1315="","",IF(H1315=0,"Parado (sem venda 90d)",IF(Z1315&gt;12,"Alto (&gt;12x/ano)",IF(Z1315&gt;=4,"Medio (4-12x/ano)","Baixo (&lt;4x/ano)"))))</f>
        <v/>
      </c>
    </row>
    <row r="1316" customFormat="false" ht="15" hidden="false" customHeight="true" outlineLevel="0" collapsed="false">
      <c r="A1316" s="6"/>
      <c r="B1316" s="6"/>
      <c r="C1316" s="6"/>
      <c r="D1316" s="6"/>
      <c r="E1316" s="6"/>
      <c r="F1316" s="6"/>
      <c r="G1316" s="6"/>
      <c r="H1316" s="6"/>
      <c r="I1316" s="6"/>
      <c r="J1316" s="6"/>
      <c r="K1316" s="18"/>
      <c r="L1316" s="19" t="str">
        <f aca="false">IF(A1316="","",G1316*K1316)</f>
        <v/>
      </c>
      <c r="M1316" s="20"/>
      <c r="N1316" s="6"/>
      <c r="O1316" s="6"/>
      <c r="P1316" s="5" t="str">
        <f aca="false">IF(A1316="","",H1316/90)</f>
        <v/>
      </c>
      <c r="Q1316" s="5" t="str">
        <f aca="false">IF(A1316="","",IFERROR(INDEX(Parâmetros!$C$6:$C$10,MATCH(F1316,Parâmetros!$B$6:$B$10,0)),""))</f>
        <v/>
      </c>
      <c r="R1316" s="5" t="str">
        <f aca="false">IF(OR(A1316="",P1316="",Q1316=""),"",P1316*Q1316)</f>
        <v/>
      </c>
      <c r="S1316" s="5" t="str">
        <f aca="false">IF(R1316="","",MAX(0,R1316-G1316))</f>
        <v/>
      </c>
      <c r="T1316" s="21" t="str">
        <f aca="false">IF(S1316="","",S1316*K1316)</f>
        <v/>
      </c>
      <c r="U1316" s="5" t="str">
        <f aca="false">IF(A1316="","",IF(J1316&gt;Parâmetros!$C$14,"SIM","NAO"))</f>
        <v/>
      </c>
      <c r="V1316" s="5" t="str">
        <f aca="false">IF(B1316="","",TRIM(LEFT(B1316,IFERROR(FIND(" ",B1316)-1,LEN(B1316)))))</f>
        <v/>
      </c>
      <c r="W1316" s="22"/>
      <c r="X1316" s="5" t="str">
        <f aca="false">IF(A1316="","",IF(W1316&lt;&gt;"",W1316,V1316))</f>
        <v/>
      </c>
      <c r="Y1316" s="5" t="str">
        <f aca="false">IF(A1316="","",IF(COUNTIFS($X$2:$X$2001,X1316,$D$2:$D$2001,"&lt;&gt;"&amp;D1316,$C$2:$C$2001,C1316)&gt;0,"SIM","NAO"))</f>
        <v/>
      </c>
      <c r="Z1316" s="5" t="str">
        <f aca="false">IF(A1316="","",IF(J1316="","",IFERROR(360/J1316,"")))</f>
        <v/>
      </c>
      <c r="AA1316" s="5" t="str">
        <f aca="false">IF(A1316="","",IF(H1316=0,"Parado (sem venda 90d)",IF(Z1316&gt;12,"Alto (&gt;12x/ano)",IF(Z1316&gt;=4,"Medio (4-12x/ano)","Baixo (&lt;4x/ano)"))))</f>
        <v/>
      </c>
    </row>
    <row r="1317" customFormat="false" ht="15" hidden="false" customHeight="true" outlineLevel="0" collapsed="false">
      <c r="A1317" s="6"/>
      <c r="B1317" s="6"/>
      <c r="C1317" s="6"/>
      <c r="D1317" s="6"/>
      <c r="E1317" s="6"/>
      <c r="F1317" s="6"/>
      <c r="G1317" s="6"/>
      <c r="H1317" s="6"/>
      <c r="I1317" s="6"/>
      <c r="J1317" s="6"/>
      <c r="K1317" s="18"/>
      <c r="L1317" s="19" t="str">
        <f aca="false">IF(A1317="","",G1317*K1317)</f>
        <v/>
      </c>
      <c r="M1317" s="20"/>
      <c r="N1317" s="6"/>
      <c r="O1317" s="6"/>
      <c r="P1317" s="5" t="str">
        <f aca="false">IF(A1317="","",H1317/90)</f>
        <v/>
      </c>
      <c r="Q1317" s="5" t="str">
        <f aca="false">IF(A1317="","",IFERROR(INDEX(Parâmetros!$C$6:$C$10,MATCH(F1317,Parâmetros!$B$6:$B$10,0)),""))</f>
        <v/>
      </c>
      <c r="R1317" s="5" t="str">
        <f aca="false">IF(OR(A1317="",P1317="",Q1317=""),"",P1317*Q1317)</f>
        <v/>
      </c>
      <c r="S1317" s="5" t="str">
        <f aca="false">IF(R1317="","",MAX(0,R1317-G1317))</f>
        <v/>
      </c>
      <c r="T1317" s="21" t="str">
        <f aca="false">IF(S1317="","",S1317*K1317)</f>
        <v/>
      </c>
      <c r="U1317" s="5" t="str">
        <f aca="false">IF(A1317="","",IF(J1317&gt;Parâmetros!$C$14,"SIM","NAO"))</f>
        <v/>
      </c>
      <c r="V1317" s="5" t="str">
        <f aca="false">IF(B1317="","",TRIM(LEFT(B1317,IFERROR(FIND(" ",B1317)-1,LEN(B1317)))))</f>
        <v/>
      </c>
      <c r="W1317" s="22"/>
      <c r="X1317" s="5" t="str">
        <f aca="false">IF(A1317="","",IF(W1317&lt;&gt;"",W1317,V1317))</f>
        <v/>
      </c>
      <c r="Y1317" s="5" t="str">
        <f aca="false">IF(A1317="","",IF(COUNTIFS($X$2:$X$2001,X1317,$D$2:$D$2001,"&lt;&gt;"&amp;D1317,$C$2:$C$2001,C1317)&gt;0,"SIM","NAO"))</f>
        <v/>
      </c>
      <c r="Z1317" s="5" t="str">
        <f aca="false">IF(A1317="","",IF(J1317="","",IFERROR(360/J1317,"")))</f>
        <v/>
      </c>
      <c r="AA1317" s="5" t="str">
        <f aca="false">IF(A1317="","",IF(H1317=0,"Parado (sem venda 90d)",IF(Z1317&gt;12,"Alto (&gt;12x/ano)",IF(Z1317&gt;=4,"Medio (4-12x/ano)","Baixo (&lt;4x/ano)"))))</f>
        <v/>
      </c>
    </row>
    <row r="1318" customFormat="false" ht="15" hidden="false" customHeight="true" outlineLevel="0" collapsed="false">
      <c r="A1318" s="6"/>
      <c r="B1318" s="6"/>
      <c r="C1318" s="6"/>
      <c r="D1318" s="6"/>
      <c r="E1318" s="6"/>
      <c r="F1318" s="6"/>
      <c r="G1318" s="6"/>
      <c r="H1318" s="6"/>
      <c r="I1318" s="6"/>
      <c r="J1318" s="6"/>
      <c r="K1318" s="18"/>
      <c r="L1318" s="19" t="str">
        <f aca="false">IF(A1318="","",G1318*K1318)</f>
        <v/>
      </c>
      <c r="M1318" s="20"/>
      <c r="N1318" s="6"/>
      <c r="O1318" s="6"/>
      <c r="P1318" s="5" t="str">
        <f aca="false">IF(A1318="","",H1318/90)</f>
        <v/>
      </c>
      <c r="Q1318" s="5" t="str">
        <f aca="false">IF(A1318="","",IFERROR(INDEX(Parâmetros!$C$6:$C$10,MATCH(F1318,Parâmetros!$B$6:$B$10,0)),""))</f>
        <v/>
      </c>
      <c r="R1318" s="5" t="str">
        <f aca="false">IF(OR(A1318="",P1318="",Q1318=""),"",P1318*Q1318)</f>
        <v/>
      </c>
      <c r="S1318" s="5" t="str">
        <f aca="false">IF(R1318="","",MAX(0,R1318-G1318))</f>
        <v/>
      </c>
      <c r="T1318" s="21" t="str">
        <f aca="false">IF(S1318="","",S1318*K1318)</f>
        <v/>
      </c>
      <c r="U1318" s="5" t="str">
        <f aca="false">IF(A1318="","",IF(J1318&gt;Parâmetros!$C$14,"SIM","NAO"))</f>
        <v/>
      </c>
      <c r="V1318" s="5" t="str">
        <f aca="false">IF(B1318="","",TRIM(LEFT(B1318,IFERROR(FIND(" ",B1318)-1,LEN(B1318)))))</f>
        <v/>
      </c>
      <c r="W1318" s="22"/>
      <c r="X1318" s="5" t="str">
        <f aca="false">IF(A1318="","",IF(W1318&lt;&gt;"",W1318,V1318))</f>
        <v/>
      </c>
      <c r="Y1318" s="5" t="str">
        <f aca="false">IF(A1318="","",IF(COUNTIFS($X$2:$X$2001,X1318,$D$2:$D$2001,"&lt;&gt;"&amp;D1318,$C$2:$C$2001,C1318)&gt;0,"SIM","NAO"))</f>
        <v/>
      </c>
      <c r="Z1318" s="5" t="str">
        <f aca="false">IF(A1318="","",IF(J1318="","",IFERROR(360/J1318,"")))</f>
        <v/>
      </c>
      <c r="AA1318" s="5" t="str">
        <f aca="false">IF(A1318="","",IF(H1318=0,"Parado (sem venda 90d)",IF(Z1318&gt;12,"Alto (&gt;12x/ano)",IF(Z1318&gt;=4,"Medio (4-12x/ano)","Baixo (&lt;4x/ano)"))))</f>
        <v/>
      </c>
    </row>
    <row r="1319" customFormat="false" ht="15" hidden="false" customHeight="true" outlineLevel="0" collapsed="false">
      <c r="A1319" s="6"/>
      <c r="B1319" s="6"/>
      <c r="C1319" s="6"/>
      <c r="D1319" s="6"/>
      <c r="E1319" s="6"/>
      <c r="F1319" s="6"/>
      <c r="G1319" s="6"/>
      <c r="H1319" s="6"/>
      <c r="I1319" s="6"/>
      <c r="J1319" s="6"/>
      <c r="K1319" s="18"/>
      <c r="L1319" s="19" t="str">
        <f aca="false">IF(A1319="","",G1319*K1319)</f>
        <v/>
      </c>
      <c r="M1319" s="20"/>
      <c r="N1319" s="6"/>
      <c r="O1319" s="6"/>
      <c r="P1319" s="5" t="str">
        <f aca="false">IF(A1319="","",H1319/90)</f>
        <v/>
      </c>
      <c r="Q1319" s="5" t="str">
        <f aca="false">IF(A1319="","",IFERROR(INDEX(Parâmetros!$C$6:$C$10,MATCH(F1319,Parâmetros!$B$6:$B$10,0)),""))</f>
        <v/>
      </c>
      <c r="R1319" s="5" t="str">
        <f aca="false">IF(OR(A1319="",P1319="",Q1319=""),"",P1319*Q1319)</f>
        <v/>
      </c>
      <c r="S1319" s="5" t="str">
        <f aca="false">IF(R1319="","",MAX(0,R1319-G1319))</f>
        <v/>
      </c>
      <c r="T1319" s="21" t="str">
        <f aca="false">IF(S1319="","",S1319*K1319)</f>
        <v/>
      </c>
      <c r="U1319" s="5" t="str">
        <f aca="false">IF(A1319="","",IF(J1319&gt;Parâmetros!$C$14,"SIM","NAO"))</f>
        <v/>
      </c>
      <c r="V1319" s="5" t="str">
        <f aca="false">IF(B1319="","",TRIM(LEFT(B1319,IFERROR(FIND(" ",B1319)-1,LEN(B1319)))))</f>
        <v/>
      </c>
      <c r="W1319" s="22"/>
      <c r="X1319" s="5" t="str">
        <f aca="false">IF(A1319="","",IF(W1319&lt;&gt;"",W1319,V1319))</f>
        <v/>
      </c>
      <c r="Y1319" s="5" t="str">
        <f aca="false">IF(A1319="","",IF(COUNTIFS($X$2:$X$2001,X1319,$D$2:$D$2001,"&lt;&gt;"&amp;D1319,$C$2:$C$2001,C1319)&gt;0,"SIM","NAO"))</f>
        <v/>
      </c>
      <c r="Z1319" s="5" t="str">
        <f aca="false">IF(A1319="","",IF(J1319="","",IFERROR(360/J1319,"")))</f>
        <v/>
      </c>
      <c r="AA1319" s="5" t="str">
        <f aca="false">IF(A1319="","",IF(H1319=0,"Parado (sem venda 90d)",IF(Z1319&gt;12,"Alto (&gt;12x/ano)",IF(Z1319&gt;=4,"Medio (4-12x/ano)","Baixo (&lt;4x/ano)"))))</f>
        <v/>
      </c>
    </row>
    <row r="1320" customFormat="false" ht="15" hidden="false" customHeight="true" outlineLevel="0" collapsed="false">
      <c r="A1320" s="6"/>
      <c r="B1320" s="6"/>
      <c r="C1320" s="6"/>
      <c r="D1320" s="6"/>
      <c r="E1320" s="6"/>
      <c r="F1320" s="6"/>
      <c r="G1320" s="6"/>
      <c r="H1320" s="6"/>
      <c r="I1320" s="6"/>
      <c r="J1320" s="6"/>
      <c r="K1320" s="18"/>
      <c r="L1320" s="19" t="str">
        <f aca="false">IF(A1320="","",G1320*K1320)</f>
        <v/>
      </c>
      <c r="M1320" s="20"/>
      <c r="N1320" s="6"/>
      <c r="O1320" s="6"/>
      <c r="P1320" s="5" t="str">
        <f aca="false">IF(A1320="","",H1320/90)</f>
        <v/>
      </c>
      <c r="Q1320" s="5" t="str">
        <f aca="false">IF(A1320="","",IFERROR(INDEX(Parâmetros!$C$6:$C$10,MATCH(F1320,Parâmetros!$B$6:$B$10,0)),""))</f>
        <v/>
      </c>
      <c r="R1320" s="5" t="str">
        <f aca="false">IF(OR(A1320="",P1320="",Q1320=""),"",P1320*Q1320)</f>
        <v/>
      </c>
      <c r="S1320" s="5" t="str">
        <f aca="false">IF(R1320="","",MAX(0,R1320-G1320))</f>
        <v/>
      </c>
      <c r="T1320" s="21" t="str">
        <f aca="false">IF(S1320="","",S1320*K1320)</f>
        <v/>
      </c>
      <c r="U1320" s="5" t="str">
        <f aca="false">IF(A1320="","",IF(J1320&gt;Parâmetros!$C$14,"SIM","NAO"))</f>
        <v/>
      </c>
      <c r="V1320" s="5" t="str">
        <f aca="false">IF(B1320="","",TRIM(LEFT(B1320,IFERROR(FIND(" ",B1320)-1,LEN(B1320)))))</f>
        <v/>
      </c>
      <c r="W1320" s="22"/>
      <c r="X1320" s="5" t="str">
        <f aca="false">IF(A1320="","",IF(W1320&lt;&gt;"",W1320,V1320))</f>
        <v/>
      </c>
      <c r="Y1320" s="5" t="str">
        <f aca="false">IF(A1320="","",IF(COUNTIFS($X$2:$X$2001,X1320,$D$2:$D$2001,"&lt;&gt;"&amp;D1320,$C$2:$C$2001,C1320)&gt;0,"SIM","NAO"))</f>
        <v/>
      </c>
      <c r="Z1320" s="5" t="str">
        <f aca="false">IF(A1320="","",IF(J1320="","",IFERROR(360/J1320,"")))</f>
        <v/>
      </c>
      <c r="AA1320" s="5" t="str">
        <f aca="false">IF(A1320="","",IF(H1320=0,"Parado (sem venda 90d)",IF(Z1320&gt;12,"Alto (&gt;12x/ano)",IF(Z1320&gt;=4,"Medio (4-12x/ano)","Baixo (&lt;4x/ano)"))))</f>
        <v/>
      </c>
    </row>
    <row r="1321" customFormat="false" ht="15" hidden="false" customHeight="true" outlineLevel="0" collapsed="false">
      <c r="A1321" s="6"/>
      <c r="B1321" s="6"/>
      <c r="C1321" s="6"/>
      <c r="D1321" s="6"/>
      <c r="E1321" s="6"/>
      <c r="F1321" s="6"/>
      <c r="G1321" s="6"/>
      <c r="H1321" s="6"/>
      <c r="I1321" s="6"/>
      <c r="J1321" s="6"/>
      <c r="K1321" s="18"/>
      <c r="L1321" s="19" t="str">
        <f aca="false">IF(A1321="","",G1321*K1321)</f>
        <v/>
      </c>
      <c r="M1321" s="20"/>
      <c r="N1321" s="6"/>
      <c r="O1321" s="6"/>
      <c r="P1321" s="5" t="str">
        <f aca="false">IF(A1321="","",H1321/90)</f>
        <v/>
      </c>
      <c r="Q1321" s="5" t="str">
        <f aca="false">IF(A1321="","",IFERROR(INDEX(Parâmetros!$C$6:$C$10,MATCH(F1321,Parâmetros!$B$6:$B$10,0)),""))</f>
        <v/>
      </c>
      <c r="R1321" s="5" t="str">
        <f aca="false">IF(OR(A1321="",P1321="",Q1321=""),"",P1321*Q1321)</f>
        <v/>
      </c>
      <c r="S1321" s="5" t="str">
        <f aca="false">IF(R1321="","",MAX(0,R1321-G1321))</f>
        <v/>
      </c>
      <c r="T1321" s="21" t="str">
        <f aca="false">IF(S1321="","",S1321*K1321)</f>
        <v/>
      </c>
      <c r="U1321" s="5" t="str">
        <f aca="false">IF(A1321="","",IF(J1321&gt;Parâmetros!$C$14,"SIM","NAO"))</f>
        <v/>
      </c>
      <c r="V1321" s="5" t="str">
        <f aca="false">IF(B1321="","",TRIM(LEFT(B1321,IFERROR(FIND(" ",B1321)-1,LEN(B1321)))))</f>
        <v/>
      </c>
      <c r="W1321" s="22"/>
      <c r="X1321" s="5" t="str">
        <f aca="false">IF(A1321="","",IF(W1321&lt;&gt;"",W1321,V1321))</f>
        <v/>
      </c>
      <c r="Y1321" s="5" t="str">
        <f aca="false">IF(A1321="","",IF(COUNTIFS($X$2:$X$2001,X1321,$D$2:$D$2001,"&lt;&gt;"&amp;D1321,$C$2:$C$2001,C1321)&gt;0,"SIM","NAO"))</f>
        <v/>
      </c>
      <c r="Z1321" s="5" t="str">
        <f aca="false">IF(A1321="","",IF(J1321="","",IFERROR(360/J1321,"")))</f>
        <v/>
      </c>
      <c r="AA1321" s="5" t="str">
        <f aca="false">IF(A1321="","",IF(H1321=0,"Parado (sem venda 90d)",IF(Z1321&gt;12,"Alto (&gt;12x/ano)",IF(Z1321&gt;=4,"Medio (4-12x/ano)","Baixo (&lt;4x/ano)"))))</f>
        <v/>
      </c>
    </row>
    <row r="1322" customFormat="false" ht="15" hidden="false" customHeight="true" outlineLevel="0" collapsed="false">
      <c r="A1322" s="6"/>
      <c r="B1322" s="6"/>
      <c r="C1322" s="6"/>
      <c r="D1322" s="6"/>
      <c r="E1322" s="6"/>
      <c r="F1322" s="6"/>
      <c r="G1322" s="6"/>
      <c r="H1322" s="6"/>
      <c r="I1322" s="6"/>
      <c r="J1322" s="6"/>
      <c r="K1322" s="18"/>
      <c r="L1322" s="19" t="str">
        <f aca="false">IF(A1322="","",G1322*K1322)</f>
        <v/>
      </c>
      <c r="M1322" s="20"/>
      <c r="N1322" s="6"/>
      <c r="O1322" s="6"/>
      <c r="P1322" s="5" t="str">
        <f aca="false">IF(A1322="","",H1322/90)</f>
        <v/>
      </c>
      <c r="Q1322" s="5" t="str">
        <f aca="false">IF(A1322="","",IFERROR(INDEX(Parâmetros!$C$6:$C$10,MATCH(F1322,Parâmetros!$B$6:$B$10,0)),""))</f>
        <v/>
      </c>
      <c r="R1322" s="5" t="str">
        <f aca="false">IF(OR(A1322="",P1322="",Q1322=""),"",P1322*Q1322)</f>
        <v/>
      </c>
      <c r="S1322" s="5" t="str">
        <f aca="false">IF(R1322="","",MAX(0,R1322-G1322))</f>
        <v/>
      </c>
      <c r="T1322" s="21" t="str">
        <f aca="false">IF(S1322="","",S1322*K1322)</f>
        <v/>
      </c>
      <c r="U1322" s="5" t="str">
        <f aca="false">IF(A1322="","",IF(J1322&gt;Parâmetros!$C$14,"SIM","NAO"))</f>
        <v/>
      </c>
      <c r="V1322" s="5" t="str">
        <f aca="false">IF(B1322="","",TRIM(LEFT(B1322,IFERROR(FIND(" ",B1322)-1,LEN(B1322)))))</f>
        <v/>
      </c>
      <c r="W1322" s="22"/>
      <c r="X1322" s="5" t="str">
        <f aca="false">IF(A1322="","",IF(W1322&lt;&gt;"",W1322,V1322))</f>
        <v/>
      </c>
      <c r="Y1322" s="5" t="str">
        <f aca="false">IF(A1322="","",IF(COUNTIFS($X$2:$X$2001,X1322,$D$2:$D$2001,"&lt;&gt;"&amp;D1322,$C$2:$C$2001,C1322)&gt;0,"SIM","NAO"))</f>
        <v/>
      </c>
      <c r="Z1322" s="5" t="str">
        <f aca="false">IF(A1322="","",IF(J1322="","",IFERROR(360/J1322,"")))</f>
        <v/>
      </c>
      <c r="AA1322" s="5" t="str">
        <f aca="false">IF(A1322="","",IF(H1322=0,"Parado (sem venda 90d)",IF(Z1322&gt;12,"Alto (&gt;12x/ano)",IF(Z1322&gt;=4,"Medio (4-12x/ano)","Baixo (&lt;4x/ano)"))))</f>
        <v/>
      </c>
    </row>
    <row r="1323" customFormat="false" ht="15" hidden="false" customHeight="true" outlineLevel="0" collapsed="false">
      <c r="A1323" s="6"/>
      <c r="B1323" s="6"/>
      <c r="C1323" s="6"/>
      <c r="D1323" s="6"/>
      <c r="E1323" s="6"/>
      <c r="F1323" s="6"/>
      <c r="G1323" s="6"/>
      <c r="H1323" s="6"/>
      <c r="I1323" s="6"/>
      <c r="J1323" s="6"/>
      <c r="K1323" s="18"/>
      <c r="L1323" s="19" t="str">
        <f aca="false">IF(A1323="","",G1323*K1323)</f>
        <v/>
      </c>
      <c r="M1323" s="20"/>
      <c r="N1323" s="6"/>
      <c r="O1323" s="6"/>
      <c r="P1323" s="5" t="str">
        <f aca="false">IF(A1323="","",H1323/90)</f>
        <v/>
      </c>
      <c r="Q1323" s="5" t="str">
        <f aca="false">IF(A1323="","",IFERROR(INDEX(Parâmetros!$C$6:$C$10,MATCH(F1323,Parâmetros!$B$6:$B$10,0)),""))</f>
        <v/>
      </c>
      <c r="R1323" s="5" t="str">
        <f aca="false">IF(OR(A1323="",P1323="",Q1323=""),"",P1323*Q1323)</f>
        <v/>
      </c>
      <c r="S1323" s="5" t="str">
        <f aca="false">IF(R1323="","",MAX(0,R1323-G1323))</f>
        <v/>
      </c>
      <c r="T1323" s="21" t="str">
        <f aca="false">IF(S1323="","",S1323*K1323)</f>
        <v/>
      </c>
      <c r="U1323" s="5" t="str">
        <f aca="false">IF(A1323="","",IF(J1323&gt;Parâmetros!$C$14,"SIM","NAO"))</f>
        <v/>
      </c>
      <c r="V1323" s="5" t="str">
        <f aca="false">IF(B1323="","",TRIM(LEFT(B1323,IFERROR(FIND(" ",B1323)-1,LEN(B1323)))))</f>
        <v/>
      </c>
      <c r="W1323" s="22"/>
      <c r="X1323" s="5" t="str">
        <f aca="false">IF(A1323="","",IF(W1323&lt;&gt;"",W1323,V1323))</f>
        <v/>
      </c>
      <c r="Y1323" s="5" t="str">
        <f aca="false">IF(A1323="","",IF(COUNTIFS($X$2:$X$2001,X1323,$D$2:$D$2001,"&lt;&gt;"&amp;D1323,$C$2:$C$2001,C1323)&gt;0,"SIM","NAO"))</f>
        <v/>
      </c>
      <c r="Z1323" s="5" t="str">
        <f aca="false">IF(A1323="","",IF(J1323="","",IFERROR(360/J1323,"")))</f>
        <v/>
      </c>
      <c r="AA1323" s="5" t="str">
        <f aca="false">IF(A1323="","",IF(H1323=0,"Parado (sem venda 90d)",IF(Z1323&gt;12,"Alto (&gt;12x/ano)",IF(Z1323&gt;=4,"Medio (4-12x/ano)","Baixo (&lt;4x/ano)"))))</f>
        <v/>
      </c>
    </row>
    <row r="1324" customFormat="false" ht="15" hidden="false" customHeight="true" outlineLevel="0" collapsed="false">
      <c r="A1324" s="6"/>
      <c r="B1324" s="6"/>
      <c r="C1324" s="6"/>
      <c r="D1324" s="6"/>
      <c r="E1324" s="6"/>
      <c r="F1324" s="6"/>
      <c r="G1324" s="6"/>
      <c r="H1324" s="6"/>
      <c r="I1324" s="6"/>
      <c r="J1324" s="6"/>
      <c r="K1324" s="18"/>
      <c r="L1324" s="19" t="str">
        <f aca="false">IF(A1324="","",G1324*K1324)</f>
        <v/>
      </c>
      <c r="M1324" s="20"/>
      <c r="N1324" s="6"/>
      <c r="O1324" s="6"/>
      <c r="P1324" s="5" t="str">
        <f aca="false">IF(A1324="","",H1324/90)</f>
        <v/>
      </c>
      <c r="Q1324" s="5" t="str">
        <f aca="false">IF(A1324="","",IFERROR(INDEX(Parâmetros!$C$6:$C$10,MATCH(F1324,Parâmetros!$B$6:$B$10,0)),""))</f>
        <v/>
      </c>
      <c r="R1324" s="5" t="str">
        <f aca="false">IF(OR(A1324="",P1324="",Q1324=""),"",P1324*Q1324)</f>
        <v/>
      </c>
      <c r="S1324" s="5" t="str">
        <f aca="false">IF(R1324="","",MAX(0,R1324-G1324))</f>
        <v/>
      </c>
      <c r="T1324" s="21" t="str">
        <f aca="false">IF(S1324="","",S1324*K1324)</f>
        <v/>
      </c>
      <c r="U1324" s="5" t="str">
        <f aca="false">IF(A1324="","",IF(J1324&gt;Parâmetros!$C$14,"SIM","NAO"))</f>
        <v/>
      </c>
      <c r="V1324" s="5" t="str">
        <f aca="false">IF(B1324="","",TRIM(LEFT(B1324,IFERROR(FIND(" ",B1324)-1,LEN(B1324)))))</f>
        <v/>
      </c>
      <c r="W1324" s="22"/>
      <c r="X1324" s="5" t="str">
        <f aca="false">IF(A1324="","",IF(W1324&lt;&gt;"",W1324,V1324))</f>
        <v/>
      </c>
      <c r="Y1324" s="5" t="str">
        <f aca="false">IF(A1324="","",IF(COUNTIFS($X$2:$X$2001,X1324,$D$2:$D$2001,"&lt;&gt;"&amp;D1324,$C$2:$C$2001,C1324)&gt;0,"SIM","NAO"))</f>
        <v/>
      </c>
      <c r="Z1324" s="5" t="str">
        <f aca="false">IF(A1324="","",IF(J1324="","",IFERROR(360/J1324,"")))</f>
        <v/>
      </c>
      <c r="AA1324" s="5" t="str">
        <f aca="false">IF(A1324="","",IF(H1324=0,"Parado (sem venda 90d)",IF(Z1324&gt;12,"Alto (&gt;12x/ano)",IF(Z1324&gt;=4,"Medio (4-12x/ano)","Baixo (&lt;4x/ano)"))))</f>
        <v/>
      </c>
    </row>
    <row r="1325" customFormat="false" ht="15" hidden="false" customHeight="true" outlineLevel="0" collapsed="false">
      <c r="A1325" s="6"/>
      <c r="B1325" s="6"/>
      <c r="C1325" s="6"/>
      <c r="D1325" s="6"/>
      <c r="E1325" s="6"/>
      <c r="F1325" s="6"/>
      <c r="G1325" s="6"/>
      <c r="H1325" s="6"/>
      <c r="I1325" s="6"/>
      <c r="J1325" s="6"/>
      <c r="K1325" s="18"/>
      <c r="L1325" s="19" t="str">
        <f aca="false">IF(A1325="","",G1325*K1325)</f>
        <v/>
      </c>
      <c r="M1325" s="20"/>
      <c r="N1325" s="6"/>
      <c r="O1325" s="6"/>
      <c r="P1325" s="5" t="str">
        <f aca="false">IF(A1325="","",H1325/90)</f>
        <v/>
      </c>
      <c r="Q1325" s="5" t="str">
        <f aca="false">IF(A1325="","",IFERROR(INDEX(Parâmetros!$C$6:$C$10,MATCH(F1325,Parâmetros!$B$6:$B$10,0)),""))</f>
        <v/>
      </c>
      <c r="R1325" s="5" t="str">
        <f aca="false">IF(OR(A1325="",P1325="",Q1325=""),"",P1325*Q1325)</f>
        <v/>
      </c>
      <c r="S1325" s="5" t="str">
        <f aca="false">IF(R1325="","",MAX(0,R1325-G1325))</f>
        <v/>
      </c>
      <c r="T1325" s="21" t="str">
        <f aca="false">IF(S1325="","",S1325*K1325)</f>
        <v/>
      </c>
      <c r="U1325" s="5" t="str">
        <f aca="false">IF(A1325="","",IF(J1325&gt;Parâmetros!$C$14,"SIM","NAO"))</f>
        <v/>
      </c>
      <c r="V1325" s="5" t="str">
        <f aca="false">IF(B1325="","",TRIM(LEFT(B1325,IFERROR(FIND(" ",B1325)-1,LEN(B1325)))))</f>
        <v/>
      </c>
      <c r="W1325" s="22"/>
      <c r="X1325" s="5" t="str">
        <f aca="false">IF(A1325="","",IF(W1325&lt;&gt;"",W1325,V1325))</f>
        <v/>
      </c>
      <c r="Y1325" s="5" t="str">
        <f aca="false">IF(A1325="","",IF(COUNTIFS($X$2:$X$2001,X1325,$D$2:$D$2001,"&lt;&gt;"&amp;D1325,$C$2:$C$2001,C1325)&gt;0,"SIM","NAO"))</f>
        <v/>
      </c>
      <c r="Z1325" s="5" t="str">
        <f aca="false">IF(A1325="","",IF(J1325="","",IFERROR(360/J1325,"")))</f>
        <v/>
      </c>
      <c r="AA1325" s="5" t="str">
        <f aca="false">IF(A1325="","",IF(H1325=0,"Parado (sem venda 90d)",IF(Z1325&gt;12,"Alto (&gt;12x/ano)",IF(Z1325&gt;=4,"Medio (4-12x/ano)","Baixo (&lt;4x/ano)"))))</f>
        <v/>
      </c>
    </row>
    <row r="1326" customFormat="false" ht="15" hidden="false" customHeight="true" outlineLevel="0" collapsed="false">
      <c r="A1326" s="6"/>
      <c r="B1326" s="6"/>
      <c r="C1326" s="6"/>
      <c r="D1326" s="6"/>
      <c r="E1326" s="6"/>
      <c r="F1326" s="6"/>
      <c r="G1326" s="6"/>
      <c r="H1326" s="6"/>
      <c r="I1326" s="6"/>
      <c r="J1326" s="6"/>
      <c r="K1326" s="18"/>
      <c r="L1326" s="19" t="str">
        <f aca="false">IF(A1326="","",G1326*K1326)</f>
        <v/>
      </c>
      <c r="M1326" s="20"/>
      <c r="N1326" s="6"/>
      <c r="O1326" s="6"/>
      <c r="P1326" s="5" t="str">
        <f aca="false">IF(A1326="","",H1326/90)</f>
        <v/>
      </c>
      <c r="Q1326" s="5" t="str">
        <f aca="false">IF(A1326="","",IFERROR(INDEX(Parâmetros!$C$6:$C$10,MATCH(F1326,Parâmetros!$B$6:$B$10,0)),""))</f>
        <v/>
      </c>
      <c r="R1326" s="5" t="str">
        <f aca="false">IF(OR(A1326="",P1326="",Q1326=""),"",P1326*Q1326)</f>
        <v/>
      </c>
      <c r="S1326" s="5" t="str">
        <f aca="false">IF(R1326="","",MAX(0,R1326-G1326))</f>
        <v/>
      </c>
      <c r="T1326" s="21" t="str">
        <f aca="false">IF(S1326="","",S1326*K1326)</f>
        <v/>
      </c>
      <c r="U1326" s="5" t="str">
        <f aca="false">IF(A1326="","",IF(J1326&gt;Parâmetros!$C$14,"SIM","NAO"))</f>
        <v/>
      </c>
      <c r="V1326" s="5" t="str">
        <f aca="false">IF(B1326="","",TRIM(LEFT(B1326,IFERROR(FIND(" ",B1326)-1,LEN(B1326)))))</f>
        <v/>
      </c>
      <c r="W1326" s="22"/>
      <c r="X1326" s="5" t="str">
        <f aca="false">IF(A1326="","",IF(W1326&lt;&gt;"",W1326,V1326))</f>
        <v/>
      </c>
      <c r="Y1326" s="5" t="str">
        <f aca="false">IF(A1326="","",IF(COUNTIFS($X$2:$X$2001,X1326,$D$2:$D$2001,"&lt;&gt;"&amp;D1326,$C$2:$C$2001,C1326)&gt;0,"SIM","NAO"))</f>
        <v/>
      </c>
      <c r="Z1326" s="5" t="str">
        <f aca="false">IF(A1326="","",IF(J1326="","",IFERROR(360/J1326,"")))</f>
        <v/>
      </c>
      <c r="AA1326" s="5" t="str">
        <f aca="false">IF(A1326="","",IF(H1326=0,"Parado (sem venda 90d)",IF(Z1326&gt;12,"Alto (&gt;12x/ano)",IF(Z1326&gt;=4,"Medio (4-12x/ano)","Baixo (&lt;4x/ano)"))))</f>
        <v/>
      </c>
    </row>
    <row r="1327" customFormat="false" ht="15" hidden="false" customHeight="true" outlineLevel="0" collapsed="false">
      <c r="A1327" s="6"/>
      <c r="B1327" s="6"/>
      <c r="C1327" s="6"/>
      <c r="D1327" s="6"/>
      <c r="E1327" s="6"/>
      <c r="F1327" s="6"/>
      <c r="G1327" s="6"/>
      <c r="H1327" s="6"/>
      <c r="I1327" s="6"/>
      <c r="J1327" s="6"/>
      <c r="K1327" s="18"/>
      <c r="L1327" s="19" t="str">
        <f aca="false">IF(A1327="","",G1327*K1327)</f>
        <v/>
      </c>
      <c r="M1327" s="20"/>
      <c r="N1327" s="6"/>
      <c r="O1327" s="6"/>
      <c r="P1327" s="5" t="str">
        <f aca="false">IF(A1327="","",H1327/90)</f>
        <v/>
      </c>
      <c r="Q1327" s="5" t="str">
        <f aca="false">IF(A1327="","",IFERROR(INDEX(Parâmetros!$C$6:$C$10,MATCH(F1327,Parâmetros!$B$6:$B$10,0)),""))</f>
        <v/>
      </c>
      <c r="R1327" s="5" t="str">
        <f aca="false">IF(OR(A1327="",P1327="",Q1327=""),"",P1327*Q1327)</f>
        <v/>
      </c>
      <c r="S1327" s="5" t="str">
        <f aca="false">IF(R1327="","",MAX(0,R1327-G1327))</f>
        <v/>
      </c>
      <c r="T1327" s="21" t="str">
        <f aca="false">IF(S1327="","",S1327*K1327)</f>
        <v/>
      </c>
      <c r="U1327" s="5" t="str">
        <f aca="false">IF(A1327="","",IF(J1327&gt;Parâmetros!$C$14,"SIM","NAO"))</f>
        <v/>
      </c>
      <c r="V1327" s="5" t="str">
        <f aca="false">IF(B1327="","",TRIM(LEFT(B1327,IFERROR(FIND(" ",B1327)-1,LEN(B1327)))))</f>
        <v/>
      </c>
      <c r="W1327" s="22"/>
      <c r="X1327" s="5" t="str">
        <f aca="false">IF(A1327="","",IF(W1327&lt;&gt;"",W1327,V1327))</f>
        <v/>
      </c>
      <c r="Y1327" s="5" t="str">
        <f aca="false">IF(A1327="","",IF(COUNTIFS($X$2:$X$2001,X1327,$D$2:$D$2001,"&lt;&gt;"&amp;D1327,$C$2:$C$2001,C1327)&gt;0,"SIM","NAO"))</f>
        <v/>
      </c>
      <c r="Z1327" s="5" t="str">
        <f aca="false">IF(A1327="","",IF(J1327="","",IFERROR(360/J1327,"")))</f>
        <v/>
      </c>
      <c r="AA1327" s="5" t="str">
        <f aca="false">IF(A1327="","",IF(H1327=0,"Parado (sem venda 90d)",IF(Z1327&gt;12,"Alto (&gt;12x/ano)",IF(Z1327&gt;=4,"Medio (4-12x/ano)","Baixo (&lt;4x/ano)"))))</f>
        <v/>
      </c>
    </row>
    <row r="1328" customFormat="false" ht="15" hidden="false" customHeight="true" outlineLevel="0" collapsed="false">
      <c r="A1328" s="6"/>
      <c r="B1328" s="6"/>
      <c r="C1328" s="6"/>
      <c r="D1328" s="6"/>
      <c r="E1328" s="6"/>
      <c r="F1328" s="6"/>
      <c r="G1328" s="6"/>
      <c r="H1328" s="6"/>
      <c r="I1328" s="6"/>
      <c r="J1328" s="6"/>
      <c r="K1328" s="18"/>
      <c r="L1328" s="19" t="str">
        <f aca="false">IF(A1328="","",G1328*K1328)</f>
        <v/>
      </c>
      <c r="M1328" s="20"/>
      <c r="N1328" s="6"/>
      <c r="O1328" s="6"/>
      <c r="P1328" s="5" t="str">
        <f aca="false">IF(A1328="","",H1328/90)</f>
        <v/>
      </c>
      <c r="Q1328" s="5" t="str">
        <f aca="false">IF(A1328="","",IFERROR(INDEX(Parâmetros!$C$6:$C$10,MATCH(F1328,Parâmetros!$B$6:$B$10,0)),""))</f>
        <v/>
      </c>
      <c r="R1328" s="5" t="str">
        <f aca="false">IF(OR(A1328="",P1328="",Q1328=""),"",P1328*Q1328)</f>
        <v/>
      </c>
      <c r="S1328" s="5" t="str">
        <f aca="false">IF(R1328="","",MAX(0,R1328-G1328))</f>
        <v/>
      </c>
      <c r="T1328" s="21" t="str">
        <f aca="false">IF(S1328="","",S1328*K1328)</f>
        <v/>
      </c>
      <c r="U1328" s="5" t="str">
        <f aca="false">IF(A1328="","",IF(J1328&gt;Parâmetros!$C$14,"SIM","NAO"))</f>
        <v/>
      </c>
      <c r="V1328" s="5" t="str">
        <f aca="false">IF(B1328="","",TRIM(LEFT(B1328,IFERROR(FIND(" ",B1328)-1,LEN(B1328)))))</f>
        <v/>
      </c>
      <c r="W1328" s="22"/>
      <c r="X1328" s="5" t="str">
        <f aca="false">IF(A1328="","",IF(W1328&lt;&gt;"",W1328,V1328))</f>
        <v/>
      </c>
      <c r="Y1328" s="5" t="str">
        <f aca="false">IF(A1328="","",IF(COUNTIFS($X$2:$X$2001,X1328,$D$2:$D$2001,"&lt;&gt;"&amp;D1328,$C$2:$C$2001,C1328)&gt;0,"SIM","NAO"))</f>
        <v/>
      </c>
      <c r="Z1328" s="5" t="str">
        <f aca="false">IF(A1328="","",IF(J1328="","",IFERROR(360/J1328,"")))</f>
        <v/>
      </c>
      <c r="AA1328" s="5" t="str">
        <f aca="false">IF(A1328="","",IF(H1328=0,"Parado (sem venda 90d)",IF(Z1328&gt;12,"Alto (&gt;12x/ano)",IF(Z1328&gt;=4,"Medio (4-12x/ano)","Baixo (&lt;4x/ano)"))))</f>
        <v/>
      </c>
    </row>
    <row r="1329" customFormat="false" ht="15" hidden="false" customHeight="true" outlineLevel="0" collapsed="false">
      <c r="A1329" s="6"/>
      <c r="B1329" s="6"/>
      <c r="C1329" s="6"/>
      <c r="D1329" s="6"/>
      <c r="E1329" s="6"/>
      <c r="F1329" s="6"/>
      <c r="G1329" s="6"/>
      <c r="H1329" s="6"/>
      <c r="I1329" s="6"/>
      <c r="J1329" s="6"/>
      <c r="K1329" s="18"/>
      <c r="L1329" s="19" t="str">
        <f aca="false">IF(A1329="","",G1329*K1329)</f>
        <v/>
      </c>
      <c r="M1329" s="20"/>
      <c r="N1329" s="6"/>
      <c r="O1329" s="6"/>
      <c r="P1329" s="5" t="str">
        <f aca="false">IF(A1329="","",H1329/90)</f>
        <v/>
      </c>
      <c r="Q1329" s="5" t="str">
        <f aca="false">IF(A1329="","",IFERROR(INDEX(Parâmetros!$C$6:$C$10,MATCH(F1329,Parâmetros!$B$6:$B$10,0)),""))</f>
        <v/>
      </c>
      <c r="R1329" s="5" t="str">
        <f aca="false">IF(OR(A1329="",P1329="",Q1329=""),"",P1329*Q1329)</f>
        <v/>
      </c>
      <c r="S1329" s="5" t="str">
        <f aca="false">IF(R1329="","",MAX(0,R1329-G1329))</f>
        <v/>
      </c>
      <c r="T1329" s="21" t="str">
        <f aca="false">IF(S1329="","",S1329*K1329)</f>
        <v/>
      </c>
      <c r="U1329" s="5" t="str">
        <f aca="false">IF(A1329="","",IF(J1329&gt;Parâmetros!$C$14,"SIM","NAO"))</f>
        <v/>
      </c>
      <c r="V1329" s="5" t="str">
        <f aca="false">IF(B1329="","",TRIM(LEFT(B1329,IFERROR(FIND(" ",B1329)-1,LEN(B1329)))))</f>
        <v/>
      </c>
      <c r="W1329" s="22"/>
      <c r="X1329" s="5" t="str">
        <f aca="false">IF(A1329="","",IF(W1329&lt;&gt;"",W1329,V1329))</f>
        <v/>
      </c>
      <c r="Y1329" s="5" t="str">
        <f aca="false">IF(A1329="","",IF(COUNTIFS($X$2:$X$2001,X1329,$D$2:$D$2001,"&lt;&gt;"&amp;D1329,$C$2:$C$2001,C1329)&gt;0,"SIM","NAO"))</f>
        <v/>
      </c>
      <c r="Z1329" s="5" t="str">
        <f aca="false">IF(A1329="","",IF(J1329="","",IFERROR(360/J1329,"")))</f>
        <v/>
      </c>
      <c r="AA1329" s="5" t="str">
        <f aca="false">IF(A1329="","",IF(H1329=0,"Parado (sem venda 90d)",IF(Z1329&gt;12,"Alto (&gt;12x/ano)",IF(Z1329&gt;=4,"Medio (4-12x/ano)","Baixo (&lt;4x/ano)"))))</f>
        <v/>
      </c>
    </row>
    <row r="1330" customFormat="false" ht="15" hidden="false" customHeight="true" outlineLevel="0" collapsed="false">
      <c r="A1330" s="6"/>
      <c r="B1330" s="6"/>
      <c r="C1330" s="6"/>
      <c r="D1330" s="6"/>
      <c r="E1330" s="6"/>
      <c r="F1330" s="6"/>
      <c r="G1330" s="6"/>
      <c r="H1330" s="6"/>
      <c r="I1330" s="6"/>
      <c r="J1330" s="6"/>
      <c r="K1330" s="18"/>
      <c r="L1330" s="19" t="str">
        <f aca="false">IF(A1330="","",G1330*K1330)</f>
        <v/>
      </c>
      <c r="M1330" s="20"/>
      <c r="N1330" s="6"/>
      <c r="O1330" s="6"/>
      <c r="P1330" s="5" t="str">
        <f aca="false">IF(A1330="","",H1330/90)</f>
        <v/>
      </c>
      <c r="Q1330" s="5" t="str">
        <f aca="false">IF(A1330="","",IFERROR(INDEX(Parâmetros!$C$6:$C$10,MATCH(F1330,Parâmetros!$B$6:$B$10,0)),""))</f>
        <v/>
      </c>
      <c r="R1330" s="5" t="str">
        <f aca="false">IF(OR(A1330="",P1330="",Q1330=""),"",P1330*Q1330)</f>
        <v/>
      </c>
      <c r="S1330" s="5" t="str">
        <f aca="false">IF(R1330="","",MAX(0,R1330-G1330))</f>
        <v/>
      </c>
      <c r="T1330" s="21" t="str">
        <f aca="false">IF(S1330="","",S1330*K1330)</f>
        <v/>
      </c>
      <c r="U1330" s="5" t="str">
        <f aca="false">IF(A1330="","",IF(J1330&gt;Parâmetros!$C$14,"SIM","NAO"))</f>
        <v/>
      </c>
      <c r="V1330" s="5" t="str">
        <f aca="false">IF(B1330="","",TRIM(LEFT(B1330,IFERROR(FIND(" ",B1330)-1,LEN(B1330)))))</f>
        <v/>
      </c>
      <c r="W1330" s="22"/>
      <c r="X1330" s="5" t="str">
        <f aca="false">IF(A1330="","",IF(W1330&lt;&gt;"",W1330,V1330))</f>
        <v/>
      </c>
      <c r="Y1330" s="5" t="str">
        <f aca="false">IF(A1330="","",IF(COUNTIFS($X$2:$X$2001,X1330,$D$2:$D$2001,"&lt;&gt;"&amp;D1330,$C$2:$C$2001,C1330)&gt;0,"SIM","NAO"))</f>
        <v/>
      </c>
      <c r="Z1330" s="5" t="str">
        <f aca="false">IF(A1330="","",IF(J1330="","",IFERROR(360/J1330,"")))</f>
        <v/>
      </c>
      <c r="AA1330" s="5" t="str">
        <f aca="false">IF(A1330="","",IF(H1330=0,"Parado (sem venda 90d)",IF(Z1330&gt;12,"Alto (&gt;12x/ano)",IF(Z1330&gt;=4,"Medio (4-12x/ano)","Baixo (&lt;4x/ano)"))))</f>
        <v/>
      </c>
    </row>
    <row r="1331" customFormat="false" ht="15" hidden="false" customHeight="true" outlineLevel="0" collapsed="false">
      <c r="A1331" s="6"/>
      <c r="B1331" s="6"/>
      <c r="C1331" s="6"/>
      <c r="D1331" s="6"/>
      <c r="E1331" s="6"/>
      <c r="F1331" s="6"/>
      <c r="G1331" s="6"/>
      <c r="H1331" s="6"/>
      <c r="I1331" s="6"/>
      <c r="J1331" s="6"/>
      <c r="K1331" s="18"/>
      <c r="L1331" s="19" t="str">
        <f aca="false">IF(A1331="","",G1331*K1331)</f>
        <v/>
      </c>
      <c r="M1331" s="20"/>
      <c r="N1331" s="6"/>
      <c r="O1331" s="6"/>
      <c r="P1331" s="5" t="str">
        <f aca="false">IF(A1331="","",H1331/90)</f>
        <v/>
      </c>
      <c r="Q1331" s="5" t="str">
        <f aca="false">IF(A1331="","",IFERROR(INDEX(Parâmetros!$C$6:$C$10,MATCH(F1331,Parâmetros!$B$6:$B$10,0)),""))</f>
        <v/>
      </c>
      <c r="R1331" s="5" t="str">
        <f aca="false">IF(OR(A1331="",P1331="",Q1331=""),"",P1331*Q1331)</f>
        <v/>
      </c>
      <c r="S1331" s="5" t="str">
        <f aca="false">IF(R1331="","",MAX(0,R1331-G1331))</f>
        <v/>
      </c>
      <c r="T1331" s="21" t="str">
        <f aca="false">IF(S1331="","",S1331*K1331)</f>
        <v/>
      </c>
      <c r="U1331" s="5" t="str">
        <f aca="false">IF(A1331="","",IF(J1331&gt;Parâmetros!$C$14,"SIM","NAO"))</f>
        <v/>
      </c>
      <c r="V1331" s="5" t="str">
        <f aca="false">IF(B1331="","",TRIM(LEFT(B1331,IFERROR(FIND(" ",B1331)-1,LEN(B1331)))))</f>
        <v/>
      </c>
      <c r="W1331" s="22"/>
      <c r="X1331" s="5" t="str">
        <f aca="false">IF(A1331="","",IF(W1331&lt;&gt;"",W1331,V1331))</f>
        <v/>
      </c>
      <c r="Y1331" s="5" t="str">
        <f aca="false">IF(A1331="","",IF(COUNTIFS($X$2:$X$2001,X1331,$D$2:$D$2001,"&lt;&gt;"&amp;D1331,$C$2:$C$2001,C1331)&gt;0,"SIM","NAO"))</f>
        <v/>
      </c>
      <c r="Z1331" s="5" t="str">
        <f aca="false">IF(A1331="","",IF(J1331="","",IFERROR(360/J1331,"")))</f>
        <v/>
      </c>
      <c r="AA1331" s="5" t="str">
        <f aca="false">IF(A1331="","",IF(H1331=0,"Parado (sem venda 90d)",IF(Z1331&gt;12,"Alto (&gt;12x/ano)",IF(Z1331&gt;=4,"Medio (4-12x/ano)","Baixo (&lt;4x/ano)"))))</f>
        <v/>
      </c>
    </row>
    <row r="1332" customFormat="false" ht="15" hidden="false" customHeight="true" outlineLevel="0" collapsed="false">
      <c r="A1332" s="6"/>
      <c r="B1332" s="6"/>
      <c r="C1332" s="6"/>
      <c r="D1332" s="6"/>
      <c r="E1332" s="6"/>
      <c r="F1332" s="6"/>
      <c r="G1332" s="6"/>
      <c r="H1332" s="6"/>
      <c r="I1332" s="6"/>
      <c r="J1332" s="6"/>
      <c r="K1332" s="18"/>
      <c r="L1332" s="19" t="str">
        <f aca="false">IF(A1332="","",G1332*K1332)</f>
        <v/>
      </c>
      <c r="M1332" s="20"/>
      <c r="N1332" s="6"/>
      <c r="O1332" s="6"/>
      <c r="P1332" s="5" t="str">
        <f aca="false">IF(A1332="","",H1332/90)</f>
        <v/>
      </c>
      <c r="Q1332" s="5" t="str">
        <f aca="false">IF(A1332="","",IFERROR(INDEX(Parâmetros!$C$6:$C$10,MATCH(F1332,Parâmetros!$B$6:$B$10,0)),""))</f>
        <v/>
      </c>
      <c r="R1332" s="5" t="str">
        <f aca="false">IF(OR(A1332="",P1332="",Q1332=""),"",P1332*Q1332)</f>
        <v/>
      </c>
      <c r="S1332" s="5" t="str">
        <f aca="false">IF(R1332="","",MAX(0,R1332-G1332))</f>
        <v/>
      </c>
      <c r="T1332" s="21" t="str">
        <f aca="false">IF(S1332="","",S1332*K1332)</f>
        <v/>
      </c>
      <c r="U1332" s="5" t="str">
        <f aca="false">IF(A1332="","",IF(J1332&gt;Parâmetros!$C$14,"SIM","NAO"))</f>
        <v/>
      </c>
      <c r="V1332" s="5" t="str">
        <f aca="false">IF(B1332="","",TRIM(LEFT(B1332,IFERROR(FIND(" ",B1332)-1,LEN(B1332)))))</f>
        <v/>
      </c>
      <c r="W1332" s="22"/>
      <c r="X1332" s="5" t="str">
        <f aca="false">IF(A1332="","",IF(W1332&lt;&gt;"",W1332,V1332))</f>
        <v/>
      </c>
      <c r="Y1332" s="5" t="str">
        <f aca="false">IF(A1332="","",IF(COUNTIFS($X$2:$X$2001,X1332,$D$2:$D$2001,"&lt;&gt;"&amp;D1332,$C$2:$C$2001,C1332)&gt;0,"SIM","NAO"))</f>
        <v/>
      </c>
      <c r="Z1332" s="5" t="str">
        <f aca="false">IF(A1332="","",IF(J1332="","",IFERROR(360/J1332,"")))</f>
        <v/>
      </c>
      <c r="AA1332" s="5" t="str">
        <f aca="false">IF(A1332="","",IF(H1332=0,"Parado (sem venda 90d)",IF(Z1332&gt;12,"Alto (&gt;12x/ano)",IF(Z1332&gt;=4,"Medio (4-12x/ano)","Baixo (&lt;4x/ano)"))))</f>
        <v/>
      </c>
    </row>
    <row r="1333" customFormat="false" ht="15" hidden="false" customHeight="true" outlineLevel="0" collapsed="false">
      <c r="A1333" s="6"/>
      <c r="B1333" s="6"/>
      <c r="C1333" s="6"/>
      <c r="D1333" s="6"/>
      <c r="E1333" s="6"/>
      <c r="F1333" s="6"/>
      <c r="G1333" s="6"/>
      <c r="H1333" s="6"/>
      <c r="I1333" s="6"/>
      <c r="J1333" s="6"/>
      <c r="K1333" s="18"/>
      <c r="L1333" s="19" t="str">
        <f aca="false">IF(A1333="","",G1333*K1333)</f>
        <v/>
      </c>
      <c r="M1333" s="20"/>
      <c r="N1333" s="6"/>
      <c r="O1333" s="6"/>
      <c r="P1333" s="5" t="str">
        <f aca="false">IF(A1333="","",H1333/90)</f>
        <v/>
      </c>
      <c r="Q1333" s="5" t="str">
        <f aca="false">IF(A1333="","",IFERROR(INDEX(Parâmetros!$C$6:$C$10,MATCH(F1333,Parâmetros!$B$6:$B$10,0)),""))</f>
        <v/>
      </c>
      <c r="R1333" s="5" t="str">
        <f aca="false">IF(OR(A1333="",P1333="",Q1333=""),"",P1333*Q1333)</f>
        <v/>
      </c>
      <c r="S1333" s="5" t="str">
        <f aca="false">IF(R1333="","",MAX(0,R1333-G1333))</f>
        <v/>
      </c>
      <c r="T1333" s="21" t="str">
        <f aca="false">IF(S1333="","",S1333*K1333)</f>
        <v/>
      </c>
      <c r="U1333" s="5" t="str">
        <f aca="false">IF(A1333="","",IF(J1333&gt;Parâmetros!$C$14,"SIM","NAO"))</f>
        <v/>
      </c>
      <c r="V1333" s="5" t="str">
        <f aca="false">IF(B1333="","",TRIM(LEFT(B1333,IFERROR(FIND(" ",B1333)-1,LEN(B1333)))))</f>
        <v/>
      </c>
      <c r="W1333" s="22"/>
      <c r="X1333" s="5" t="str">
        <f aca="false">IF(A1333="","",IF(W1333&lt;&gt;"",W1333,V1333))</f>
        <v/>
      </c>
      <c r="Y1333" s="5" t="str">
        <f aca="false">IF(A1333="","",IF(COUNTIFS($X$2:$X$2001,X1333,$D$2:$D$2001,"&lt;&gt;"&amp;D1333,$C$2:$C$2001,C1333)&gt;0,"SIM","NAO"))</f>
        <v/>
      </c>
      <c r="Z1333" s="5" t="str">
        <f aca="false">IF(A1333="","",IF(J1333="","",IFERROR(360/J1333,"")))</f>
        <v/>
      </c>
      <c r="AA1333" s="5" t="str">
        <f aca="false">IF(A1333="","",IF(H1333=0,"Parado (sem venda 90d)",IF(Z1333&gt;12,"Alto (&gt;12x/ano)",IF(Z1333&gt;=4,"Medio (4-12x/ano)","Baixo (&lt;4x/ano)"))))</f>
        <v/>
      </c>
    </row>
    <row r="1334" customFormat="false" ht="15" hidden="false" customHeight="true" outlineLevel="0" collapsed="false">
      <c r="A1334" s="6"/>
      <c r="B1334" s="6"/>
      <c r="C1334" s="6"/>
      <c r="D1334" s="6"/>
      <c r="E1334" s="6"/>
      <c r="F1334" s="6"/>
      <c r="G1334" s="6"/>
      <c r="H1334" s="6"/>
      <c r="I1334" s="6"/>
      <c r="J1334" s="6"/>
      <c r="K1334" s="18"/>
      <c r="L1334" s="19" t="str">
        <f aca="false">IF(A1334="","",G1334*K1334)</f>
        <v/>
      </c>
      <c r="M1334" s="20"/>
      <c r="N1334" s="6"/>
      <c r="O1334" s="6"/>
      <c r="P1334" s="5" t="str">
        <f aca="false">IF(A1334="","",H1334/90)</f>
        <v/>
      </c>
      <c r="Q1334" s="5" t="str">
        <f aca="false">IF(A1334="","",IFERROR(INDEX(Parâmetros!$C$6:$C$10,MATCH(F1334,Parâmetros!$B$6:$B$10,0)),""))</f>
        <v/>
      </c>
      <c r="R1334" s="5" t="str">
        <f aca="false">IF(OR(A1334="",P1334="",Q1334=""),"",P1334*Q1334)</f>
        <v/>
      </c>
      <c r="S1334" s="5" t="str">
        <f aca="false">IF(R1334="","",MAX(0,R1334-G1334))</f>
        <v/>
      </c>
      <c r="T1334" s="21" t="str">
        <f aca="false">IF(S1334="","",S1334*K1334)</f>
        <v/>
      </c>
      <c r="U1334" s="5" t="str">
        <f aca="false">IF(A1334="","",IF(J1334&gt;Parâmetros!$C$14,"SIM","NAO"))</f>
        <v/>
      </c>
      <c r="V1334" s="5" t="str">
        <f aca="false">IF(B1334="","",TRIM(LEFT(B1334,IFERROR(FIND(" ",B1334)-1,LEN(B1334)))))</f>
        <v/>
      </c>
      <c r="W1334" s="22"/>
      <c r="X1334" s="5" t="str">
        <f aca="false">IF(A1334="","",IF(W1334&lt;&gt;"",W1334,V1334))</f>
        <v/>
      </c>
      <c r="Y1334" s="5" t="str">
        <f aca="false">IF(A1334="","",IF(COUNTIFS($X$2:$X$2001,X1334,$D$2:$D$2001,"&lt;&gt;"&amp;D1334,$C$2:$C$2001,C1334)&gt;0,"SIM","NAO"))</f>
        <v/>
      </c>
      <c r="Z1334" s="5" t="str">
        <f aca="false">IF(A1334="","",IF(J1334="","",IFERROR(360/J1334,"")))</f>
        <v/>
      </c>
      <c r="AA1334" s="5" t="str">
        <f aca="false">IF(A1334="","",IF(H1334=0,"Parado (sem venda 90d)",IF(Z1334&gt;12,"Alto (&gt;12x/ano)",IF(Z1334&gt;=4,"Medio (4-12x/ano)","Baixo (&lt;4x/ano)"))))</f>
        <v/>
      </c>
    </row>
    <row r="1335" customFormat="false" ht="15" hidden="false" customHeight="true" outlineLevel="0" collapsed="false">
      <c r="A1335" s="6"/>
      <c r="B1335" s="6"/>
      <c r="C1335" s="6"/>
      <c r="D1335" s="6"/>
      <c r="E1335" s="6"/>
      <c r="F1335" s="6"/>
      <c r="G1335" s="6"/>
      <c r="H1335" s="6"/>
      <c r="I1335" s="6"/>
      <c r="J1335" s="6"/>
      <c r="K1335" s="18"/>
      <c r="L1335" s="19" t="str">
        <f aca="false">IF(A1335="","",G1335*K1335)</f>
        <v/>
      </c>
      <c r="M1335" s="20"/>
      <c r="N1335" s="6"/>
      <c r="O1335" s="6"/>
      <c r="P1335" s="5" t="str">
        <f aca="false">IF(A1335="","",H1335/90)</f>
        <v/>
      </c>
      <c r="Q1335" s="5" t="str">
        <f aca="false">IF(A1335="","",IFERROR(INDEX(Parâmetros!$C$6:$C$10,MATCH(F1335,Parâmetros!$B$6:$B$10,0)),""))</f>
        <v/>
      </c>
      <c r="R1335" s="5" t="str">
        <f aca="false">IF(OR(A1335="",P1335="",Q1335=""),"",P1335*Q1335)</f>
        <v/>
      </c>
      <c r="S1335" s="5" t="str">
        <f aca="false">IF(R1335="","",MAX(0,R1335-G1335))</f>
        <v/>
      </c>
      <c r="T1335" s="21" t="str">
        <f aca="false">IF(S1335="","",S1335*K1335)</f>
        <v/>
      </c>
      <c r="U1335" s="5" t="str">
        <f aca="false">IF(A1335="","",IF(J1335&gt;Parâmetros!$C$14,"SIM","NAO"))</f>
        <v/>
      </c>
      <c r="V1335" s="5" t="str">
        <f aca="false">IF(B1335="","",TRIM(LEFT(B1335,IFERROR(FIND(" ",B1335)-1,LEN(B1335)))))</f>
        <v/>
      </c>
      <c r="W1335" s="22"/>
      <c r="X1335" s="5" t="str">
        <f aca="false">IF(A1335="","",IF(W1335&lt;&gt;"",W1335,V1335))</f>
        <v/>
      </c>
      <c r="Y1335" s="5" t="str">
        <f aca="false">IF(A1335="","",IF(COUNTIFS($X$2:$X$2001,X1335,$D$2:$D$2001,"&lt;&gt;"&amp;D1335,$C$2:$C$2001,C1335)&gt;0,"SIM","NAO"))</f>
        <v/>
      </c>
      <c r="Z1335" s="5" t="str">
        <f aca="false">IF(A1335="","",IF(J1335="","",IFERROR(360/J1335,"")))</f>
        <v/>
      </c>
      <c r="AA1335" s="5" t="str">
        <f aca="false">IF(A1335="","",IF(H1335=0,"Parado (sem venda 90d)",IF(Z1335&gt;12,"Alto (&gt;12x/ano)",IF(Z1335&gt;=4,"Medio (4-12x/ano)","Baixo (&lt;4x/ano)"))))</f>
        <v/>
      </c>
    </row>
    <row r="1336" customFormat="false" ht="15" hidden="false" customHeight="true" outlineLevel="0" collapsed="false">
      <c r="A1336" s="6"/>
      <c r="B1336" s="6"/>
      <c r="C1336" s="6"/>
      <c r="D1336" s="6"/>
      <c r="E1336" s="6"/>
      <c r="F1336" s="6"/>
      <c r="G1336" s="6"/>
      <c r="H1336" s="6"/>
      <c r="I1336" s="6"/>
      <c r="J1336" s="6"/>
      <c r="K1336" s="18"/>
      <c r="L1336" s="19" t="str">
        <f aca="false">IF(A1336="","",G1336*K1336)</f>
        <v/>
      </c>
      <c r="M1336" s="20"/>
      <c r="N1336" s="6"/>
      <c r="O1336" s="6"/>
      <c r="P1336" s="5" t="str">
        <f aca="false">IF(A1336="","",H1336/90)</f>
        <v/>
      </c>
      <c r="Q1336" s="5" t="str">
        <f aca="false">IF(A1336="","",IFERROR(INDEX(Parâmetros!$C$6:$C$10,MATCH(F1336,Parâmetros!$B$6:$B$10,0)),""))</f>
        <v/>
      </c>
      <c r="R1336" s="5" t="str">
        <f aca="false">IF(OR(A1336="",P1336="",Q1336=""),"",P1336*Q1336)</f>
        <v/>
      </c>
      <c r="S1336" s="5" t="str">
        <f aca="false">IF(R1336="","",MAX(0,R1336-G1336))</f>
        <v/>
      </c>
      <c r="T1336" s="21" t="str">
        <f aca="false">IF(S1336="","",S1336*K1336)</f>
        <v/>
      </c>
      <c r="U1336" s="5" t="str">
        <f aca="false">IF(A1336="","",IF(J1336&gt;Parâmetros!$C$14,"SIM","NAO"))</f>
        <v/>
      </c>
      <c r="V1336" s="5" t="str">
        <f aca="false">IF(B1336="","",TRIM(LEFT(B1336,IFERROR(FIND(" ",B1336)-1,LEN(B1336)))))</f>
        <v/>
      </c>
      <c r="W1336" s="22"/>
      <c r="X1336" s="5" t="str">
        <f aca="false">IF(A1336="","",IF(W1336&lt;&gt;"",W1336,V1336))</f>
        <v/>
      </c>
      <c r="Y1336" s="5" t="str">
        <f aca="false">IF(A1336="","",IF(COUNTIFS($X$2:$X$2001,X1336,$D$2:$D$2001,"&lt;&gt;"&amp;D1336,$C$2:$C$2001,C1336)&gt;0,"SIM","NAO"))</f>
        <v/>
      </c>
      <c r="Z1336" s="5" t="str">
        <f aca="false">IF(A1336="","",IF(J1336="","",IFERROR(360/J1336,"")))</f>
        <v/>
      </c>
      <c r="AA1336" s="5" t="str">
        <f aca="false">IF(A1336="","",IF(H1336=0,"Parado (sem venda 90d)",IF(Z1336&gt;12,"Alto (&gt;12x/ano)",IF(Z1336&gt;=4,"Medio (4-12x/ano)","Baixo (&lt;4x/ano)"))))</f>
        <v/>
      </c>
    </row>
    <row r="1337" customFormat="false" ht="15" hidden="false" customHeight="true" outlineLevel="0" collapsed="false">
      <c r="A1337" s="6"/>
      <c r="B1337" s="6"/>
      <c r="C1337" s="6"/>
      <c r="D1337" s="6"/>
      <c r="E1337" s="6"/>
      <c r="F1337" s="6"/>
      <c r="G1337" s="6"/>
      <c r="H1337" s="6"/>
      <c r="I1337" s="6"/>
      <c r="J1337" s="6"/>
      <c r="K1337" s="18"/>
      <c r="L1337" s="19" t="str">
        <f aca="false">IF(A1337="","",G1337*K1337)</f>
        <v/>
      </c>
      <c r="M1337" s="20"/>
      <c r="N1337" s="6"/>
      <c r="O1337" s="6"/>
      <c r="P1337" s="5" t="str">
        <f aca="false">IF(A1337="","",H1337/90)</f>
        <v/>
      </c>
      <c r="Q1337" s="5" t="str">
        <f aca="false">IF(A1337="","",IFERROR(INDEX(Parâmetros!$C$6:$C$10,MATCH(F1337,Parâmetros!$B$6:$B$10,0)),""))</f>
        <v/>
      </c>
      <c r="R1337" s="5" t="str">
        <f aca="false">IF(OR(A1337="",P1337="",Q1337=""),"",P1337*Q1337)</f>
        <v/>
      </c>
      <c r="S1337" s="5" t="str">
        <f aca="false">IF(R1337="","",MAX(0,R1337-G1337))</f>
        <v/>
      </c>
      <c r="T1337" s="21" t="str">
        <f aca="false">IF(S1337="","",S1337*K1337)</f>
        <v/>
      </c>
      <c r="U1337" s="5" t="str">
        <f aca="false">IF(A1337="","",IF(J1337&gt;Parâmetros!$C$14,"SIM","NAO"))</f>
        <v/>
      </c>
      <c r="V1337" s="5" t="str">
        <f aca="false">IF(B1337="","",TRIM(LEFT(B1337,IFERROR(FIND(" ",B1337)-1,LEN(B1337)))))</f>
        <v/>
      </c>
      <c r="W1337" s="22"/>
      <c r="X1337" s="5" t="str">
        <f aca="false">IF(A1337="","",IF(W1337&lt;&gt;"",W1337,V1337))</f>
        <v/>
      </c>
      <c r="Y1337" s="5" t="str">
        <f aca="false">IF(A1337="","",IF(COUNTIFS($X$2:$X$2001,X1337,$D$2:$D$2001,"&lt;&gt;"&amp;D1337,$C$2:$C$2001,C1337)&gt;0,"SIM","NAO"))</f>
        <v/>
      </c>
      <c r="Z1337" s="5" t="str">
        <f aca="false">IF(A1337="","",IF(J1337="","",IFERROR(360/J1337,"")))</f>
        <v/>
      </c>
      <c r="AA1337" s="5" t="str">
        <f aca="false">IF(A1337="","",IF(H1337=0,"Parado (sem venda 90d)",IF(Z1337&gt;12,"Alto (&gt;12x/ano)",IF(Z1337&gt;=4,"Medio (4-12x/ano)","Baixo (&lt;4x/ano)"))))</f>
        <v/>
      </c>
    </row>
    <row r="1338" customFormat="false" ht="15" hidden="false" customHeight="true" outlineLevel="0" collapsed="false">
      <c r="A1338" s="6"/>
      <c r="B1338" s="6"/>
      <c r="C1338" s="6"/>
      <c r="D1338" s="6"/>
      <c r="E1338" s="6"/>
      <c r="F1338" s="6"/>
      <c r="G1338" s="6"/>
      <c r="H1338" s="6"/>
      <c r="I1338" s="6"/>
      <c r="J1338" s="6"/>
      <c r="K1338" s="18"/>
      <c r="L1338" s="19" t="str">
        <f aca="false">IF(A1338="","",G1338*K1338)</f>
        <v/>
      </c>
      <c r="M1338" s="20"/>
      <c r="N1338" s="6"/>
      <c r="O1338" s="6"/>
      <c r="P1338" s="5" t="str">
        <f aca="false">IF(A1338="","",H1338/90)</f>
        <v/>
      </c>
      <c r="Q1338" s="5" t="str">
        <f aca="false">IF(A1338="","",IFERROR(INDEX(Parâmetros!$C$6:$C$10,MATCH(F1338,Parâmetros!$B$6:$B$10,0)),""))</f>
        <v/>
      </c>
      <c r="R1338" s="5" t="str">
        <f aca="false">IF(OR(A1338="",P1338="",Q1338=""),"",P1338*Q1338)</f>
        <v/>
      </c>
      <c r="S1338" s="5" t="str">
        <f aca="false">IF(R1338="","",MAX(0,R1338-G1338))</f>
        <v/>
      </c>
      <c r="T1338" s="21" t="str">
        <f aca="false">IF(S1338="","",S1338*K1338)</f>
        <v/>
      </c>
      <c r="U1338" s="5" t="str">
        <f aca="false">IF(A1338="","",IF(J1338&gt;Parâmetros!$C$14,"SIM","NAO"))</f>
        <v/>
      </c>
      <c r="V1338" s="5" t="str">
        <f aca="false">IF(B1338="","",TRIM(LEFT(B1338,IFERROR(FIND(" ",B1338)-1,LEN(B1338)))))</f>
        <v/>
      </c>
      <c r="W1338" s="22"/>
      <c r="X1338" s="5" t="str">
        <f aca="false">IF(A1338="","",IF(W1338&lt;&gt;"",W1338,V1338))</f>
        <v/>
      </c>
      <c r="Y1338" s="5" t="str">
        <f aca="false">IF(A1338="","",IF(COUNTIFS($X$2:$X$2001,X1338,$D$2:$D$2001,"&lt;&gt;"&amp;D1338,$C$2:$C$2001,C1338)&gt;0,"SIM","NAO"))</f>
        <v/>
      </c>
      <c r="Z1338" s="5" t="str">
        <f aca="false">IF(A1338="","",IF(J1338="","",IFERROR(360/J1338,"")))</f>
        <v/>
      </c>
      <c r="AA1338" s="5" t="str">
        <f aca="false">IF(A1338="","",IF(H1338=0,"Parado (sem venda 90d)",IF(Z1338&gt;12,"Alto (&gt;12x/ano)",IF(Z1338&gt;=4,"Medio (4-12x/ano)","Baixo (&lt;4x/ano)"))))</f>
        <v/>
      </c>
    </row>
    <row r="1339" customFormat="false" ht="15" hidden="false" customHeight="true" outlineLevel="0" collapsed="false">
      <c r="A1339" s="6"/>
      <c r="B1339" s="6"/>
      <c r="C1339" s="6"/>
      <c r="D1339" s="6"/>
      <c r="E1339" s="6"/>
      <c r="F1339" s="6"/>
      <c r="G1339" s="6"/>
      <c r="H1339" s="6"/>
      <c r="I1339" s="6"/>
      <c r="J1339" s="6"/>
      <c r="K1339" s="18"/>
      <c r="L1339" s="19" t="str">
        <f aca="false">IF(A1339="","",G1339*K1339)</f>
        <v/>
      </c>
      <c r="M1339" s="20"/>
      <c r="N1339" s="6"/>
      <c r="O1339" s="6"/>
      <c r="P1339" s="5" t="str">
        <f aca="false">IF(A1339="","",H1339/90)</f>
        <v/>
      </c>
      <c r="Q1339" s="5" t="str">
        <f aca="false">IF(A1339="","",IFERROR(INDEX(Parâmetros!$C$6:$C$10,MATCH(F1339,Parâmetros!$B$6:$B$10,0)),""))</f>
        <v/>
      </c>
      <c r="R1339" s="5" t="str">
        <f aca="false">IF(OR(A1339="",P1339="",Q1339=""),"",P1339*Q1339)</f>
        <v/>
      </c>
      <c r="S1339" s="5" t="str">
        <f aca="false">IF(R1339="","",MAX(0,R1339-G1339))</f>
        <v/>
      </c>
      <c r="T1339" s="21" t="str">
        <f aca="false">IF(S1339="","",S1339*K1339)</f>
        <v/>
      </c>
      <c r="U1339" s="5" t="str">
        <f aca="false">IF(A1339="","",IF(J1339&gt;Parâmetros!$C$14,"SIM","NAO"))</f>
        <v/>
      </c>
      <c r="V1339" s="5" t="str">
        <f aca="false">IF(B1339="","",TRIM(LEFT(B1339,IFERROR(FIND(" ",B1339)-1,LEN(B1339)))))</f>
        <v/>
      </c>
      <c r="W1339" s="22"/>
      <c r="X1339" s="5" t="str">
        <f aca="false">IF(A1339="","",IF(W1339&lt;&gt;"",W1339,V1339))</f>
        <v/>
      </c>
      <c r="Y1339" s="5" t="str">
        <f aca="false">IF(A1339="","",IF(COUNTIFS($X$2:$X$2001,X1339,$D$2:$D$2001,"&lt;&gt;"&amp;D1339,$C$2:$C$2001,C1339)&gt;0,"SIM","NAO"))</f>
        <v/>
      </c>
      <c r="Z1339" s="5" t="str">
        <f aca="false">IF(A1339="","",IF(J1339="","",IFERROR(360/J1339,"")))</f>
        <v/>
      </c>
      <c r="AA1339" s="5" t="str">
        <f aca="false">IF(A1339="","",IF(H1339=0,"Parado (sem venda 90d)",IF(Z1339&gt;12,"Alto (&gt;12x/ano)",IF(Z1339&gt;=4,"Medio (4-12x/ano)","Baixo (&lt;4x/ano)"))))</f>
        <v/>
      </c>
    </row>
    <row r="1340" customFormat="false" ht="15" hidden="false" customHeight="true" outlineLevel="0" collapsed="false">
      <c r="A1340" s="6"/>
      <c r="B1340" s="6"/>
      <c r="C1340" s="6"/>
      <c r="D1340" s="6"/>
      <c r="E1340" s="6"/>
      <c r="F1340" s="6"/>
      <c r="G1340" s="6"/>
      <c r="H1340" s="6"/>
      <c r="I1340" s="6"/>
      <c r="J1340" s="6"/>
      <c r="K1340" s="18"/>
      <c r="L1340" s="19" t="str">
        <f aca="false">IF(A1340="","",G1340*K1340)</f>
        <v/>
      </c>
      <c r="M1340" s="20"/>
      <c r="N1340" s="6"/>
      <c r="O1340" s="6"/>
      <c r="P1340" s="5" t="str">
        <f aca="false">IF(A1340="","",H1340/90)</f>
        <v/>
      </c>
      <c r="Q1340" s="5" t="str">
        <f aca="false">IF(A1340="","",IFERROR(INDEX(Parâmetros!$C$6:$C$10,MATCH(F1340,Parâmetros!$B$6:$B$10,0)),""))</f>
        <v/>
      </c>
      <c r="R1340" s="5" t="str">
        <f aca="false">IF(OR(A1340="",P1340="",Q1340=""),"",P1340*Q1340)</f>
        <v/>
      </c>
      <c r="S1340" s="5" t="str">
        <f aca="false">IF(R1340="","",MAX(0,R1340-G1340))</f>
        <v/>
      </c>
      <c r="T1340" s="21" t="str">
        <f aca="false">IF(S1340="","",S1340*K1340)</f>
        <v/>
      </c>
      <c r="U1340" s="5" t="str">
        <f aca="false">IF(A1340="","",IF(J1340&gt;Parâmetros!$C$14,"SIM","NAO"))</f>
        <v/>
      </c>
      <c r="V1340" s="5" t="str">
        <f aca="false">IF(B1340="","",TRIM(LEFT(B1340,IFERROR(FIND(" ",B1340)-1,LEN(B1340)))))</f>
        <v/>
      </c>
      <c r="W1340" s="22"/>
      <c r="X1340" s="5" t="str">
        <f aca="false">IF(A1340="","",IF(W1340&lt;&gt;"",W1340,V1340))</f>
        <v/>
      </c>
      <c r="Y1340" s="5" t="str">
        <f aca="false">IF(A1340="","",IF(COUNTIFS($X$2:$X$2001,X1340,$D$2:$D$2001,"&lt;&gt;"&amp;D1340,$C$2:$C$2001,C1340)&gt;0,"SIM","NAO"))</f>
        <v/>
      </c>
      <c r="Z1340" s="5" t="str">
        <f aca="false">IF(A1340="","",IF(J1340="","",IFERROR(360/J1340,"")))</f>
        <v/>
      </c>
      <c r="AA1340" s="5" t="str">
        <f aca="false">IF(A1340="","",IF(H1340=0,"Parado (sem venda 90d)",IF(Z1340&gt;12,"Alto (&gt;12x/ano)",IF(Z1340&gt;=4,"Medio (4-12x/ano)","Baixo (&lt;4x/ano)"))))</f>
        <v/>
      </c>
    </row>
    <row r="1341" customFormat="false" ht="15" hidden="false" customHeight="true" outlineLevel="0" collapsed="false">
      <c r="A1341" s="6"/>
      <c r="B1341" s="6"/>
      <c r="C1341" s="6"/>
      <c r="D1341" s="6"/>
      <c r="E1341" s="6"/>
      <c r="F1341" s="6"/>
      <c r="G1341" s="6"/>
      <c r="H1341" s="6"/>
      <c r="I1341" s="6"/>
      <c r="J1341" s="6"/>
      <c r="K1341" s="18"/>
      <c r="L1341" s="19" t="str">
        <f aca="false">IF(A1341="","",G1341*K1341)</f>
        <v/>
      </c>
      <c r="M1341" s="20"/>
      <c r="N1341" s="6"/>
      <c r="O1341" s="6"/>
      <c r="P1341" s="5" t="str">
        <f aca="false">IF(A1341="","",H1341/90)</f>
        <v/>
      </c>
      <c r="Q1341" s="5" t="str">
        <f aca="false">IF(A1341="","",IFERROR(INDEX(Parâmetros!$C$6:$C$10,MATCH(F1341,Parâmetros!$B$6:$B$10,0)),""))</f>
        <v/>
      </c>
      <c r="R1341" s="5" t="str">
        <f aca="false">IF(OR(A1341="",P1341="",Q1341=""),"",P1341*Q1341)</f>
        <v/>
      </c>
      <c r="S1341" s="5" t="str">
        <f aca="false">IF(R1341="","",MAX(0,R1341-G1341))</f>
        <v/>
      </c>
      <c r="T1341" s="21" t="str">
        <f aca="false">IF(S1341="","",S1341*K1341)</f>
        <v/>
      </c>
      <c r="U1341" s="5" t="str">
        <f aca="false">IF(A1341="","",IF(J1341&gt;Parâmetros!$C$14,"SIM","NAO"))</f>
        <v/>
      </c>
      <c r="V1341" s="5" t="str">
        <f aca="false">IF(B1341="","",TRIM(LEFT(B1341,IFERROR(FIND(" ",B1341)-1,LEN(B1341)))))</f>
        <v/>
      </c>
      <c r="W1341" s="22"/>
      <c r="X1341" s="5" t="str">
        <f aca="false">IF(A1341="","",IF(W1341&lt;&gt;"",W1341,V1341))</f>
        <v/>
      </c>
      <c r="Y1341" s="5" t="str">
        <f aca="false">IF(A1341="","",IF(COUNTIFS($X$2:$X$2001,X1341,$D$2:$D$2001,"&lt;&gt;"&amp;D1341,$C$2:$C$2001,C1341)&gt;0,"SIM","NAO"))</f>
        <v/>
      </c>
      <c r="Z1341" s="5" t="str">
        <f aca="false">IF(A1341="","",IF(J1341="","",IFERROR(360/J1341,"")))</f>
        <v/>
      </c>
      <c r="AA1341" s="5" t="str">
        <f aca="false">IF(A1341="","",IF(H1341=0,"Parado (sem venda 90d)",IF(Z1341&gt;12,"Alto (&gt;12x/ano)",IF(Z1341&gt;=4,"Medio (4-12x/ano)","Baixo (&lt;4x/ano)"))))</f>
        <v/>
      </c>
    </row>
    <row r="1342" customFormat="false" ht="15" hidden="false" customHeight="true" outlineLevel="0" collapsed="false">
      <c r="A1342" s="6"/>
      <c r="B1342" s="6"/>
      <c r="C1342" s="6"/>
      <c r="D1342" s="6"/>
      <c r="E1342" s="6"/>
      <c r="F1342" s="6"/>
      <c r="G1342" s="6"/>
      <c r="H1342" s="6"/>
      <c r="I1342" s="6"/>
      <c r="J1342" s="6"/>
      <c r="K1342" s="18"/>
      <c r="L1342" s="19" t="str">
        <f aca="false">IF(A1342="","",G1342*K1342)</f>
        <v/>
      </c>
      <c r="M1342" s="20"/>
      <c r="N1342" s="6"/>
      <c r="O1342" s="6"/>
      <c r="P1342" s="5" t="str">
        <f aca="false">IF(A1342="","",H1342/90)</f>
        <v/>
      </c>
      <c r="Q1342" s="5" t="str">
        <f aca="false">IF(A1342="","",IFERROR(INDEX(Parâmetros!$C$6:$C$10,MATCH(F1342,Parâmetros!$B$6:$B$10,0)),""))</f>
        <v/>
      </c>
      <c r="R1342" s="5" t="str">
        <f aca="false">IF(OR(A1342="",P1342="",Q1342=""),"",P1342*Q1342)</f>
        <v/>
      </c>
      <c r="S1342" s="5" t="str">
        <f aca="false">IF(R1342="","",MAX(0,R1342-G1342))</f>
        <v/>
      </c>
      <c r="T1342" s="21" t="str">
        <f aca="false">IF(S1342="","",S1342*K1342)</f>
        <v/>
      </c>
      <c r="U1342" s="5" t="str">
        <f aca="false">IF(A1342="","",IF(J1342&gt;Parâmetros!$C$14,"SIM","NAO"))</f>
        <v/>
      </c>
      <c r="V1342" s="5" t="str">
        <f aca="false">IF(B1342="","",TRIM(LEFT(B1342,IFERROR(FIND(" ",B1342)-1,LEN(B1342)))))</f>
        <v/>
      </c>
      <c r="W1342" s="22"/>
      <c r="X1342" s="5" t="str">
        <f aca="false">IF(A1342="","",IF(W1342&lt;&gt;"",W1342,V1342))</f>
        <v/>
      </c>
      <c r="Y1342" s="5" t="str">
        <f aca="false">IF(A1342="","",IF(COUNTIFS($X$2:$X$2001,X1342,$D$2:$D$2001,"&lt;&gt;"&amp;D1342,$C$2:$C$2001,C1342)&gt;0,"SIM","NAO"))</f>
        <v/>
      </c>
      <c r="Z1342" s="5" t="str">
        <f aca="false">IF(A1342="","",IF(J1342="","",IFERROR(360/J1342,"")))</f>
        <v/>
      </c>
      <c r="AA1342" s="5" t="str">
        <f aca="false">IF(A1342="","",IF(H1342=0,"Parado (sem venda 90d)",IF(Z1342&gt;12,"Alto (&gt;12x/ano)",IF(Z1342&gt;=4,"Medio (4-12x/ano)","Baixo (&lt;4x/ano)"))))</f>
        <v/>
      </c>
    </row>
    <row r="1343" customFormat="false" ht="15" hidden="false" customHeight="true" outlineLevel="0" collapsed="false">
      <c r="A1343" s="6"/>
      <c r="B1343" s="6"/>
      <c r="C1343" s="6"/>
      <c r="D1343" s="6"/>
      <c r="E1343" s="6"/>
      <c r="F1343" s="6"/>
      <c r="G1343" s="6"/>
      <c r="H1343" s="6"/>
      <c r="I1343" s="6"/>
      <c r="J1343" s="6"/>
      <c r="K1343" s="18"/>
      <c r="L1343" s="19" t="str">
        <f aca="false">IF(A1343="","",G1343*K1343)</f>
        <v/>
      </c>
      <c r="M1343" s="20"/>
      <c r="N1343" s="6"/>
      <c r="O1343" s="6"/>
      <c r="P1343" s="5" t="str">
        <f aca="false">IF(A1343="","",H1343/90)</f>
        <v/>
      </c>
      <c r="Q1343" s="5" t="str">
        <f aca="false">IF(A1343="","",IFERROR(INDEX(Parâmetros!$C$6:$C$10,MATCH(F1343,Parâmetros!$B$6:$B$10,0)),""))</f>
        <v/>
      </c>
      <c r="R1343" s="5" t="str">
        <f aca="false">IF(OR(A1343="",P1343="",Q1343=""),"",P1343*Q1343)</f>
        <v/>
      </c>
      <c r="S1343" s="5" t="str">
        <f aca="false">IF(R1343="","",MAX(0,R1343-G1343))</f>
        <v/>
      </c>
      <c r="T1343" s="21" t="str">
        <f aca="false">IF(S1343="","",S1343*K1343)</f>
        <v/>
      </c>
      <c r="U1343" s="5" t="str">
        <f aca="false">IF(A1343="","",IF(J1343&gt;Parâmetros!$C$14,"SIM","NAO"))</f>
        <v/>
      </c>
      <c r="V1343" s="5" t="str">
        <f aca="false">IF(B1343="","",TRIM(LEFT(B1343,IFERROR(FIND(" ",B1343)-1,LEN(B1343)))))</f>
        <v/>
      </c>
      <c r="W1343" s="22"/>
      <c r="X1343" s="5" t="str">
        <f aca="false">IF(A1343="","",IF(W1343&lt;&gt;"",W1343,V1343))</f>
        <v/>
      </c>
      <c r="Y1343" s="5" t="str">
        <f aca="false">IF(A1343="","",IF(COUNTIFS($X$2:$X$2001,X1343,$D$2:$D$2001,"&lt;&gt;"&amp;D1343,$C$2:$C$2001,C1343)&gt;0,"SIM","NAO"))</f>
        <v/>
      </c>
      <c r="Z1343" s="5" t="str">
        <f aca="false">IF(A1343="","",IF(J1343="","",IFERROR(360/J1343,"")))</f>
        <v/>
      </c>
      <c r="AA1343" s="5" t="str">
        <f aca="false">IF(A1343="","",IF(H1343=0,"Parado (sem venda 90d)",IF(Z1343&gt;12,"Alto (&gt;12x/ano)",IF(Z1343&gt;=4,"Medio (4-12x/ano)","Baixo (&lt;4x/ano)"))))</f>
        <v/>
      </c>
    </row>
    <row r="1344" customFormat="false" ht="15" hidden="false" customHeight="true" outlineLevel="0" collapsed="false">
      <c r="A1344" s="6"/>
      <c r="B1344" s="6"/>
      <c r="C1344" s="6"/>
      <c r="D1344" s="6"/>
      <c r="E1344" s="6"/>
      <c r="F1344" s="6"/>
      <c r="G1344" s="6"/>
      <c r="H1344" s="6"/>
      <c r="I1344" s="6"/>
      <c r="J1344" s="6"/>
      <c r="K1344" s="18"/>
      <c r="L1344" s="19" t="str">
        <f aca="false">IF(A1344="","",G1344*K1344)</f>
        <v/>
      </c>
      <c r="M1344" s="20"/>
      <c r="N1344" s="6"/>
      <c r="O1344" s="6"/>
      <c r="P1344" s="5" t="str">
        <f aca="false">IF(A1344="","",H1344/90)</f>
        <v/>
      </c>
      <c r="Q1344" s="5" t="str">
        <f aca="false">IF(A1344="","",IFERROR(INDEX(Parâmetros!$C$6:$C$10,MATCH(F1344,Parâmetros!$B$6:$B$10,0)),""))</f>
        <v/>
      </c>
      <c r="R1344" s="5" t="str">
        <f aca="false">IF(OR(A1344="",P1344="",Q1344=""),"",P1344*Q1344)</f>
        <v/>
      </c>
      <c r="S1344" s="5" t="str">
        <f aca="false">IF(R1344="","",MAX(0,R1344-G1344))</f>
        <v/>
      </c>
      <c r="T1344" s="21" t="str">
        <f aca="false">IF(S1344="","",S1344*K1344)</f>
        <v/>
      </c>
      <c r="U1344" s="5" t="str">
        <f aca="false">IF(A1344="","",IF(J1344&gt;Parâmetros!$C$14,"SIM","NAO"))</f>
        <v/>
      </c>
      <c r="V1344" s="5" t="str">
        <f aca="false">IF(B1344="","",TRIM(LEFT(B1344,IFERROR(FIND(" ",B1344)-1,LEN(B1344)))))</f>
        <v/>
      </c>
      <c r="W1344" s="22"/>
      <c r="X1344" s="5" t="str">
        <f aca="false">IF(A1344="","",IF(W1344&lt;&gt;"",W1344,V1344))</f>
        <v/>
      </c>
      <c r="Y1344" s="5" t="str">
        <f aca="false">IF(A1344="","",IF(COUNTIFS($X$2:$X$2001,X1344,$D$2:$D$2001,"&lt;&gt;"&amp;D1344,$C$2:$C$2001,C1344)&gt;0,"SIM","NAO"))</f>
        <v/>
      </c>
      <c r="Z1344" s="5" t="str">
        <f aca="false">IF(A1344="","",IF(J1344="","",IFERROR(360/J1344,"")))</f>
        <v/>
      </c>
      <c r="AA1344" s="5" t="str">
        <f aca="false">IF(A1344="","",IF(H1344=0,"Parado (sem venda 90d)",IF(Z1344&gt;12,"Alto (&gt;12x/ano)",IF(Z1344&gt;=4,"Medio (4-12x/ano)","Baixo (&lt;4x/ano)"))))</f>
        <v/>
      </c>
    </row>
    <row r="1345" customFormat="false" ht="15" hidden="false" customHeight="true" outlineLevel="0" collapsed="false">
      <c r="A1345" s="6"/>
      <c r="B1345" s="6"/>
      <c r="C1345" s="6"/>
      <c r="D1345" s="6"/>
      <c r="E1345" s="6"/>
      <c r="F1345" s="6"/>
      <c r="G1345" s="6"/>
      <c r="H1345" s="6"/>
      <c r="I1345" s="6"/>
      <c r="J1345" s="6"/>
      <c r="K1345" s="18"/>
      <c r="L1345" s="19" t="str">
        <f aca="false">IF(A1345="","",G1345*K1345)</f>
        <v/>
      </c>
      <c r="M1345" s="20"/>
      <c r="N1345" s="6"/>
      <c r="O1345" s="6"/>
      <c r="P1345" s="5" t="str">
        <f aca="false">IF(A1345="","",H1345/90)</f>
        <v/>
      </c>
      <c r="Q1345" s="5" t="str">
        <f aca="false">IF(A1345="","",IFERROR(INDEX(Parâmetros!$C$6:$C$10,MATCH(F1345,Parâmetros!$B$6:$B$10,0)),""))</f>
        <v/>
      </c>
      <c r="R1345" s="5" t="str">
        <f aca="false">IF(OR(A1345="",P1345="",Q1345=""),"",P1345*Q1345)</f>
        <v/>
      </c>
      <c r="S1345" s="5" t="str">
        <f aca="false">IF(R1345="","",MAX(0,R1345-G1345))</f>
        <v/>
      </c>
      <c r="T1345" s="21" t="str">
        <f aca="false">IF(S1345="","",S1345*K1345)</f>
        <v/>
      </c>
      <c r="U1345" s="5" t="str">
        <f aca="false">IF(A1345="","",IF(J1345&gt;Parâmetros!$C$14,"SIM","NAO"))</f>
        <v/>
      </c>
      <c r="V1345" s="5" t="str">
        <f aca="false">IF(B1345="","",TRIM(LEFT(B1345,IFERROR(FIND(" ",B1345)-1,LEN(B1345)))))</f>
        <v/>
      </c>
      <c r="W1345" s="22"/>
      <c r="X1345" s="5" t="str">
        <f aca="false">IF(A1345="","",IF(W1345&lt;&gt;"",W1345,V1345))</f>
        <v/>
      </c>
      <c r="Y1345" s="5" t="str">
        <f aca="false">IF(A1345="","",IF(COUNTIFS($X$2:$X$2001,X1345,$D$2:$D$2001,"&lt;&gt;"&amp;D1345,$C$2:$C$2001,C1345)&gt;0,"SIM","NAO"))</f>
        <v/>
      </c>
      <c r="Z1345" s="5" t="str">
        <f aca="false">IF(A1345="","",IF(J1345="","",IFERROR(360/J1345,"")))</f>
        <v/>
      </c>
      <c r="AA1345" s="5" t="str">
        <f aca="false">IF(A1345="","",IF(H1345=0,"Parado (sem venda 90d)",IF(Z1345&gt;12,"Alto (&gt;12x/ano)",IF(Z1345&gt;=4,"Medio (4-12x/ano)","Baixo (&lt;4x/ano)"))))</f>
        <v/>
      </c>
    </row>
    <row r="1346" customFormat="false" ht="15" hidden="false" customHeight="true" outlineLevel="0" collapsed="false">
      <c r="A1346" s="6"/>
      <c r="B1346" s="6"/>
      <c r="C1346" s="6"/>
      <c r="D1346" s="6"/>
      <c r="E1346" s="6"/>
      <c r="F1346" s="6"/>
      <c r="G1346" s="6"/>
      <c r="H1346" s="6"/>
      <c r="I1346" s="6"/>
      <c r="J1346" s="6"/>
      <c r="K1346" s="18"/>
      <c r="L1346" s="19" t="str">
        <f aca="false">IF(A1346="","",G1346*K1346)</f>
        <v/>
      </c>
      <c r="M1346" s="20"/>
      <c r="N1346" s="6"/>
      <c r="O1346" s="6"/>
      <c r="P1346" s="5" t="str">
        <f aca="false">IF(A1346="","",H1346/90)</f>
        <v/>
      </c>
      <c r="Q1346" s="5" t="str">
        <f aca="false">IF(A1346="","",IFERROR(INDEX(Parâmetros!$C$6:$C$10,MATCH(F1346,Parâmetros!$B$6:$B$10,0)),""))</f>
        <v/>
      </c>
      <c r="R1346" s="5" t="str">
        <f aca="false">IF(OR(A1346="",P1346="",Q1346=""),"",P1346*Q1346)</f>
        <v/>
      </c>
      <c r="S1346" s="5" t="str">
        <f aca="false">IF(R1346="","",MAX(0,R1346-G1346))</f>
        <v/>
      </c>
      <c r="T1346" s="21" t="str">
        <f aca="false">IF(S1346="","",S1346*K1346)</f>
        <v/>
      </c>
      <c r="U1346" s="5" t="str">
        <f aca="false">IF(A1346="","",IF(J1346&gt;Parâmetros!$C$14,"SIM","NAO"))</f>
        <v/>
      </c>
      <c r="V1346" s="5" t="str">
        <f aca="false">IF(B1346="","",TRIM(LEFT(B1346,IFERROR(FIND(" ",B1346)-1,LEN(B1346)))))</f>
        <v/>
      </c>
      <c r="W1346" s="22"/>
      <c r="X1346" s="5" t="str">
        <f aca="false">IF(A1346="","",IF(W1346&lt;&gt;"",W1346,V1346))</f>
        <v/>
      </c>
      <c r="Y1346" s="5" t="str">
        <f aca="false">IF(A1346="","",IF(COUNTIFS($X$2:$X$2001,X1346,$D$2:$D$2001,"&lt;&gt;"&amp;D1346,$C$2:$C$2001,C1346)&gt;0,"SIM","NAO"))</f>
        <v/>
      </c>
      <c r="Z1346" s="5" t="str">
        <f aca="false">IF(A1346="","",IF(J1346="","",IFERROR(360/J1346,"")))</f>
        <v/>
      </c>
      <c r="AA1346" s="5" t="str">
        <f aca="false">IF(A1346="","",IF(H1346=0,"Parado (sem venda 90d)",IF(Z1346&gt;12,"Alto (&gt;12x/ano)",IF(Z1346&gt;=4,"Medio (4-12x/ano)","Baixo (&lt;4x/ano)"))))</f>
        <v/>
      </c>
    </row>
    <row r="1347" customFormat="false" ht="15" hidden="false" customHeight="true" outlineLevel="0" collapsed="false">
      <c r="A1347" s="6"/>
      <c r="B1347" s="6"/>
      <c r="C1347" s="6"/>
      <c r="D1347" s="6"/>
      <c r="E1347" s="6"/>
      <c r="F1347" s="6"/>
      <c r="G1347" s="6"/>
      <c r="H1347" s="6"/>
      <c r="I1347" s="6"/>
      <c r="J1347" s="6"/>
      <c r="K1347" s="18"/>
      <c r="L1347" s="19" t="str">
        <f aca="false">IF(A1347="","",G1347*K1347)</f>
        <v/>
      </c>
      <c r="M1347" s="20"/>
      <c r="N1347" s="6"/>
      <c r="O1347" s="6"/>
      <c r="P1347" s="5" t="str">
        <f aca="false">IF(A1347="","",H1347/90)</f>
        <v/>
      </c>
      <c r="Q1347" s="5" t="str">
        <f aca="false">IF(A1347="","",IFERROR(INDEX(Parâmetros!$C$6:$C$10,MATCH(F1347,Parâmetros!$B$6:$B$10,0)),""))</f>
        <v/>
      </c>
      <c r="R1347" s="5" t="str">
        <f aca="false">IF(OR(A1347="",P1347="",Q1347=""),"",P1347*Q1347)</f>
        <v/>
      </c>
      <c r="S1347" s="5" t="str">
        <f aca="false">IF(R1347="","",MAX(0,R1347-G1347))</f>
        <v/>
      </c>
      <c r="T1347" s="21" t="str">
        <f aca="false">IF(S1347="","",S1347*K1347)</f>
        <v/>
      </c>
      <c r="U1347" s="5" t="str">
        <f aca="false">IF(A1347="","",IF(J1347&gt;Parâmetros!$C$14,"SIM","NAO"))</f>
        <v/>
      </c>
      <c r="V1347" s="5" t="str">
        <f aca="false">IF(B1347="","",TRIM(LEFT(B1347,IFERROR(FIND(" ",B1347)-1,LEN(B1347)))))</f>
        <v/>
      </c>
      <c r="W1347" s="22"/>
      <c r="X1347" s="5" t="str">
        <f aca="false">IF(A1347="","",IF(W1347&lt;&gt;"",W1347,V1347))</f>
        <v/>
      </c>
      <c r="Y1347" s="5" t="str">
        <f aca="false">IF(A1347="","",IF(COUNTIFS($X$2:$X$2001,X1347,$D$2:$D$2001,"&lt;&gt;"&amp;D1347,$C$2:$C$2001,C1347)&gt;0,"SIM","NAO"))</f>
        <v/>
      </c>
      <c r="Z1347" s="5" t="str">
        <f aca="false">IF(A1347="","",IF(J1347="","",IFERROR(360/J1347,"")))</f>
        <v/>
      </c>
      <c r="AA1347" s="5" t="str">
        <f aca="false">IF(A1347="","",IF(H1347=0,"Parado (sem venda 90d)",IF(Z1347&gt;12,"Alto (&gt;12x/ano)",IF(Z1347&gt;=4,"Medio (4-12x/ano)","Baixo (&lt;4x/ano)"))))</f>
        <v/>
      </c>
    </row>
    <row r="1348" customFormat="false" ht="15" hidden="false" customHeight="true" outlineLevel="0" collapsed="false">
      <c r="A1348" s="6"/>
      <c r="B1348" s="6"/>
      <c r="C1348" s="6"/>
      <c r="D1348" s="6"/>
      <c r="E1348" s="6"/>
      <c r="F1348" s="6"/>
      <c r="G1348" s="6"/>
      <c r="H1348" s="6"/>
      <c r="I1348" s="6"/>
      <c r="J1348" s="6"/>
      <c r="K1348" s="18"/>
      <c r="L1348" s="19" t="str">
        <f aca="false">IF(A1348="","",G1348*K1348)</f>
        <v/>
      </c>
      <c r="M1348" s="20"/>
      <c r="N1348" s="6"/>
      <c r="O1348" s="6"/>
      <c r="P1348" s="5" t="str">
        <f aca="false">IF(A1348="","",H1348/90)</f>
        <v/>
      </c>
      <c r="Q1348" s="5" t="str">
        <f aca="false">IF(A1348="","",IFERROR(INDEX(Parâmetros!$C$6:$C$10,MATCH(F1348,Parâmetros!$B$6:$B$10,0)),""))</f>
        <v/>
      </c>
      <c r="R1348" s="5" t="str">
        <f aca="false">IF(OR(A1348="",P1348="",Q1348=""),"",P1348*Q1348)</f>
        <v/>
      </c>
      <c r="S1348" s="5" t="str">
        <f aca="false">IF(R1348="","",MAX(0,R1348-G1348))</f>
        <v/>
      </c>
      <c r="T1348" s="21" t="str">
        <f aca="false">IF(S1348="","",S1348*K1348)</f>
        <v/>
      </c>
      <c r="U1348" s="5" t="str">
        <f aca="false">IF(A1348="","",IF(J1348&gt;Parâmetros!$C$14,"SIM","NAO"))</f>
        <v/>
      </c>
      <c r="V1348" s="5" t="str">
        <f aca="false">IF(B1348="","",TRIM(LEFT(B1348,IFERROR(FIND(" ",B1348)-1,LEN(B1348)))))</f>
        <v/>
      </c>
      <c r="W1348" s="22"/>
      <c r="X1348" s="5" t="str">
        <f aca="false">IF(A1348="","",IF(W1348&lt;&gt;"",W1348,V1348))</f>
        <v/>
      </c>
      <c r="Y1348" s="5" t="str">
        <f aca="false">IF(A1348="","",IF(COUNTIFS($X$2:$X$2001,X1348,$D$2:$D$2001,"&lt;&gt;"&amp;D1348,$C$2:$C$2001,C1348)&gt;0,"SIM","NAO"))</f>
        <v/>
      </c>
      <c r="Z1348" s="5" t="str">
        <f aca="false">IF(A1348="","",IF(J1348="","",IFERROR(360/J1348,"")))</f>
        <v/>
      </c>
      <c r="AA1348" s="5" t="str">
        <f aca="false">IF(A1348="","",IF(H1348=0,"Parado (sem venda 90d)",IF(Z1348&gt;12,"Alto (&gt;12x/ano)",IF(Z1348&gt;=4,"Medio (4-12x/ano)","Baixo (&lt;4x/ano)"))))</f>
        <v/>
      </c>
    </row>
    <row r="1349" customFormat="false" ht="15" hidden="false" customHeight="true" outlineLevel="0" collapsed="false">
      <c r="A1349" s="6"/>
      <c r="B1349" s="6"/>
      <c r="C1349" s="6"/>
      <c r="D1349" s="6"/>
      <c r="E1349" s="6"/>
      <c r="F1349" s="6"/>
      <c r="G1349" s="6"/>
      <c r="H1349" s="6"/>
      <c r="I1349" s="6"/>
      <c r="J1349" s="6"/>
      <c r="K1349" s="18"/>
      <c r="L1349" s="19" t="str">
        <f aca="false">IF(A1349="","",G1349*K1349)</f>
        <v/>
      </c>
      <c r="M1349" s="20"/>
      <c r="N1349" s="6"/>
      <c r="O1349" s="6"/>
      <c r="P1349" s="5" t="str">
        <f aca="false">IF(A1349="","",H1349/90)</f>
        <v/>
      </c>
      <c r="Q1349" s="5" t="str">
        <f aca="false">IF(A1349="","",IFERROR(INDEX(Parâmetros!$C$6:$C$10,MATCH(F1349,Parâmetros!$B$6:$B$10,0)),""))</f>
        <v/>
      </c>
      <c r="R1349" s="5" t="str">
        <f aca="false">IF(OR(A1349="",P1349="",Q1349=""),"",P1349*Q1349)</f>
        <v/>
      </c>
      <c r="S1349" s="5" t="str">
        <f aca="false">IF(R1349="","",MAX(0,R1349-G1349))</f>
        <v/>
      </c>
      <c r="T1349" s="21" t="str">
        <f aca="false">IF(S1349="","",S1349*K1349)</f>
        <v/>
      </c>
      <c r="U1349" s="5" t="str">
        <f aca="false">IF(A1349="","",IF(J1349&gt;Parâmetros!$C$14,"SIM","NAO"))</f>
        <v/>
      </c>
      <c r="V1349" s="5" t="str">
        <f aca="false">IF(B1349="","",TRIM(LEFT(B1349,IFERROR(FIND(" ",B1349)-1,LEN(B1349)))))</f>
        <v/>
      </c>
      <c r="W1349" s="22"/>
      <c r="X1349" s="5" t="str">
        <f aca="false">IF(A1349="","",IF(W1349&lt;&gt;"",W1349,V1349))</f>
        <v/>
      </c>
      <c r="Y1349" s="5" t="str">
        <f aca="false">IF(A1349="","",IF(COUNTIFS($X$2:$X$2001,X1349,$D$2:$D$2001,"&lt;&gt;"&amp;D1349,$C$2:$C$2001,C1349)&gt;0,"SIM","NAO"))</f>
        <v/>
      </c>
      <c r="Z1349" s="5" t="str">
        <f aca="false">IF(A1349="","",IF(J1349="","",IFERROR(360/J1349,"")))</f>
        <v/>
      </c>
      <c r="AA1349" s="5" t="str">
        <f aca="false">IF(A1349="","",IF(H1349=0,"Parado (sem venda 90d)",IF(Z1349&gt;12,"Alto (&gt;12x/ano)",IF(Z1349&gt;=4,"Medio (4-12x/ano)","Baixo (&lt;4x/ano)"))))</f>
        <v/>
      </c>
    </row>
    <row r="1350" customFormat="false" ht="15" hidden="false" customHeight="true" outlineLevel="0" collapsed="false">
      <c r="A1350" s="6"/>
      <c r="B1350" s="6"/>
      <c r="C1350" s="6"/>
      <c r="D1350" s="6"/>
      <c r="E1350" s="6"/>
      <c r="F1350" s="6"/>
      <c r="G1350" s="6"/>
      <c r="H1350" s="6"/>
      <c r="I1350" s="6"/>
      <c r="J1350" s="6"/>
      <c r="K1350" s="18"/>
      <c r="L1350" s="19" t="str">
        <f aca="false">IF(A1350="","",G1350*K1350)</f>
        <v/>
      </c>
      <c r="M1350" s="20"/>
      <c r="N1350" s="6"/>
      <c r="O1350" s="6"/>
      <c r="P1350" s="5" t="str">
        <f aca="false">IF(A1350="","",H1350/90)</f>
        <v/>
      </c>
      <c r="Q1350" s="5" t="str">
        <f aca="false">IF(A1350="","",IFERROR(INDEX(Parâmetros!$C$6:$C$10,MATCH(F1350,Parâmetros!$B$6:$B$10,0)),""))</f>
        <v/>
      </c>
      <c r="R1350" s="5" t="str">
        <f aca="false">IF(OR(A1350="",P1350="",Q1350=""),"",P1350*Q1350)</f>
        <v/>
      </c>
      <c r="S1350" s="5" t="str">
        <f aca="false">IF(R1350="","",MAX(0,R1350-G1350))</f>
        <v/>
      </c>
      <c r="T1350" s="21" t="str">
        <f aca="false">IF(S1350="","",S1350*K1350)</f>
        <v/>
      </c>
      <c r="U1350" s="5" t="str">
        <f aca="false">IF(A1350="","",IF(J1350&gt;Parâmetros!$C$14,"SIM","NAO"))</f>
        <v/>
      </c>
      <c r="V1350" s="5" t="str">
        <f aca="false">IF(B1350="","",TRIM(LEFT(B1350,IFERROR(FIND(" ",B1350)-1,LEN(B1350)))))</f>
        <v/>
      </c>
      <c r="W1350" s="22"/>
      <c r="X1350" s="5" t="str">
        <f aca="false">IF(A1350="","",IF(W1350&lt;&gt;"",W1350,V1350))</f>
        <v/>
      </c>
      <c r="Y1350" s="5" t="str">
        <f aca="false">IF(A1350="","",IF(COUNTIFS($X$2:$X$2001,X1350,$D$2:$D$2001,"&lt;&gt;"&amp;D1350,$C$2:$C$2001,C1350)&gt;0,"SIM","NAO"))</f>
        <v/>
      </c>
      <c r="Z1350" s="5" t="str">
        <f aca="false">IF(A1350="","",IF(J1350="","",IFERROR(360/J1350,"")))</f>
        <v/>
      </c>
      <c r="AA1350" s="5" t="str">
        <f aca="false">IF(A1350="","",IF(H1350=0,"Parado (sem venda 90d)",IF(Z1350&gt;12,"Alto (&gt;12x/ano)",IF(Z1350&gt;=4,"Medio (4-12x/ano)","Baixo (&lt;4x/ano)"))))</f>
        <v/>
      </c>
    </row>
    <row r="1351" customFormat="false" ht="15" hidden="false" customHeight="true" outlineLevel="0" collapsed="false">
      <c r="A1351" s="6"/>
      <c r="B1351" s="6"/>
      <c r="C1351" s="6"/>
      <c r="D1351" s="6"/>
      <c r="E1351" s="6"/>
      <c r="F1351" s="6"/>
      <c r="G1351" s="6"/>
      <c r="H1351" s="6"/>
      <c r="I1351" s="6"/>
      <c r="J1351" s="6"/>
      <c r="K1351" s="18"/>
      <c r="L1351" s="19" t="str">
        <f aca="false">IF(A1351="","",G1351*K1351)</f>
        <v/>
      </c>
      <c r="M1351" s="20"/>
      <c r="N1351" s="6"/>
      <c r="O1351" s="6"/>
      <c r="P1351" s="5" t="str">
        <f aca="false">IF(A1351="","",H1351/90)</f>
        <v/>
      </c>
      <c r="Q1351" s="5" t="str">
        <f aca="false">IF(A1351="","",IFERROR(INDEX(Parâmetros!$C$6:$C$10,MATCH(F1351,Parâmetros!$B$6:$B$10,0)),""))</f>
        <v/>
      </c>
      <c r="R1351" s="5" t="str">
        <f aca="false">IF(OR(A1351="",P1351="",Q1351=""),"",P1351*Q1351)</f>
        <v/>
      </c>
      <c r="S1351" s="5" t="str">
        <f aca="false">IF(R1351="","",MAX(0,R1351-G1351))</f>
        <v/>
      </c>
      <c r="T1351" s="21" t="str">
        <f aca="false">IF(S1351="","",S1351*K1351)</f>
        <v/>
      </c>
      <c r="U1351" s="5" t="str">
        <f aca="false">IF(A1351="","",IF(J1351&gt;Parâmetros!$C$14,"SIM","NAO"))</f>
        <v/>
      </c>
      <c r="V1351" s="5" t="str">
        <f aca="false">IF(B1351="","",TRIM(LEFT(B1351,IFERROR(FIND(" ",B1351)-1,LEN(B1351)))))</f>
        <v/>
      </c>
      <c r="W1351" s="22"/>
      <c r="X1351" s="5" t="str">
        <f aca="false">IF(A1351="","",IF(W1351&lt;&gt;"",W1351,V1351))</f>
        <v/>
      </c>
      <c r="Y1351" s="5" t="str">
        <f aca="false">IF(A1351="","",IF(COUNTIFS($X$2:$X$2001,X1351,$D$2:$D$2001,"&lt;&gt;"&amp;D1351,$C$2:$C$2001,C1351)&gt;0,"SIM","NAO"))</f>
        <v/>
      </c>
      <c r="Z1351" s="5" t="str">
        <f aca="false">IF(A1351="","",IF(J1351="","",IFERROR(360/J1351,"")))</f>
        <v/>
      </c>
      <c r="AA1351" s="5" t="str">
        <f aca="false">IF(A1351="","",IF(H1351=0,"Parado (sem venda 90d)",IF(Z1351&gt;12,"Alto (&gt;12x/ano)",IF(Z1351&gt;=4,"Medio (4-12x/ano)","Baixo (&lt;4x/ano)"))))</f>
        <v/>
      </c>
    </row>
    <row r="1352" customFormat="false" ht="15" hidden="false" customHeight="true" outlineLevel="0" collapsed="false">
      <c r="A1352" s="6"/>
      <c r="B1352" s="6"/>
      <c r="C1352" s="6"/>
      <c r="D1352" s="6"/>
      <c r="E1352" s="6"/>
      <c r="F1352" s="6"/>
      <c r="G1352" s="6"/>
      <c r="H1352" s="6"/>
      <c r="I1352" s="6"/>
      <c r="J1352" s="6"/>
      <c r="K1352" s="18"/>
      <c r="L1352" s="19" t="str">
        <f aca="false">IF(A1352="","",G1352*K1352)</f>
        <v/>
      </c>
      <c r="M1352" s="20"/>
      <c r="N1352" s="6"/>
      <c r="O1352" s="6"/>
      <c r="P1352" s="5" t="str">
        <f aca="false">IF(A1352="","",H1352/90)</f>
        <v/>
      </c>
      <c r="Q1352" s="5" t="str">
        <f aca="false">IF(A1352="","",IFERROR(INDEX(Parâmetros!$C$6:$C$10,MATCH(F1352,Parâmetros!$B$6:$B$10,0)),""))</f>
        <v/>
      </c>
      <c r="R1352" s="5" t="str">
        <f aca="false">IF(OR(A1352="",P1352="",Q1352=""),"",P1352*Q1352)</f>
        <v/>
      </c>
      <c r="S1352" s="5" t="str">
        <f aca="false">IF(R1352="","",MAX(0,R1352-G1352))</f>
        <v/>
      </c>
      <c r="T1352" s="21" t="str">
        <f aca="false">IF(S1352="","",S1352*K1352)</f>
        <v/>
      </c>
      <c r="U1352" s="5" t="str">
        <f aca="false">IF(A1352="","",IF(J1352&gt;Parâmetros!$C$14,"SIM","NAO"))</f>
        <v/>
      </c>
      <c r="V1352" s="5" t="str">
        <f aca="false">IF(B1352="","",TRIM(LEFT(B1352,IFERROR(FIND(" ",B1352)-1,LEN(B1352)))))</f>
        <v/>
      </c>
      <c r="W1352" s="22"/>
      <c r="X1352" s="5" t="str">
        <f aca="false">IF(A1352="","",IF(W1352&lt;&gt;"",W1352,V1352))</f>
        <v/>
      </c>
      <c r="Y1352" s="5" t="str">
        <f aca="false">IF(A1352="","",IF(COUNTIFS($X$2:$X$2001,X1352,$D$2:$D$2001,"&lt;&gt;"&amp;D1352,$C$2:$C$2001,C1352)&gt;0,"SIM","NAO"))</f>
        <v/>
      </c>
      <c r="Z1352" s="5" t="str">
        <f aca="false">IF(A1352="","",IF(J1352="","",IFERROR(360/J1352,"")))</f>
        <v/>
      </c>
      <c r="AA1352" s="5" t="str">
        <f aca="false">IF(A1352="","",IF(H1352=0,"Parado (sem venda 90d)",IF(Z1352&gt;12,"Alto (&gt;12x/ano)",IF(Z1352&gt;=4,"Medio (4-12x/ano)","Baixo (&lt;4x/ano)"))))</f>
        <v/>
      </c>
    </row>
    <row r="1353" customFormat="false" ht="15" hidden="false" customHeight="true" outlineLevel="0" collapsed="false">
      <c r="A1353" s="6"/>
      <c r="B1353" s="6"/>
      <c r="C1353" s="6"/>
      <c r="D1353" s="6"/>
      <c r="E1353" s="6"/>
      <c r="F1353" s="6"/>
      <c r="G1353" s="6"/>
      <c r="H1353" s="6"/>
      <c r="I1353" s="6"/>
      <c r="J1353" s="6"/>
      <c r="K1353" s="18"/>
      <c r="L1353" s="19" t="str">
        <f aca="false">IF(A1353="","",G1353*K1353)</f>
        <v/>
      </c>
      <c r="M1353" s="20"/>
      <c r="N1353" s="6"/>
      <c r="O1353" s="6"/>
      <c r="P1353" s="5" t="str">
        <f aca="false">IF(A1353="","",H1353/90)</f>
        <v/>
      </c>
      <c r="Q1353" s="5" t="str">
        <f aca="false">IF(A1353="","",IFERROR(INDEX(Parâmetros!$C$6:$C$10,MATCH(F1353,Parâmetros!$B$6:$B$10,0)),""))</f>
        <v/>
      </c>
      <c r="R1353" s="5" t="str">
        <f aca="false">IF(OR(A1353="",P1353="",Q1353=""),"",P1353*Q1353)</f>
        <v/>
      </c>
      <c r="S1353" s="5" t="str">
        <f aca="false">IF(R1353="","",MAX(0,R1353-G1353))</f>
        <v/>
      </c>
      <c r="T1353" s="21" t="str">
        <f aca="false">IF(S1353="","",S1353*K1353)</f>
        <v/>
      </c>
      <c r="U1353" s="5" t="str">
        <f aca="false">IF(A1353="","",IF(J1353&gt;Parâmetros!$C$14,"SIM","NAO"))</f>
        <v/>
      </c>
      <c r="V1353" s="5" t="str">
        <f aca="false">IF(B1353="","",TRIM(LEFT(B1353,IFERROR(FIND(" ",B1353)-1,LEN(B1353)))))</f>
        <v/>
      </c>
      <c r="W1353" s="22"/>
      <c r="X1353" s="5" t="str">
        <f aca="false">IF(A1353="","",IF(W1353&lt;&gt;"",W1353,V1353))</f>
        <v/>
      </c>
      <c r="Y1353" s="5" t="str">
        <f aca="false">IF(A1353="","",IF(COUNTIFS($X$2:$X$2001,X1353,$D$2:$D$2001,"&lt;&gt;"&amp;D1353,$C$2:$C$2001,C1353)&gt;0,"SIM","NAO"))</f>
        <v/>
      </c>
      <c r="Z1353" s="5" t="str">
        <f aca="false">IF(A1353="","",IF(J1353="","",IFERROR(360/J1353,"")))</f>
        <v/>
      </c>
      <c r="AA1353" s="5" t="str">
        <f aca="false">IF(A1353="","",IF(H1353=0,"Parado (sem venda 90d)",IF(Z1353&gt;12,"Alto (&gt;12x/ano)",IF(Z1353&gt;=4,"Medio (4-12x/ano)","Baixo (&lt;4x/ano)"))))</f>
        <v/>
      </c>
    </row>
    <row r="1354" customFormat="false" ht="15" hidden="false" customHeight="true" outlineLevel="0" collapsed="false">
      <c r="A1354" s="6"/>
      <c r="B1354" s="6"/>
      <c r="C1354" s="6"/>
      <c r="D1354" s="6"/>
      <c r="E1354" s="6"/>
      <c r="F1354" s="6"/>
      <c r="G1354" s="6"/>
      <c r="H1354" s="6"/>
      <c r="I1354" s="6"/>
      <c r="J1354" s="6"/>
      <c r="K1354" s="18"/>
      <c r="L1354" s="19" t="str">
        <f aca="false">IF(A1354="","",G1354*K1354)</f>
        <v/>
      </c>
      <c r="M1354" s="20"/>
      <c r="N1354" s="6"/>
      <c r="O1354" s="6"/>
      <c r="P1354" s="5" t="str">
        <f aca="false">IF(A1354="","",H1354/90)</f>
        <v/>
      </c>
      <c r="Q1354" s="5" t="str">
        <f aca="false">IF(A1354="","",IFERROR(INDEX(Parâmetros!$C$6:$C$10,MATCH(F1354,Parâmetros!$B$6:$B$10,0)),""))</f>
        <v/>
      </c>
      <c r="R1354" s="5" t="str">
        <f aca="false">IF(OR(A1354="",P1354="",Q1354=""),"",P1354*Q1354)</f>
        <v/>
      </c>
      <c r="S1354" s="5" t="str">
        <f aca="false">IF(R1354="","",MAX(0,R1354-G1354))</f>
        <v/>
      </c>
      <c r="T1354" s="21" t="str">
        <f aca="false">IF(S1354="","",S1354*K1354)</f>
        <v/>
      </c>
      <c r="U1354" s="5" t="str">
        <f aca="false">IF(A1354="","",IF(J1354&gt;Parâmetros!$C$14,"SIM","NAO"))</f>
        <v/>
      </c>
      <c r="V1354" s="5" t="str">
        <f aca="false">IF(B1354="","",TRIM(LEFT(B1354,IFERROR(FIND(" ",B1354)-1,LEN(B1354)))))</f>
        <v/>
      </c>
      <c r="W1354" s="22"/>
      <c r="X1354" s="5" t="str">
        <f aca="false">IF(A1354="","",IF(W1354&lt;&gt;"",W1354,V1354))</f>
        <v/>
      </c>
      <c r="Y1354" s="5" t="str">
        <f aca="false">IF(A1354="","",IF(COUNTIFS($X$2:$X$2001,X1354,$D$2:$D$2001,"&lt;&gt;"&amp;D1354,$C$2:$C$2001,C1354)&gt;0,"SIM","NAO"))</f>
        <v/>
      </c>
      <c r="Z1354" s="5" t="str">
        <f aca="false">IF(A1354="","",IF(J1354="","",IFERROR(360/J1354,"")))</f>
        <v/>
      </c>
      <c r="AA1354" s="5" t="str">
        <f aca="false">IF(A1354="","",IF(H1354=0,"Parado (sem venda 90d)",IF(Z1354&gt;12,"Alto (&gt;12x/ano)",IF(Z1354&gt;=4,"Medio (4-12x/ano)","Baixo (&lt;4x/ano)"))))</f>
        <v/>
      </c>
    </row>
    <row r="1355" customFormat="false" ht="15" hidden="false" customHeight="true" outlineLevel="0" collapsed="false">
      <c r="A1355" s="6"/>
      <c r="B1355" s="6"/>
      <c r="C1355" s="6"/>
      <c r="D1355" s="6"/>
      <c r="E1355" s="6"/>
      <c r="F1355" s="6"/>
      <c r="G1355" s="6"/>
      <c r="H1355" s="6"/>
      <c r="I1355" s="6"/>
      <c r="J1355" s="6"/>
      <c r="K1355" s="18"/>
      <c r="L1355" s="19" t="str">
        <f aca="false">IF(A1355="","",G1355*K1355)</f>
        <v/>
      </c>
      <c r="M1355" s="20"/>
      <c r="N1355" s="6"/>
      <c r="O1355" s="6"/>
      <c r="P1355" s="5" t="str">
        <f aca="false">IF(A1355="","",H1355/90)</f>
        <v/>
      </c>
      <c r="Q1355" s="5" t="str">
        <f aca="false">IF(A1355="","",IFERROR(INDEX(Parâmetros!$C$6:$C$10,MATCH(F1355,Parâmetros!$B$6:$B$10,0)),""))</f>
        <v/>
      </c>
      <c r="R1355" s="5" t="str">
        <f aca="false">IF(OR(A1355="",P1355="",Q1355=""),"",P1355*Q1355)</f>
        <v/>
      </c>
      <c r="S1355" s="5" t="str">
        <f aca="false">IF(R1355="","",MAX(0,R1355-G1355))</f>
        <v/>
      </c>
      <c r="T1355" s="21" t="str">
        <f aca="false">IF(S1355="","",S1355*K1355)</f>
        <v/>
      </c>
      <c r="U1355" s="5" t="str">
        <f aca="false">IF(A1355="","",IF(J1355&gt;Parâmetros!$C$14,"SIM","NAO"))</f>
        <v/>
      </c>
      <c r="V1355" s="5" t="str">
        <f aca="false">IF(B1355="","",TRIM(LEFT(B1355,IFERROR(FIND(" ",B1355)-1,LEN(B1355)))))</f>
        <v/>
      </c>
      <c r="W1355" s="22"/>
      <c r="X1355" s="5" t="str">
        <f aca="false">IF(A1355="","",IF(W1355&lt;&gt;"",W1355,V1355))</f>
        <v/>
      </c>
      <c r="Y1355" s="5" t="str">
        <f aca="false">IF(A1355="","",IF(COUNTIFS($X$2:$X$2001,X1355,$D$2:$D$2001,"&lt;&gt;"&amp;D1355,$C$2:$C$2001,C1355)&gt;0,"SIM","NAO"))</f>
        <v/>
      </c>
      <c r="Z1355" s="5" t="str">
        <f aca="false">IF(A1355="","",IF(J1355="","",IFERROR(360/J1355,"")))</f>
        <v/>
      </c>
      <c r="AA1355" s="5" t="str">
        <f aca="false">IF(A1355="","",IF(H1355=0,"Parado (sem venda 90d)",IF(Z1355&gt;12,"Alto (&gt;12x/ano)",IF(Z1355&gt;=4,"Medio (4-12x/ano)","Baixo (&lt;4x/ano)"))))</f>
        <v/>
      </c>
    </row>
    <row r="1356" customFormat="false" ht="15" hidden="false" customHeight="true" outlineLevel="0" collapsed="false">
      <c r="A1356" s="6"/>
      <c r="B1356" s="6"/>
      <c r="C1356" s="6"/>
      <c r="D1356" s="6"/>
      <c r="E1356" s="6"/>
      <c r="F1356" s="6"/>
      <c r="G1356" s="6"/>
      <c r="H1356" s="6"/>
      <c r="I1356" s="6"/>
      <c r="J1356" s="6"/>
      <c r="K1356" s="18"/>
      <c r="L1356" s="19" t="str">
        <f aca="false">IF(A1356="","",G1356*K1356)</f>
        <v/>
      </c>
      <c r="M1356" s="20"/>
      <c r="N1356" s="6"/>
      <c r="O1356" s="6"/>
      <c r="P1356" s="5" t="str">
        <f aca="false">IF(A1356="","",H1356/90)</f>
        <v/>
      </c>
      <c r="Q1356" s="5" t="str">
        <f aca="false">IF(A1356="","",IFERROR(INDEX(Parâmetros!$C$6:$C$10,MATCH(F1356,Parâmetros!$B$6:$B$10,0)),""))</f>
        <v/>
      </c>
      <c r="R1356" s="5" t="str">
        <f aca="false">IF(OR(A1356="",P1356="",Q1356=""),"",P1356*Q1356)</f>
        <v/>
      </c>
      <c r="S1356" s="5" t="str">
        <f aca="false">IF(R1356="","",MAX(0,R1356-G1356))</f>
        <v/>
      </c>
      <c r="T1356" s="21" t="str">
        <f aca="false">IF(S1356="","",S1356*K1356)</f>
        <v/>
      </c>
      <c r="U1356" s="5" t="str">
        <f aca="false">IF(A1356="","",IF(J1356&gt;Parâmetros!$C$14,"SIM","NAO"))</f>
        <v/>
      </c>
      <c r="V1356" s="5" t="str">
        <f aca="false">IF(B1356="","",TRIM(LEFT(B1356,IFERROR(FIND(" ",B1356)-1,LEN(B1356)))))</f>
        <v/>
      </c>
      <c r="W1356" s="22"/>
      <c r="X1356" s="5" t="str">
        <f aca="false">IF(A1356="","",IF(W1356&lt;&gt;"",W1356,V1356))</f>
        <v/>
      </c>
      <c r="Y1356" s="5" t="str">
        <f aca="false">IF(A1356="","",IF(COUNTIFS($X$2:$X$2001,X1356,$D$2:$D$2001,"&lt;&gt;"&amp;D1356,$C$2:$C$2001,C1356)&gt;0,"SIM","NAO"))</f>
        <v/>
      </c>
      <c r="Z1356" s="5" t="str">
        <f aca="false">IF(A1356="","",IF(J1356="","",IFERROR(360/J1356,"")))</f>
        <v/>
      </c>
      <c r="AA1356" s="5" t="str">
        <f aca="false">IF(A1356="","",IF(H1356=0,"Parado (sem venda 90d)",IF(Z1356&gt;12,"Alto (&gt;12x/ano)",IF(Z1356&gt;=4,"Medio (4-12x/ano)","Baixo (&lt;4x/ano)"))))</f>
        <v/>
      </c>
    </row>
    <row r="1357" customFormat="false" ht="15" hidden="false" customHeight="true" outlineLevel="0" collapsed="false">
      <c r="A1357" s="6"/>
      <c r="B1357" s="6"/>
      <c r="C1357" s="6"/>
      <c r="D1357" s="6"/>
      <c r="E1357" s="6"/>
      <c r="F1357" s="6"/>
      <c r="G1357" s="6"/>
      <c r="H1357" s="6"/>
      <c r="I1357" s="6"/>
      <c r="J1357" s="6"/>
      <c r="K1357" s="18"/>
      <c r="L1357" s="19" t="str">
        <f aca="false">IF(A1357="","",G1357*K1357)</f>
        <v/>
      </c>
      <c r="M1357" s="20"/>
      <c r="N1357" s="6"/>
      <c r="O1357" s="6"/>
      <c r="P1357" s="5" t="str">
        <f aca="false">IF(A1357="","",H1357/90)</f>
        <v/>
      </c>
      <c r="Q1357" s="5" t="str">
        <f aca="false">IF(A1357="","",IFERROR(INDEX(Parâmetros!$C$6:$C$10,MATCH(F1357,Parâmetros!$B$6:$B$10,0)),""))</f>
        <v/>
      </c>
      <c r="R1357" s="5" t="str">
        <f aca="false">IF(OR(A1357="",P1357="",Q1357=""),"",P1357*Q1357)</f>
        <v/>
      </c>
      <c r="S1357" s="5" t="str">
        <f aca="false">IF(R1357="","",MAX(0,R1357-G1357))</f>
        <v/>
      </c>
      <c r="T1357" s="21" t="str">
        <f aca="false">IF(S1357="","",S1357*K1357)</f>
        <v/>
      </c>
      <c r="U1357" s="5" t="str">
        <f aca="false">IF(A1357="","",IF(J1357&gt;Parâmetros!$C$14,"SIM","NAO"))</f>
        <v/>
      </c>
      <c r="V1357" s="5" t="str">
        <f aca="false">IF(B1357="","",TRIM(LEFT(B1357,IFERROR(FIND(" ",B1357)-1,LEN(B1357)))))</f>
        <v/>
      </c>
      <c r="W1357" s="22"/>
      <c r="X1357" s="5" t="str">
        <f aca="false">IF(A1357="","",IF(W1357&lt;&gt;"",W1357,V1357))</f>
        <v/>
      </c>
      <c r="Y1357" s="5" t="str">
        <f aca="false">IF(A1357="","",IF(COUNTIFS($X$2:$X$2001,X1357,$D$2:$D$2001,"&lt;&gt;"&amp;D1357,$C$2:$C$2001,C1357)&gt;0,"SIM","NAO"))</f>
        <v/>
      </c>
      <c r="Z1357" s="5" t="str">
        <f aca="false">IF(A1357="","",IF(J1357="","",IFERROR(360/J1357,"")))</f>
        <v/>
      </c>
      <c r="AA1357" s="5" t="str">
        <f aca="false">IF(A1357="","",IF(H1357=0,"Parado (sem venda 90d)",IF(Z1357&gt;12,"Alto (&gt;12x/ano)",IF(Z1357&gt;=4,"Medio (4-12x/ano)","Baixo (&lt;4x/ano)"))))</f>
        <v/>
      </c>
    </row>
    <row r="1358" customFormat="false" ht="15" hidden="false" customHeight="true" outlineLevel="0" collapsed="false">
      <c r="A1358" s="6"/>
      <c r="B1358" s="6"/>
      <c r="C1358" s="6"/>
      <c r="D1358" s="6"/>
      <c r="E1358" s="6"/>
      <c r="F1358" s="6"/>
      <c r="G1358" s="6"/>
      <c r="H1358" s="6"/>
      <c r="I1358" s="6"/>
      <c r="J1358" s="6"/>
      <c r="K1358" s="18"/>
      <c r="L1358" s="19" t="str">
        <f aca="false">IF(A1358="","",G1358*K1358)</f>
        <v/>
      </c>
      <c r="M1358" s="20"/>
      <c r="N1358" s="6"/>
      <c r="O1358" s="6"/>
      <c r="P1358" s="5" t="str">
        <f aca="false">IF(A1358="","",H1358/90)</f>
        <v/>
      </c>
      <c r="Q1358" s="5" t="str">
        <f aca="false">IF(A1358="","",IFERROR(INDEX(Parâmetros!$C$6:$C$10,MATCH(F1358,Parâmetros!$B$6:$B$10,0)),""))</f>
        <v/>
      </c>
      <c r="R1358" s="5" t="str">
        <f aca="false">IF(OR(A1358="",P1358="",Q1358=""),"",P1358*Q1358)</f>
        <v/>
      </c>
      <c r="S1358" s="5" t="str">
        <f aca="false">IF(R1358="","",MAX(0,R1358-G1358))</f>
        <v/>
      </c>
      <c r="T1358" s="21" t="str">
        <f aca="false">IF(S1358="","",S1358*K1358)</f>
        <v/>
      </c>
      <c r="U1358" s="5" t="str">
        <f aca="false">IF(A1358="","",IF(J1358&gt;Parâmetros!$C$14,"SIM","NAO"))</f>
        <v/>
      </c>
      <c r="V1358" s="5" t="str">
        <f aca="false">IF(B1358="","",TRIM(LEFT(B1358,IFERROR(FIND(" ",B1358)-1,LEN(B1358)))))</f>
        <v/>
      </c>
      <c r="W1358" s="22"/>
      <c r="X1358" s="5" t="str">
        <f aca="false">IF(A1358="","",IF(W1358&lt;&gt;"",W1358,V1358))</f>
        <v/>
      </c>
      <c r="Y1358" s="5" t="str">
        <f aca="false">IF(A1358="","",IF(COUNTIFS($X$2:$X$2001,X1358,$D$2:$D$2001,"&lt;&gt;"&amp;D1358,$C$2:$C$2001,C1358)&gt;0,"SIM","NAO"))</f>
        <v/>
      </c>
      <c r="Z1358" s="5" t="str">
        <f aca="false">IF(A1358="","",IF(J1358="","",IFERROR(360/J1358,"")))</f>
        <v/>
      </c>
      <c r="AA1358" s="5" t="str">
        <f aca="false">IF(A1358="","",IF(H1358=0,"Parado (sem venda 90d)",IF(Z1358&gt;12,"Alto (&gt;12x/ano)",IF(Z1358&gt;=4,"Medio (4-12x/ano)","Baixo (&lt;4x/ano)"))))</f>
        <v/>
      </c>
    </row>
    <row r="1359" customFormat="false" ht="15" hidden="false" customHeight="true" outlineLevel="0" collapsed="false">
      <c r="A1359" s="6"/>
      <c r="B1359" s="6"/>
      <c r="C1359" s="6"/>
      <c r="D1359" s="6"/>
      <c r="E1359" s="6"/>
      <c r="F1359" s="6"/>
      <c r="G1359" s="6"/>
      <c r="H1359" s="6"/>
      <c r="I1359" s="6"/>
      <c r="J1359" s="6"/>
      <c r="K1359" s="18"/>
      <c r="L1359" s="19" t="str">
        <f aca="false">IF(A1359="","",G1359*K1359)</f>
        <v/>
      </c>
      <c r="M1359" s="20"/>
      <c r="N1359" s="6"/>
      <c r="O1359" s="6"/>
      <c r="P1359" s="5" t="str">
        <f aca="false">IF(A1359="","",H1359/90)</f>
        <v/>
      </c>
      <c r="Q1359" s="5" t="str">
        <f aca="false">IF(A1359="","",IFERROR(INDEX(Parâmetros!$C$6:$C$10,MATCH(F1359,Parâmetros!$B$6:$B$10,0)),""))</f>
        <v/>
      </c>
      <c r="R1359" s="5" t="str">
        <f aca="false">IF(OR(A1359="",P1359="",Q1359=""),"",P1359*Q1359)</f>
        <v/>
      </c>
      <c r="S1359" s="5" t="str">
        <f aca="false">IF(R1359="","",MAX(0,R1359-G1359))</f>
        <v/>
      </c>
      <c r="T1359" s="21" t="str">
        <f aca="false">IF(S1359="","",S1359*K1359)</f>
        <v/>
      </c>
      <c r="U1359" s="5" t="str">
        <f aca="false">IF(A1359="","",IF(J1359&gt;Parâmetros!$C$14,"SIM","NAO"))</f>
        <v/>
      </c>
      <c r="V1359" s="5" t="str">
        <f aca="false">IF(B1359="","",TRIM(LEFT(B1359,IFERROR(FIND(" ",B1359)-1,LEN(B1359)))))</f>
        <v/>
      </c>
      <c r="W1359" s="22"/>
      <c r="X1359" s="5" t="str">
        <f aca="false">IF(A1359="","",IF(W1359&lt;&gt;"",W1359,V1359))</f>
        <v/>
      </c>
      <c r="Y1359" s="5" t="str">
        <f aca="false">IF(A1359="","",IF(COUNTIFS($X$2:$X$2001,X1359,$D$2:$D$2001,"&lt;&gt;"&amp;D1359,$C$2:$C$2001,C1359)&gt;0,"SIM","NAO"))</f>
        <v/>
      </c>
      <c r="Z1359" s="5" t="str">
        <f aca="false">IF(A1359="","",IF(J1359="","",IFERROR(360/J1359,"")))</f>
        <v/>
      </c>
      <c r="AA1359" s="5" t="str">
        <f aca="false">IF(A1359="","",IF(H1359=0,"Parado (sem venda 90d)",IF(Z1359&gt;12,"Alto (&gt;12x/ano)",IF(Z1359&gt;=4,"Medio (4-12x/ano)","Baixo (&lt;4x/ano)"))))</f>
        <v/>
      </c>
    </row>
    <row r="1360" customFormat="false" ht="15" hidden="false" customHeight="true" outlineLevel="0" collapsed="false">
      <c r="A1360" s="6"/>
      <c r="B1360" s="6"/>
      <c r="C1360" s="6"/>
      <c r="D1360" s="6"/>
      <c r="E1360" s="6"/>
      <c r="F1360" s="6"/>
      <c r="G1360" s="6"/>
      <c r="H1360" s="6"/>
      <c r="I1360" s="6"/>
      <c r="J1360" s="6"/>
      <c r="K1360" s="18"/>
      <c r="L1360" s="19" t="str">
        <f aca="false">IF(A1360="","",G1360*K1360)</f>
        <v/>
      </c>
      <c r="M1360" s="20"/>
      <c r="N1360" s="6"/>
      <c r="O1360" s="6"/>
      <c r="P1360" s="5" t="str">
        <f aca="false">IF(A1360="","",H1360/90)</f>
        <v/>
      </c>
      <c r="Q1360" s="5" t="str">
        <f aca="false">IF(A1360="","",IFERROR(INDEX(Parâmetros!$C$6:$C$10,MATCH(F1360,Parâmetros!$B$6:$B$10,0)),""))</f>
        <v/>
      </c>
      <c r="R1360" s="5" t="str">
        <f aca="false">IF(OR(A1360="",P1360="",Q1360=""),"",P1360*Q1360)</f>
        <v/>
      </c>
      <c r="S1360" s="5" t="str">
        <f aca="false">IF(R1360="","",MAX(0,R1360-G1360))</f>
        <v/>
      </c>
      <c r="T1360" s="21" t="str">
        <f aca="false">IF(S1360="","",S1360*K1360)</f>
        <v/>
      </c>
      <c r="U1360" s="5" t="str">
        <f aca="false">IF(A1360="","",IF(J1360&gt;Parâmetros!$C$14,"SIM","NAO"))</f>
        <v/>
      </c>
      <c r="V1360" s="5" t="str">
        <f aca="false">IF(B1360="","",TRIM(LEFT(B1360,IFERROR(FIND(" ",B1360)-1,LEN(B1360)))))</f>
        <v/>
      </c>
      <c r="W1360" s="22"/>
      <c r="X1360" s="5" t="str">
        <f aca="false">IF(A1360="","",IF(W1360&lt;&gt;"",W1360,V1360))</f>
        <v/>
      </c>
      <c r="Y1360" s="5" t="str">
        <f aca="false">IF(A1360="","",IF(COUNTIFS($X$2:$X$2001,X1360,$D$2:$D$2001,"&lt;&gt;"&amp;D1360,$C$2:$C$2001,C1360)&gt;0,"SIM","NAO"))</f>
        <v/>
      </c>
      <c r="Z1360" s="5" t="str">
        <f aca="false">IF(A1360="","",IF(J1360="","",IFERROR(360/J1360,"")))</f>
        <v/>
      </c>
      <c r="AA1360" s="5" t="str">
        <f aca="false">IF(A1360="","",IF(H1360=0,"Parado (sem venda 90d)",IF(Z1360&gt;12,"Alto (&gt;12x/ano)",IF(Z1360&gt;=4,"Medio (4-12x/ano)","Baixo (&lt;4x/ano)"))))</f>
        <v/>
      </c>
    </row>
    <row r="1361" customFormat="false" ht="15" hidden="false" customHeight="true" outlineLevel="0" collapsed="false">
      <c r="A1361" s="6"/>
      <c r="B1361" s="6"/>
      <c r="C1361" s="6"/>
      <c r="D1361" s="6"/>
      <c r="E1361" s="6"/>
      <c r="F1361" s="6"/>
      <c r="G1361" s="6"/>
      <c r="H1361" s="6"/>
      <c r="I1361" s="6"/>
      <c r="J1361" s="6"/>
      <c r="K1361" s="18"/>
      <c r="L1361" s="19" t="str">
        <f aca="false">IF(A1361="","",G1361*K1361)</f>
        <v/>
      </c>
      <c r="M1361" s="20"/>
      <c r="N1361" s="6"/>
      <c r="O1361" s="6"/>
      <c r="P1361" s="5" t="str">
        <f aca="false">IF(A1361="","",H1361/90)</f>
        <v/>
      </c>
      <c r="Q1361" s="5" t="str">
        <f aca="false">IF(A1361="","",IFERROR(INDEX(Parâmetros!$C$6:$C$10,MATCH(F1361,Parâmetros!$B$6:$B$10,0)),""))</f>
        <v/>
      </c>
      <c r="R1361" s="5" t="str">
        <f aca="false">IF(OR(A1361="",P1361="",Q1361=""),"",P1361*Q1361)</f>
        <v/>
      </c>
      <c r="S1361" s="5" t="str">
        <f aca="false">IF(R1361="","",MAX(0,R1361-G1361))</f>
        <v/>
      </c>
      <c r="T1361" s="21" t="str">
        <f aca="false">IF(S1361="","",S1361*K1361)</f>
        <v/>
      </c>
      <c r="U1361" s="5" t="str">
        <f aca="false">IF(A1361="","",IF(J1361&gt;Parâmetros!$C$14,"SIM","NAO"))</f>
        <v/>
      </c>
      <c r="V1361" s="5" t="str">
        <f aca="false">IF(B1361="","",TRIM(LEFT(B1361,IFERROR(FIND(" ",B1361)-1,LEN(B1361)))))</f>
        <v/>
      </c>
      <c r="W1361" s="22"/>
      <c r="X1361" s="5" t="str">
        <f aca="false">IF(A1361="","",IF(W1361&lt;&gt;"",W1361,V1361))</f>
        <v/>
      </c>
      <c r="Y1361" s="5" t="str">
        <f aca="false">IF(A1361="","",IF(COUNTIFS($X$2:$X$2001,X1361,$D$2:$D$2001,"&lt;&gt;"&amp;D1361,$C$2:$C$2001,C1361)&gt;0,"SIM","NAO"))</f>
        <v/>
      </c>
      <c r="Z1361" s="5" t="str">
        <f aca="false">IF(A1361="","",IF(J1361="","",IFERROR(360/J1361,"")))</f>
        <v/>
      </c>
      <c r="AA1361" s="5" t="str">
        <f aca="false">IF(A1361="","",IF(H1361=0,"Parado (sem venda 90d)",IF(Z1361&gt;12,"Alto (&gt;12x/ano)",IF(Z1361&gt;=4,"Medio (4-12x/ano)","Baixo (&lt;4x/ano)"))))</f>
        <v/>
      </c>
    </row>
    <row r="1362" customFormat="false" ht="15" hidden="false" customHeight="true" outlineLevel="0" collapsed="false">
      <c r="A1362" s="6"/>
      <c r="B1362" s="6"/>
      <c r="C1362" s="6"/>
      <c r="D1362" s="6"/>
      <c r="E1362" s="6"/>
      <c r="F1362" s="6"/>
      <c r="G1362" s="6"/>
      <c r="H1362" s="6"/>
      <c r="I1362" s="6"/>
      <c r="J1362" s="6"/>
      <c r="K1362" s="18"/>
      <c r="L1362" s="19" t="str">
        <f aca="false">IF(A1362="","",G1362*K1362)</f>
        <v/>
      </c>
      <c r="M1362" s="20"/>
      <c r="N1362" s="6"/>
      <c r="O1362" s="6"/>
      <c r="P1362" s="5" t="str">
        <f aca="false">IF(A1362="","",H1362/90)</f>
        <v/>
      </c>
      <c r="Q1362" s="5" t="str">
        <f aca="false">IF(A1362="","",IFERROR(INDEX(Parâmetros!$C$6:$C$10,MATCH(F1362,Parâmetros!$B$6:$B$10,0)),""))</f>
        <v/>
      </c>
      <c r="R1362" s="5" t="str">
        <f aca="false">IF(OR(A1362="",P1362="",Q1362=""),"",P1362*Q1362)</f>
        <v/>
      </c>
      <c r="S1362" s="5" t="str">
        <f aca="false">IF(R1362="","",MAX(0,R1362-G1362))</f>
        <v/>
      </c>
      <c r="T1362" s="21" t="str">
        <f aca="false">IF(S1362="","",S1362*K1362)</f>
        <v/>
      </c>
      <c r="U1362" s="5" t="str">
        <f aca="false">IF(A1362="","",IF(J1362&gt;Parâmetros!$C$14,"SIM","NAO"))</f>
        <v/>
      </c>
      <c r="V1362" s="5" t="str">
        <f aca="false">IF(B1362="","",TRIM(LEFT(B1362,IFERROR(FIND(" ",B1362)-1,LEN(B1362)))))</f>
        <v/>
      </c>
      <c r="W1362" s="22"/>
      <c r="X1362" s="5" t="str">
        <f aca="false">IF(A1362="","",IF(W1362&lt;&gt;"",W1362,V1362))</f>
        <v/>
      </c>
      <c r="Y1362" s="5" t="str">
        <f aca="false">IF(A1362="","",IF(COUNTIFS($X$2:$X$2001,X1362,$D$2:$D$2001,"&lt;&gt;"&amp;D1362,$C$2:$C$2001,C1362)&gt;0,"SIM","NAO"))</f>
        <v/>
      </c>
      <c r="Z1362" s="5" t="str">
        <f aca="false">IF(A1362="","",IF(J1362="","",IFERROR(360/J1362,"")))</f>
        <v/>
      </c>
      <c r="AA1362" s="5" t="str">
        <f aca="false">IF(A1362="","",IF(H1362=0,"Parado (sem venda 90d)",IF(Z1362&gt;12,"Alto (&gt;12x/ano)",IF(Z1362&gt;=4,"Medio (4-12x/ano)","Baixo (&lt;4x/ano)"))))</f>
        <v/>
      </c>
    </row>
    <row r="1363" customFormat="false" ht="15" hidden="false" customHeight="true" outlineLevel="0" collapsed="false">
      <c r="A1363" s="6"/>
      <c r="B1363" s="6"/>
      <c r="C1363" s="6"/>
      <c r="D1363" s="6"/>
      <c r="E1363" s="6"/>
      <c r="F1363" s="6"/>
      <c r="G1363" s="6"/>
      <c r="H1363" s="6"/>
      <c r="I1363" s="6"/>
      <c r="J1363" s="6"/>
      <c r="K1363" s="18"/>
      <c r="L1363" s="19" t="str">
        <f aca="false">IF(A1363="","",G1363*K1363)</f>
        <v/>
      </c>
      <c r="M1363" s="20"/>
      <c r="N1363" s="6"/>
      <c r="O1363" s="6"/>
      <c r="P1363" s="5" t="str">
        <f aca="false">IF(A1363="","",H1363/90)</f>
        <v/>
      </c>
      <c r="Q1363" s="5" t="str">
        <f aca="false">IF(A1363="","",IFERROR(INDEX(Parâmetros!$C$6:$C$10,MATCH(F1363,Parâmetros!$B$6:$B$10,0)),""))</f>
        <v/>
      </c>
      <c r="R1363" s="5" t="str">
        <f aca="false">IF(OR(A1363="",P1363="",Q1363=""),"",P1363*Q1363)</f>
        <v/>
      </c>
      <c r="S1363" s="5" t="str">
        <f aca="false">IF(R1363="","",MAX(0,R1363-G1363))</f>
        <v/>
      </c>
      <c r="T1363" s="21" t="str">
        <f aca="false">IF(S1363="","",S1363*K1363)</f>
        <v/>
      </c>
      <c r="U1363" s="5" t="str">
        <f aca="false">IF(A1363="","",IF(J1363&gt;Parâmetros!$C$14,"SIM","NAO"))</f>
        <v/>
      </c>
      <c r="V1363" s="5" t="str">
        <f aca="false">IF(B1363="","",TRIM(LEFT(B1363,IFERROR(FIND(" ",B1363)-1,LEN(B1363)))))</f>
        <v/>
      </c>
      <c r="W1363" s="22"/>
      <c r="X1363" s="5" t="str">
        <f aca="false">IF(A1363="","",IF(W1363&lt;&gt;"",W1363,V1363))</f>
        <v/>
      </c>
      <c r="Y1363" s="5" t="str">
        <f aca="false">IF(A1363="","",IF(COUNTIFS($X$2:$X$2001,X1363,$D$2:$D$2001,"&lt;&gt;"&amp;D1363,$C$2:$C$2001,C1363)&gt;0,"SIM","NAO"))</f>
        <v/>
      </c>
      <c r="Z1363" s="5" t="str">
        <f aca="false">IF(A1363="","",IF(J1363="","",IFERROR(360/J1363,"")))</f>
        <v/>
      </c>
      <c r="AA1363" s="5" t="str">
        <f aca="false">IF(A1363="","",IF(H1363=0,"Parado (sem venda 90d)",IF(Z1363&gt;12,"Alto (&gt;12x/ano)",IF(Z1363&gt;=4,"Medio (4-12x/ano)","Baixo (&lt;4x/ano)"))))</f>
        <v/>
      </c>
    </row>
    <row r="1364" customFormat="false" ht="15" hidden="false" customHeight="true" outlineLevel="0" collapsed="false">
      <c r="A1364" s="6"/>
      <c r="B1364" s="6"/>
      <c r="C1364" s="6"/>
      <c r="D1364" s="6"/>
      <c r="E1364" s="6"/>
      <c r="F1364" s="6"/>
      <c r="G1364" s="6"/>
      <c r="H1364" s="6"/>
      <c r="I1364" s="6"/>
      <c r="J1364" s="6"/>
      <c r="K1364" s="18"/>
      <c r="L1364" s="19" t="str">
        <f aca="false">IF(A1364="","",G1364*K1364)</f>
        <v/>
      </c>
      <c r="M1364" s="20"/>
      <c r="N1364" s="6"/>
      <c r="O1364" s="6"/>
      <c r="P1364" s="5" t="str">
        <f aca="false">IF(A1364="","",H1364/90)</f>
        <v/>
      </c>
      <c r="Q1364" s="5" t="str">
        <f aca="false">IF(A1364="","",IFERROR(INDEX(Parâmetros!$C$6:$C$10,MATCH(F1364,Parâmetros!$B$6:$B$10,0)),""))</f>
        <v/>
      </c>
      <c r="R1364" s="5" t="str">
        <f aca="false">IF(OR(A1364="",P1364="",Q1364=""),"",P1364*Q1364)</f>
        <v/>
      </c>
      <c r="S1364" s="5" t="str">
        <f aca="false">IF(R1364="","",MAX(0,R1364-G1364))</f>
        <v/>
      </c>
      <c r="T1364" s="21" t="str">
        <f aca="false">IF(S1364="","",S1364*K1364)</f>
        <v/>
      </c>
      <c r="U1364" s="5" t="str">
        <f aca="false">IF(A1364="","",IF(J1364&gt;Parâmetros!$C$14,"SIM","NAO"))</f>
        <v/>
      </c>
      <c r="V1364" s="5" t="str">
        <f aca="false">IF(B1364="","",TRIM(LEFT(B1364,IFERROR(FIND(" ",B1364)-1,LEN(B1364)))))</f>
        <v/>
      </c>
      <c r="W1364" s="22"/>
      <c r="X1364" s="5" t="str">
        <f aca="false">IF(A1364="","",IF(W1364&lt;&gt;"",W1364,V1364))</f>
        <v/>
      </c>
      <c r="Y1364" s="5" t="str">
        <f aca="false">IF(A1364="","",IF(COUNTIFS($X$2:$X$2001,X1364,$D$2:$D$2001,"&lt;&gt;"&amp;D1364,$C$2:$C$2001,C1364)&gt;0,"SIM","NAO"))</f>
        <v/>
      </c>
      <c r="Z1364" s="5" t="str">
        <f aca="false">IF(A1364="","",IF(J1364="","",IFERROR(360/J1364,"")))</f>
        <v/>
      </c>
      <c r="AA1364" s="5" t="str">
        <f aca="false">IF(A1364="","",IF(H1364=0,"Parado (sem venda 90d)",IF(Z1364&gt;12,"Alto (&gt;12x/ano)",IF(Z1364&gt;=4,"Medio (4-12x/ano)","Baixo (&lt;4x/ano)"))))</f>
        <v/>
      </c>
    </row>
    <row r="1365" customFormat="false" ht="15" hidden="false" customHeight="true" outlineLevel="0" collapsed="false">
      <c r="A1365" s="6"/>
      <c r="B1365" s="6"/>
      <c r="C1365" s="6"/>
      <c r="D1365" s="6"/>
      <c r="E1365" s="6"/>
      <c r="F1365" s="6"/>
      <c r="G1365" s="6"/>
      <c r="H1365" s="6"/>
      <c r="I1365" s="6"/>
      <c r="J1365" s="6"/>
      <c r="K1365" s="18"/>
      <c r="L1365" s="19" t="str">
        <f aca="false">IF(A1365="","",G1365*K1365)</f>
        <v/>
      </c>
      <c r="M1365" s="20"/>
      <c r="N1365" s="6"/>
      <c r="O1365" s="6"/>
      <c r="P1365" s="5" t="str">
        <f aca="false">IF(A1365="","",H1365/90)</f>
        <v/>
      </c>
      <c r="Q1365" s="5" t="str">
        <f aca="false">IF(A1365="","",IFERROR(INDEX(Parâmetros!$C$6:$C$10,MATCH(F1365,Parâmetros!$B$6:$B$10,0)),""))</f>
        <v/>
      </c>
      <c r="R1365" s="5" t="str">
        <f aca="false">IF(OR(A1365="",P1365="",Q1365=""),"",P1365*Q1365)</f>
        <v/>
      </c>
      <c r="S1365" s="5" t="str">
        <f aca="false">IF(R1365="","",MAX(0,R1365-G1365))</f>
        <v/>
      </c>
      <c r="T1365" s="21" t="str">
        <f aca="false">IF(S1365="","",S1365*K1365)</f>
        <v/>
      </c>
      <c r="U1365" s="5" t="str">
        <f aca="false">IF(A1365="","",IF(J1365&gt;Parâmetros!$C$14,"SIM","NAO"))</f>
        <v/>
      </c>
      <c r="V1365" s="5" t="str">
        <f aca="false">IF(B1365="","",TRIM(LEFT(B1365,IFERROR(FIND(" ",B1365)-1,LEN(B1365)))))</f>
        <v/>
      </c>
      <c r="W1365" s="22"/>
      <c r="X1365" s="5" t="str">
        <f aca="false">IF(A1365="","",IF(W1365&lt;&gt;"",W1365,V1365))</f>
        <v/>
      </c>
      <c r="Y1365" s="5" t="str">
        <f aca="false">IF(A1365="","",IF(COUNTIFS($X$2:$X$2001,X1365,$D$2:$D$2001,"&lt;&gt;"&amp;D1365,$C$2:$C$2001,C1365)&gt;0,"SIM","NAO"))</f>
        <v/>
      </c>
      <c r="Z1365" s="5" t="str">
        <f aca="false">IF(A1365="","",IF(J1365="","",IFERROR(360/J1365,"")))</f>
        <v/>
      </c>
      <c r="AA1365" s="5" t="str">
        <f aca="false">IF(A1365="","",IF(H1365=0,"Parado (sem venda 90d)",IF(Z1365&gt;12,"Alto (&gt;12x/ano)",IF(Z1365&gt;=4,"Medio (4-12x/ano)","Baixo (&lt;4x/ano)"))))</f>
        <v/>
      </c>
    </row>
    <row r="1366" customFormat="false" ht="15" hidden="false" customHeight="true" outlineLevel="0" collapsed="false">
      <c r="A1366" s="6"/>
      <c r="B1366" s="6"/>
      <c r="C1366" s="6"/>
      <c r="D1366" s="6"/>
      <c r="E1366" s="6"/>
      <c r="F1366" s="6"/>
      <c r="G1366" s="6"/>
      <c r="H1366" s="6"/>
      <c r="I1366" s="6"/>
      <c r="J1366" s="6"/>
      <c r="K1366" s="18"/>
      <c r="L1366" s="19" t="str">
        <f aca="false">IF(A1366="","",G1366*K1366)</f>
        <v/>
      </c>
      <c r="M1366" s="20"/>
      <c r="N1366" s="6"/>
      <c r="O1366" s="6"/>
      <c r="P1366" s="5" t="str">
        <f aca="false">IF(A1366="","",H1366/90)</f>
        <v/>
      </c>
      <c r="Q1366" s="5" t="str">
        <f aca="false">IF(A1366="","",IFERROR(INDEX(Parâmetros!$C$6:$C$10,MATCH(F1366,Parâmetros!$B$6:$B$10,0)),""))</f>
        <v/>
      </c>
      <c r="R1366" s="5" t="str">
        <f aca="false">IF(OR(A1366="",P1366="",Q1366=""),"",P1366*Q1366)</f>
        <v/>
      </c>
      <c r="S1366" s="5" t="str">
        <f aca="false">IF(R1366="","",MAX(0,R1366-G1366))</f>
        <v/>
      </c>
      <c r="T1366" s="21" t="str">
        <f aca="false">IF(S1366="","",S1366*K1366)</f>
        <v/>
      </c>
      <c r="U1366" s="5" t="str">
        <f aca="false">IF(A1366="","",IF(J1366&gt;Parâmetros!$C$14,"SIM","NAO"))</f>
        <v/>
      </c>
      <c r="V1366" s="5" t="str">
        <f aca="false">IF(B1366="","",TRIM(LEFT(B1366,IFERROR(FIND(" ",B1366)-1,LEN(B1366)))))</f>
        <v/>
      </c>
      <c r="W1366" s="22"/>
      <c r="X1366" s="5" t="str">
        <f aca="false">IF(A1366="","",IF(W1366&lt;&gt;"",W1366,V1366))</f>
        <v/>
      </c>
      <c r="Y1366" s="5" t="str">
        <f aca="false">IF(A1366="","",IF(COUNTIFS($X$2:$X$2001,X1366,$D$2:$D$2001,"&lt;&gt;"&amp;D1366,$C$2:$C$2001,C1366)&gt;0,"SIM","NAO"))</f>
        <v/>
      </c>
      <c r="Z1366" s="5" t="str">
        <f aca="false">IF(A1366="","",IF(J1366="","",IFERROR(360/J1366,"")))</f>
        <v/>
      </c>
      <c r="AA1366" s="5" t="str">
        <f aca="false">IF(A1366="","",IF(H1366=0,"Parado (sem venda 90d)",IF(Z1366&gt;12,"Alto (&gt;12x/ano)",IF(Z1366&gt;=4,"Medio (4-12x/ano)","Baixo (&lt;4x/ano)"))))</f>
        <v/>
      </c>
    </row>
    <row r="1367" customFormat="false" ht="15" hidden="false" customHeight="true" outlineLevel="0" collapsed="false">
      <c r="A1367" s="6"/>
      <c r="B1367" s="6"/>
      <c r="C1367" s="6"/>
      <c r="D1367" s="6"/>
      <c r="E1367" s="6"/>
      <c r="F1367" s="6"/>
      <c r="G1367" s="6"/>
      <c r="H1367" s="6"/>
      <c r="I1367" s="6"/>
      <c r="J1367" s="6"/>
      <c r="K1367" s="18"/>
      <c r="L1367" s="19" t="str">
        <f aca="false">IF(A1367="","",G1367*K1367)</f>
        <v/>
      </c>
      <c r="M1367" s="20"/>
      <c r="N1367" s="6"/>
      <c r="O1367" s="6"/>
      <c r="P1367" s="5" t="str">
        <f aca="false">IF(A1367="","",H1367/90)</f>
        <v/>
      </c>
      <c r="Q1367" s="5" t="str">
        <f aca="false">IF(A1367="","",IFERROR(INDEX(Parâmetros!$C$6:$C$10,MATCH(F1367,Parâmetros!$B$6:$B$10,0)),""))</f>
        <v/>
      </c>
      <c r="R1367" s="5" t="str">
        <f aca="false">IF(OR(A1367="",P1367="",Q1367=""),"",P1367*Q1367)</f>
        <v/>
      </c>
      <c r="S1367" s="5" t="str">
        <f aca="false">IF(R1367="","",MAX(0,R1367-G1367))</f>
        <v/>
      </c>
      <c r="T1367" s="21" t="str">
        <f aca="false">IF(S1367="","",S1367*K1367)</f>
        <v/>
      </c>
      <c r="U1367" s="5" t="str">
        <f aca="false">IF(A1367="","",IF(J1367&gt;Parâmetros!$C$14,"SIM","NAO"))</f>
        <v/>
      </c>
      <c r="V1367" s="5" t="str">
        <f aca="false">IF(B1367="","",TRIM(LEFT(B1367,IFERROR(FIND(" ",B1367)-1,LEN(B1367)))))</f>
        <v/>
      </c>
      <c r="W1367" s="22"/>
      <c r="X1367" s="5" t="str">
        <f aca="false">IF(A1367="","",IF(W1367&lt;&gt;"",W1367,V1367))</f>
        <v/>
      </c>
      <c r="Y1367" s="5" t="str">
        <f aca="false">IF(A1367="","",IF(COUNTIFS($X$2:$X$2001,X1367,$D$2:$D$2001,"&lt;&gt;"&amp;D1367,$C$2:$C$2001,C1367)&gt;0,"SIM","NAO"))</f>
        <v/>
      </c>
      <c r="Z1367" s="5" t="str">
        <f aca="false">IF(A1367="","",IF(J1367="","",IFERROR(360/J1367,"")))</f>
        <v/>
      </c>
      <c r="AA1367" s="5" t="str">
        <f aca="false">IF(A1367="","",IF(H1367=0,"Parado (sem venda 90d)",IF(Z1367&gt;12,"Alto (&gt;12x/ano)",IF(Z1367&gt;=4,"Medio (4-12x/ano)","Baixo (&lt;4x/ano)"))))</f>
        <v/>
      </c>
    </row>
    <row r="1368" customFormat="false" ht="15" hidden="false" customHeight="true" outlineLevel="0" collapsed="false">
      <c r="A1368" s="6"/>
      <c r="B1368" s="6"/>
      <c r="C1368" s="6"/>
      <c r="D1368" s="6"/>
      <c r="E1368" s="6"/>
      <c r="F1368" s="6"/>
      <c r="G1368" s="6"/>
      <c r="H1368" s="6"/>
      <c r="I1368" s="6"/>
      <c r="J1368" s="6"/>
      <c r="K1368" s="18"/>
      <c r="L1368" s="19" t="str">
        <f aca="false">IF(A1368="","",G1368*K1368)</f>
        <v/>
      </c>
      <c r="M1368" s="20"/>
      <c r="N1368" s="6"/>
      <c r="O1368" s="6"/>
      <c r="P1368" s="5" t="str">
        <f aca="false">IF(A1368="","",H1368/90)</f>
        <v/>
      </c>
      <c r="Q1368" s="5" t="str">
        <f aca="false">IF(A1368="","",IFERROR(INDEX(Parâmetros!$C$6:$C$10,MATCH(F1368,Parâmetros!$B$6:$B$10,0)),""))</f>
        <v/>
      </c>
      <c r="R1368" s="5" t="str">
        <f aca="false">IF(OR(A1368="",P1368="",Q1368=""),"",P1368*Q1368)</f>
        <v/>
      </c>
      <c r="S1368" s="5" t="str">
        <f aca="false">IF(R1368="","",MAX(0,R1368-G1368))</f>
        <v/>
      </c>
      <c r="T1368" s="21" t="str">
        <f aca="false">IF(S1368="","",S1368*K1368)</f>
        <v/>
      </c>
      <c r="U1368" s="5" t="str">
        <f aca="false">IF(A1368="","",IF(J1368&gt;Parâmetros!$C$14,"SIM","NAO"))</f>
        <v/>
      </c>
      <c r="V1368" s="5" t="str">
        <f aca="false">IF(B1368="","",TRIM(LEFT(B1368,IFERROR(FIND(" ",B1368)-1,LEN(B1368)))))</f>
        <v/>
      </c>
      <c r="W1368" s="22"/>
      <c r="X1368" s="5" t="str">
        <f aca="false">IF(A1368="","",IF(W1368&lt;&gt;"",W1368,V1368))</f>
        <v/>
      </c>
      <c r="Y1368" s="5" t="str">
        <f aca="false">IF(A1368="","",IF(COUNTIFS($X$2:$X$2001,X1368,$D$2:$D$2001,"&lt;&gt;"&amp;D1368,$C$2:$C$2001,C1368)&gt;0,"SIM","NAO"))</f>
        <v/>
      </c>
      <c r="Z1368" s="5" t="str">
        <f aca="false">IF(A1368="","",IF(J1368="","",IFERROR(360/J1368,"")))</f>
        <v/>
      </c>
      <c r="AA1368" s="5" t="str">
        <f aca="false">IF(A1368="","",IF(H1368=0,"Parado (sem venda 90d)",IF(Z1368&gt;12,"Alto (&gt;12x/ano)",IF(Z1368&gt;=4,"Medio (4-12x/ano)","Baixo (&lt;4x/ano)"))))</f>
        <v/>
      </c>
    </row>
    <row r="1369" customFormat="false" ht="15" hidden="false" customHeight="true" outlineLevel="0" collapsed="false">
      <c r="A1369" s="6"/>
      <c r="B1369" s="6"/>
      <c r="C1369" s="6"/>
      <c r="D1369" s="6"/>
      <c r="E1369" s="6"/>
      <c r="F1369" s="6"/>
      <c r="G1369" s="6"/>
      <c r="H1369" s="6"/>
      <c r="I1369" s="6"/>
      <c r="J1369" s="6"/>
      <c r="K1369" s="18"/>
      <c r="L1369" s="19" t="str">
        <f aca="false">IF(A1369="","",G1369*K1369)</f>
        <v/>
      </c>
      <c r="M1369" s="20"/>
      <c r="N1369" s="6"/>
      <c r="O1369" s="6"/>
      <c r="P1369" s="5" t="str">
        <f aca="false">IF(A1369="","",H1369/90)</f>
        <v/>
      </c>
      <c r="Q1369" s="5" t="str">
        <f aca="false">IF(A1369="","",IFERROR(INDEX(Parâmetros!$C$6:$C$10,MATCH(F1369,Parâmetros!$B$6:$B$10,0)),""))</f>
        <v/>
      </c>
      <c r="R1369" s="5" t="str">
        <f aca="false">IF(OR(A1369="",P1369="",Q1369=""),"",P1369*Q1369)</f>
        <v/>
      </c>
      <c r="S1369" s="5" t="str">
        <f aca="false">IF(R1369="","",MAX(0,R1369-G1369))</f>
        <v/>
      </c>
      <c r="T1369" s="21" t="str">
        <f aca="false">IF(S1369="","",S1369*K1369)</f>
        <v/>
      </c>
      <c r="U1369" s="5" t="str">
        <f aca="false">IF(A1369="","",IF(J1369&gt;Parâmetros!$C$14,"SIM","NAO"))</f>
        <v/>
      </c>
      <c r="V1369" s="5" t="str">
        <f aca="false">IF(B1369="","",TRIM(LEFT(B1369,IFERROR(FIND(" ",B1369)-1,LEN(B1369)))))</f>
        <v/>
      </c>
      <c r="W1369" s="22"/>
      <c r="X1369" s="5" t="str">
        <f aca="false">IF(A1369="","",IF(W1369&lt;&gt;"",W1369,V1369))</f>
        <v/>
      </c>
      <c r="Y1369" s="5" t="str">
        <f aca="false">IF(A1369="","",IF(COUNTIFS($X$2:$X$2001,X1369,$D$2:$D$2001,"&lt;&gt;"&amp;D1369,$C$2:$C$2001,C1369)&gt;0,"SIM","NAO"))</f>
        <v/>
      </c>
      <c r="Z1369" s="5" t="str">
        <f aca="false">IF(A1369="","",IF(J1369="","",IFERROR(360/J1369,"")))</f>
        <v/>
      </c>
      <c r="AA1369" s="5" t="str">
        <f aca="false">IF(A1369="","",IF(H1369=0,"Parado (sem venda 90d)",IF(Z1369&gt;12,"Alto (&gt;12x/ano)",IF(Z1369&gt;=4,"Medio (4-12x/ano)","Baixo (&lt;4x/ano)"))))</f>
        <v/>
      </c>
    </row>
    <row r="1370" customFormat="false" ht="15" hidden="false" customHeight="true" outlineLevel="0" collapsed="false">
      <c r="A1370" s="6"/>
      <c r="B1370" s="6"/>
      <c r="C1370" s="6"/>
      <c r="D1370" s="6"/>
      <c r="E1370" s="6"/>
      <c r="F1370" s="6"/>
      <c r="G1370" s="6"/>
      <c r="H1370" s="6"/>
      <c r="I1370" s="6"/>
      <c r="J1370" s="6"/>
      <c r="K1370" s="18"/>
      <c r="L1370" s="19" t="str">
        <f aca="false">IF(A1370="","",G1370*K1370)</f>
        <v/>
      </c>
      <c r="M1370" s="20"/>
      <c r="N1370" s="6"/>
      <c r="O1370" s="6"/>
      <c r="P1370" s="5" t="str">
        <f aca="false">IF(A1370="","",H1370/90)</f>
        <v/>
      </c>
      <c r="Q1370" s="5" t="str">
        <f aca="false">IF(A1370="","",IFERROR(INDEX(Parâmetros!$C$6:$C$10,MATCH(F1370,Parâmetros!$B$6:$B$10,0)),""))</f>
        <v/>
      </c>
      <c r="R1370" s="5" t="str">
        <f aca="false">IF(OR(A1370="",P1370="",Q1370=""),"",P1370*Q1370)</f>
        <v/>
      </c>
      <c r="S1370" s="5" t="str">
        <f aca="false">IF(R1370="","",MAX(0,R1370-G1370))</f>
        <v/>
      </c>
      <c r="T1370" s="21" t="str">
        <f aca="false">IF(S1370="","",S1370*K1370)</f>
        <v/>
      </c>
      <c r="U1370" s="5" t="str">
        <f aca="false">IF(A1370="","",IF(J1370&gt;Parâmetros!$C$14,"SIM","NAO"))</f>
        <v/>
      </c>
      <c r="V1370" s="5" t="str">
        <f aca="false">IF(B1370="","",TRIM(LEFT(B1370,IFERROR(FIND(" ",B1370)-1,LEN(B1370)))))</f>
        <v/>
      </c>
      <c r="W1370" s="22"/>
      <c r="X1370" s="5" t="str">
        <f aca="false">IF(A1370="","",IF(W1370&lt;&gt;"",W1370,V1370))</f>
        <v/>
      </c>
      <c r="Y1370" s="5" t="str">
        <f aca="false">IF(A1370="","",IF(COUNTIFS($X$2:$X$2001,X1370,$D$2:$D$2001,"&lt;&gt;"&amp;D1370,$C$2:$C$2001,C1370)&gt;0,"SIM","NAO"))</f>
        <v/>
      </c>
      <c r="Z1370" s="5" t="str">
        <f aca="false">IF(A1370="","",IF(J1370="","",IFERROR(360/J1370,"")))</f>
        <v/>
      </c>
      <c r="AA1370" s="5" t="str">
        <f aca="false">IF(A1370="","",IF(H1370=0,"Parado (sem venda 90d)",IF(Z1370&gt;12,"Alto (&gt;12x/ano)",IF(Z1370&gt;=4,"Medio (4-12x/ano)","Baixo (&lt;4x/ano)"))))</f>
        <v/>
      </c>
    </row>
    <row r="1371" customFormat="false" ht="15" hidden="false" customHeight="true" outlineLevel="0" collapsed="false">
      <c r="A1371" s="6"/>
      <c r="B1371" s="6"/>
      <c r="C1371" s="6"/>
      <c r="D1371" s="6"/>
      <c r="E1371" s="6"/>
      <c r="F1371" s="6"/>
      <c r="G1371" s="6"/>
      <c r="H1371" s="6"/>
      <c r="I1371" s="6"/>
      <c r="J1371" s="6"/>
      <c r="K1371" s="18"/>
      <c r="L1371" s="19" t="str">
        <f aca="false">IF(A1371="","",G1371*K1371)</f>
        <v/>
      </c>
      <c r="M1371" s="20"/>
      <c r="N1371" s="6"/>
      <c r="O1371" s="6"/>
      <c r="P1371" s="5" t="str">
        <f aca="false">IF(A1371="","",H1371/90)</f>
        <v/>
      </c>
      <c r="Q1371" s="5" t="str">
        <f aca="false">IF(A1371="","",IFERROR(INDEX(Parâmetros!$C$6:$C$10,MATCH(F1371,Parâmetros!$B$6:$B$10,0)),""))</f>
        <v/>
      </c>
      <c r="R1371" s="5" t="str">
        <f aca="false">IF(OR(A1371="",P1371="",Q1371=""),"",P1371*Q1371)</f>
        <v/>
      </c>
      <c r="S1371" s="5" t="str">
        <f aca="false">IF(R1371="","",MAX(0,R1371-G1371))</f>
        <v/>
      </c>
      <c r="T1371" s="21" t="str">
        <f aca="false">IF(S1371="","",S1371*K1371)</f>
        <v/>
      </c>
      <c r="U1371" s="5" t="str">
        <f aca="false">IF(A1371="","",IF(J1371&gt;Parâmetros!$C$14,"SIM","NAO"))</f>
        <v/>
      </c>
      <c r="V1371" s="5" t="str">
        <f aca="false">IF(B1371="","",TRIM(LEFT(B1371,IFERROR(FIND(" ",B1371)-1,LEN(B1371)))))</f>
        <v/>
      </c>
      <c r="W1371" s="22"/>
      <c r="X1371" s="5" t="str">
        <f aca="false">IF(A1371="","",IF(W1371&lt;&gt;"",W1371,V1371))</f>
        <v/>
      </c>
      <c r="Y1371" s="5" t="str">
        <f aca="false">IF(A1371="","",IF(COUNTIFS($X$2:$X$2001,X1371,$D$2:$D$2001,"&lt;&gt;"&amp;D1371,$C$2:$C$2001,C1371)&gt;0,"SIM","NAO"))</f>
        <v/>
      </c>
      <c r="Z1371" s="5" t="str">
        <f aca="false">IF(A1371="","",IF(J1371="","",IFERROR(360/J1371,"")))</f>
        <v/>
      </c>
      <c r="AA1371" s="5" t="str">
        <f aca="false">IF(A1371="","",IF(H1371=0,"Parado (sem venda 90d)",IF(Z1371&gt;12,"Alto (&gt;12x/ano)",IF(Z1371&gt;=4,"Medio (4-12x/ano)","Baixo (&lt;4x/ano)"))))</f>
        <v/>
      </c>
    </row>
    <row r="1372" customFormat="false" ht="15" hidden="false" customHeight="true" outlineLevel="0" collapsed="false">
      <c r="A1372" s="6"/>
      <c r="B1372" s="6"/>
      <c r="C1372" s="6"/>
      <c r="D1372" s="6"/>
      <c r="E1372" s="6"/>
      <c r="F1372" s="6"/>
      <c r="G1372" s="6"/>
      <c r="H1372" s="6"/>
      <c r="I1372" s="6"/>
      <c r="J1372" s="6"/>
      <c r="K1372" s="18"/>
      <c r="L1372" s="19" t="str">
        <f aca="false">IF(A1372="","",G1372*K1372)</f>
        <v/>
      </c>
      <c r="M1372" s="20"/>
      <c r="N1372" s="6"/>
      <c r="O1372" s="6"/>
      <c r="P1372" s="5" t="str">
        <f aca="false">IF(A1372="","",H1372/90)</f>
        <v/>
      </c>
      <c r="Q1372" s="5" t="str">
        <f aca="false">IF(A1372="","",IFERROR(INDEX(Parâmetros!$C$6:$C$10,MATCH(F1372,Parâmetros!$B$6:$B$10,0)),""))</f>
        <v/>
      </c>
      <c r="R1372" s="5" t="str">
        <f aca="false">IF(OR(A1372="",P1372="",Q1372=""),"",P1372*Q1372)</f>
        <v/>
      </c>
      <c r="S1372" s="5" t="str">
        <f aca="false">IF(R1372="","",MAX(0,R1372-G1372))</f>
        <v/>
      </c>
      <c r="T1372" s="21" t="str">
        <f aca="false">IF(S1372="","",S1372*K1372)</f>
        <v/>
      </c>
      <c r="U1372" s="5" t="str">
        <f aca="false">IF(A1372="","",IF(J1372&gt;Parâmetros!$C$14,"SIM","NAO"))</f>
        <v/>
      </c>
      <c r="V1372" s="5" t="str">
        <f aca="false">IF(B1372="","",TRIM(LEFT(B1372,IFERROR(FIND(" ",B1372)-1,LEN(B1372)))))</f>
        <v/>
      </c>
      <c r="W1372" s="22"/>
      <c r="X1372" s="5" t="str">
        <f aca="false">IF(A1372="","",IF(W1372&lt;&gt;"",W1372,V1372))</f>
        <v/>
      </c>
      <c r="Y1372" s="5" t="str">
        <f aca="false">IF(A1372="","",IF(COUNTIFS($X$2:$X$2001,X1372,$D$2:$D$2001,"&lt;&gt;"&amp;D1372,$C$2:$C$2001,C1372)&gt;0,"SIM","NAO"))</f>
        <v/>
      </c>
      <c r="Z1372" s="5" t="str">
        <f aca="false">IF(A1372="","",IF(J1372="","",IFERROR(360/J1372,"")))</f>
        <v/>
      </c>
      <c r="AA1372" s="5" t="str">
        <f aca="false">IF(A1372="","",IF(H1372=0,"Parado (sem venda 90d)",IF(Z1372&gt;12,"Alto (&gt;12x/ano)",IF(Z1372&gt;=4,"Medio (4-12x/ano)","Baixo (&lt;4x/ano)"))))</f>
        <v/>
      </c>
    </row>
    <row r="1373" customFormat="false" ht="15" hidden="false" customHeight="true" outlineLevel="0" collapsed="false">
      <c r="A1373" s="6"/>
      <c r="B1373" s="6"/>
      <c r="C1373" s="6"/>
      <c r="D1373" s="6"/>
      <c r="E1373" s="6"/>
      <c r="F1373" s="6"/>
      <c r="G1373" s="6"/>
      <c r="H1373" s="6"/>
      <c r="I1373" s="6"/>
      <c r="J1373" s="6"/>
      <c r="K1373" s="18"/>
      <c r="L1373" s="19" t="str">
        <f aca="false">IF(A1373="","",G1373*K1373)</f>
        <v/>
      </c>
      <c r="M1373" s="20"/>
      <c r="N1373" s="6"/>
      <c r="O1373" s="6"/>
      <c r="P1373" s="5" t="str">
        <f aca="false">IF(A1373="","",H1373/90)</f>
        <v/>
      </c>
      <c r="Q1373" s="5" t="str">
        <f aca="false">IF(A1373="","",IFERROR(INDEX(Parâmetros!$C$6:$C$10,MATCH(F1373,Parâmetros!$B$6:$B$10,0)),""))</f>
        <v/>
      </c>
      <c r="R1373" s="5" t="str">
        <f aca="false">IF(OR(A1373="",P1373="",Q1373=""),"",P1373*Q1373)</f>
        <v/>
      </c>
      <c r="S1373" s="5" t="str">
        <f aca="false">IF(R1373="","",MAX(0,R1373-G1373))</f>
        <v/>
      </c>
      <c r="T1373" s="21" t="str">
        <f aca="false">IF(S1373="","",S1373*K1373)</f>
        <v/>
      </c>
      <c r="U1373" s="5" t="str">
        <f aca="false">IF(A1373="","",IF(J1373&gt;Parâmetros!$C$14,"SIM","NAO"))</f>
        <v/>
      </c>
      <c r="V1373" s="5" t="str">
        <f aca="false">IF(B1373="","",TRIM(LEFT(B1373,IFERROR(FIND(" ",B1373)-1,LEN(B1373)))))</f>
        <v/>
      </c>
      <c r="W1373" s="22"/>
      <c r="X1373" s="5" t="str">
        <f aca="false">IF(A1373="","",IF(W1373&lt;&gt;"",W1373,V1373))</f>
        <v/>
      </c>
      <c r="Y1373" s="5" t="str">
        <f aca="false">IF(A1373="","",IF(COUNTIFS($X$2:$X$2001,X1373,$D$2:$D$2001,"&lt;&gt;"&amp;D1373,$C$2:$C$2001,C1373)&gt;0,"SIM","NAO"))</f>
        <v/>
      </c>
      <c r="Z1373" s="5" t="str">
        <f aca="false">IF(A1373="","",IF(J1373="","",IFERROR(360/J1373,"")))</f>
        <v/>
      </c>
      <c r="AA1373" s="5" t="str">
        <f aca="false">IF(A1373="","",IF(H1373=0,"Parado (sem venda 90d)",IF(Z1373&gt;12,"Alto (&gt;12x/ano)",IF(Z1373&gt;=4,"Medio (4-12x/ano)","Baixo (&lt;4x/ano)"))))</f>
        <v/>
      </c>
    </row>
    <row r="1374" customFormat="false" ht="15" hidden="false" customHeight="true" outlineLevel="0" collapsed="false">
      <c r="A1374" s="6"/>
      <c r="B1374" s="6"/>
      <c r="C1374" s="6"/>
      <c r="D1374" s="6"/>
      <c r="E1374" s="6"/>
      <c r="F1374" s="6"/>
      <c r="G1374" s="6"/>
      <c r="H1374" s="6"/>
      <c r="I1374" s="6"/>
      <c r="J1374" s="6"/>
      <c r="K1374" s="18"/>
      <c r="L1374" s="19" t="str">
        <f aca="false">IF(A1374="","",G1374*K1374)</f>
        <v/>
      </c>
      <c r="M1374" s="20"/>
      <c r="N1374" s="6"/>
      <c r="O1374" s="6"/>
      <c r="P1374" s="5" t="str">
        <f aca="false">IF(A1374="","",H1374/90)</f>
        <v/>
      </c>
      <c r="Q1374" s="5" t="str">
        <f aca="false">IF(A1374="","",IFERROR(INDEX(Parâmetros!$C$6:$C$10,MATCH(F1374,Parâmetros!$B$6:$B$10,0)),""))</f>
        <v/>
      </c>
      <c r="R1374" s="5" t="str">
        <f aca="false">IF(OR(A1374="",P1374="",Q1374=""),"",P1374*Q1374)</f>
        <v/>
      </c>
      <c r="S1374" s="5" t="str">
        <f aca="false">IF(R1374="","",MAX(0,R1374-G1374))</f>
        <v/>
      </c>
      <c r="T1374" s="21" t="str">
        <f aca="false">IF(S1374="","",S1374*K1374)</f>
        <v/>
      </c>
      <c r="U1374" s="5" t="str">
        <f aca="false">IF(A1374="","",IF(J1374&gt;Parâmetros!$C$14,"SIM","NAO"))</f>
        <v/>
      </c>
      <c r="V1374" s="5" t="str">
        <f aca="false">IF(B1374="","",TRIM(LEFT(B1374,IFERROR(FIND(" ",B1374)-1,LEN(B1374)))))</f>
        <v/>
      </c>
      <c r="W1374" s="22"/>
      <c r="X1374" s="5" t="str">
        <f aca="false">IF(A1374="","",IF(W1374&lt;&gt;"",W1374,V1374))</f>
        <v/>
      </c>
      <c r="Y1374" s="5" t="str">
        <f aca="false">IF(A1374="","",IF(COUNTIFS($X$2:$X$2001,X1374,$D$2:$D$2001,"&lt;&gt;"&amp;D1374,$C$2:$C$2001,C1374)&gt;0,"SIM","NAO"))</f>
        <v/>
      </c>
      <c r="Z1374" s="5" t="str">
        <f aca="false">IF(A1374="","",IF(J1374="","",IFERROR(360/J1374,"")))</f>
        <v/>
      </c>
      <c r="AA1374" s="5" t="str">
        <f aca="false">IF(A1374="","",IF(H1374=0,"Parado (sem venda 90d)",IF(Z1374&gt;12,"Alto (&gt;12x/ano)",IF(Z1374&gt;=4,"Medio (4-12x/ano)","Baixo (&lt;4x/ano)"))))</f>
        <v/>
      </c>
    </row>
    <row r="1375" customFormat="false" ht="15" hidden="false" customHeight="true" outlineLevel="0" collapsed="false">
      <c r="A1375" s="6"/>
      <c r="B1375" s="6"/>
      <c r="C1375" s="6"/>
      <c r="D1375" s="6"/>
      <c r="E1375" s="6"/>
      <c r="F1375" s="6"/>
      <c r="G1375" s="6"/>
      <c r="H1375" s="6"/>
      <c r="I1375" s="6"/>
      <c r="J1375" s="6"/>
      <c r="K1375" s="18"/>
      <c r="L1375" s="19" t="str">
        <f aca="false">IF(A1375="","",G1375*K1375)</f>
        <v/>
      </c>
      <c r="M1375" s="20"/>
      <c r="N1375" s="6"/>
      <c r="O1375" s="6"/>
      <c r="P1375" s="5" t="str">
        <f aca="false">IF(A1375="","",H1375/90)</f>
        <v/>
      </c>
      <c r="Q1375" s="5" t="str">
        <f aca="false">IF(A1375="","",IFERROR(INDEX(Parâmetros!$C$6:$C$10,MATCH(F1375,Parâmetros!$B$6:$B$10,0)),""))</f>
        <v/>
      </c>
      <c r="R1375" s="5" t="str">
        <f aca="false">IF(OR(A1375="",P1375="",Q1375=""),"",P1375*Q1375)</f>
        <v/>
      </c>
      <c r="S1375" s="5" t="str">
        <f aca="false">IF(R1375="","",MAX(0,R1375-G1375))</f>
        <v/>
      </c>
      <c r="T1375" s="21" t="str">
        <f aca="false">IF(S1375="","",S1375*K1375)</f>
        <v/>
      </c>
      <c r="U1375" s="5" t="str">
        <f aca="false">IF(A1375="","",IF(J1375&gt;Parâmetros!$C$14,"SIM","NAO"))</f>
        <v/>
      </c>
      <c r="V1375" s="5" t="str">
        <f aca="false">IF(B1375="","",TRIM(LEFT(B1375,IFERROR(FIND(" ",B1375)-1,LEN(B1375)))))</f>
        <v/>
      </c>
      <c r="W1375" s="22"/>
      <c r="X1375" s="5" t="str">
        <f aca="false">IF(A1375="","",IF(W1375&lt;&gt;"",W1375,V1375))</f>
        <v/>
      </c>
      <c r="Y1375" s="5" t="str">
        <f aca="false">IF(A1375="","",IF(COUNTIFS($X$2:$X$2001,X1375,$D$2:$D$2001,"&lt;&gt;"&amp;D1375,$C$2:$C$2001,C1375)&gt;0,"SIM","NAO"))</f>
        <v/>
      </c>
      <c r="Z1375" s="5" t="str">
        <f aca="false">IF(A1375="","",IF(J1375="","",IFERROR(360/J1375,"")))</f>
        <v/>
      </c>
      <c r="AA1375" s="5" t="str">
        <f aca="false">IF(A1375="","",IF(H1375=0,"Parado (sem venda 90d)",IF(Z1375&gt;12,"Alto (&gt;12x/ano)",IF(Z1375&gt;=4,"Medio (4-12x/ano)","Baixo (&lt;4x/ano)"))))</f>
        <v/>
      </c>
    </row>
    <row r="1376" customFormat="false" ht="15" hidden="false" customHeight="true" outlineLevel="0" collapsed="false">
      <c r="A1376" s="6"/>
      <c r="B1376" s="6"/>
      <c r="C1376" s="6"/>
      <c r="D1376" s="6"/>
      <c r="E1376" s="6"/>
      <c r="F1376" s="6"/>
      <c r="G1376" s="6"/>
      <c r="H1376" s="6"/>
      <c r="I1376" s="6"/>
      <c r="J1376" s="6"/>
      <c r="K1376" s="18"/>
      <c r="L1376" s="19" t="str">
        <f aca="false">IF(A1376="","",G1376*K1376)</f>
        <v/>
      </c>
      <c r="M1376" s="20"/>
      <c r="N1376" s="6"/>
      <c r="O1376" s="6"/>
      <c r="P1376" s="5" t="str">
        <f aca="false">IF(A1376="","",H1376/90)</f>
        <v/>
      </c>
      <c r="Q1376" s="5" t="str">
        <f aca="false">IF(A1376="","",IFERROR(INDEX(Parâmetros!$C$6:$C$10,MATCH(F1376,Parâmetros!$B$6:$B$10,0)),""))</f>
        <v/>
      </c>
      <c r="R1376" s="5" t="str">
        <f aca="false">IF(OR(A1376="",P1376="",Q1376=""),"",P1376*Q1376)</f>
        <v/>
      </c>
      <c r="S1376" s="5" t="str">
        <f aca="false">IF(R1376="","",MAX(0,R1376-G1376))</f>
        <v/>
      </c>
      <c r="T1376" s="21" t="str">
        <f aca="false">IF(S1376="","",S1376*K1376)</f>
        <v/>
      </c>
      <c r="U1376" s="5" t="str">
        <f aca="false">IF(A1376="","",IF(J1376&gt;Parâmetros!$C$14,"SIM","NAO"))</f>
        <v/>
      </c>
      <c r="V1376" s="5" t="str">
        <f aca="false">IF(B1376="","",TRIM(LEFT(B1376,IFERROR(FIND(" ",B1376)-1,LEN(B1376)))))</f>
        <v/>
      </c>
      <c r="W1376" s="22"/>
      <c r="X1376" s="5" t="str">
        <f aca="false">IF(A1376="","",IF(W1376&lt;&gt;"",W1376,V1376))</f>
        <v/>
      </c>
      <c r="Y1376" s="5" t="str">
        <f aca="false">IF(A1376="","",IF(COUNTIFS($X$2:$X$2001,X1376,$D$2:$D$2001,"&lt;&gt;"&amp;D1376,$C$2:$C$2001,C1376)&gt;0,"SIM","NAO"))</f>
        <v/>
      </c>
      <c r="Z1376" s="5" t="str">
        <f aca="false">IF(A1376="","",IF(J1376="","",IFERROR(360/J1376,"")))</f>
        <v/>
      </c>
      <c r="AA1376" s="5" t="str">
        <f aca="false">IF(A1376="","",IF(H1376=0,"Parado (sem venda 90d)",IF(Z1376&gt;12,"Alto (&gt;12x/ano)",IF(Z1376&gt;=4,"Medio (4-12x/ano)","Baixo (&lt;4x/ano)"))))</f>
        <v/>
      </c>
    </row>
    <row r="1377" customFormat="false" ht="15" hidden="false" customHeight="true" outlineLevel="0" collapsed="false">
      <c r="A1377" s="6"/>
      <c r="B1377" s="6"/>
      <c r="C1377" s="6"/>
      <c r="D1377" s="6"/>
      <c r="E1377" s="6"/>
      <c r="F1377" s="6"/>
      <c r="G1377" s="6"/>
      <c r="H1377" s="6"/>
      <c r="I1377" s="6"/>
      <c r="J1377" s="6"/>
      <c r="K1377" s="18"/>
      <c r="L1377" s="19" t="str">
        <f aca="false">IF(A1377="","",G1377*K1377)</f>
        <v/>
      </c>
      <c r="M1377" s="20"/>
      <c r="N1377" s="6"/>
      <c r="O1377" s="6"/>
      <c r="P1377" s="5" t="str">
        <f aca="false">IF(A1377="","",H1377/90)</f>
        <v/>
      </c>
      <c r="Q1377" s="5" t="str">
        <f aca="false">IF(A1377="","",IFERROR(INDEX(Parâmetros!$C$6:$C$10,MATCH(F1377,Parâmetros!$B$6:$B$10,0)),""))</f>
        <v/>
      </c>
      <c r="R1377" s="5" t="str">
        <f aca="false">IF(OR(A1377="",P1377="",Q1377=""),"",P1377*Q1377)</f>
        <v/>
      </c>
      <c r="S1377" s="5" t="str">
        <f aca="false">IF(R1377="","",MAX(0,R1377-G1377))</f>
        <v/>
      </c>
      <c r="T1377" s="21" t="str">
        <f aca="false">IF(S1377="","",S1377*K1377)</f>
        <v/>
      </c>
      <c r="U1377" s="5" t="str">
        <f aca="false">IF(A1377="","",IF(J1377&gt;Parâmetros!$C$14,"SIM","NAO"))</f>
        <v/>
      </c>
      <c r="V1377" s="5" t="str">
        <f aca="false">IF(B1377="","",TRIM(LEFT(B1377,IFERROR(FIND(" ",B1377)-1,LEN(B1377)))))</f>
        <v/>
      </c>
      <c r="W1377" s="22"/>
      <c r="X1377" s="5" t="str">
        <f aca="false">IF(A1377="","",IF(W1377&lt;&gt;"",W1377,V1377))</f>
        <v/>
      </c>
      <c r="Y1377" s="5" t="str">
        <f aca="false">IF(A1377="","",IF(COUNTIFS($X$2:$X$2001,X1377,$D$2:$D$2001,"&lt;&gt;"&amp;D1377,$C$2:$C$2001,C1377)&gt;0,"SIM","NAO"))</f>
        <v/>
      </c>
      <c r="Z1377" s="5" t="str">
        <f aca="false">IF(A1377="","",IF(J1377="","",IFERROR(360/J1377,"")))</f>
        <v/>
      </c>
      <c r="AA1377" s="5" t="str">
        <f aca="false">IF(A1377="","",IF(H1377=0,"Parado (sem venda 90d)",IF(Z1377&gt;12,"Alto (&gt;12x/ano)",IF(Z1377&gt;=4,"Medio (4-12x/ano)","Baixo (&lt;4x/ano)"))))</f>
        <v/>
      </c>
    </row>
    <row r="1378" customFormat="false" ht="15" hidden="false" customHeight="true" outlineLevel="0" collapsed="false">
      <c r="A1378" s="6"/>
      <c r="B1378" s="6"/>
      <c r="C1378" s="6"/>
      <c r="D1378" s="6"/>
      <c r="E1378" s="6"/>
      <c r="F1378" s="6"/>
      <c r="G1378" s="6"/>
      <c r="H1378" s="6"/>
      <c r="I1378" s="6"/>
      <c r="J1378" s="6"/>
      <c r="K1378" s="18"/>
      <c r="L1378" s="19" t="str">
        <f aca="false">IF(A1378="","",G1378*K1378)</f>
        <v/>
      </c>
      <c r="M1378" s="20"/>
      <c r="N1378" s="6"/>
      <c r="O1378" s="6"/>
      <c r="P1378" s="5" t="str">
        <f aca="false">IF(A1378="","",H1378/90)</f>
        <v/>
      </c>
      <c r="Q1378" s="5" t="str">
        <f aca="false">IF(A1378="","",IFERROR(INDEX(Parâmetros!$C$6:$C$10,MATCH(F1378,Parâmetros!$B$6:$B$10,0)),""))</f>
        <v/>
      </c>
      <c r="R1378" s="5" t="str">
        <f aca="false">IF(OR(A1378="",P1378="",Q1378=""),"",P1378*Q1378)</f>
        <v/>
      </c>
      <c r="S1378" s="5" t="str">
        <f aca="false">IF(R1378="","",MAX(0,R1378-G1378))</f>
        <v/>
      </c>
      <c r="T1378" s="21" t="str">
        <f aca="false">IF(S1378="","",S1378*K1378)</f>
        <v/>
      </c>
      <c r="U1378" s="5" t="str">
        <f aca="false">IF(A1378="","",IF(J1378&gt;Parâmetros!$C$14,"SIM","NAO"))</f>
        <v/>
      </c>
      <c r="V1378" s="5" t="str">
        <f aca="false">IF(B1378="","",TRIM(LEFT(B1378,IFERROR(FIND(" ",B1378)-1,LEN(B1378)))))</f>
        <v/>
      </c>
      <c r="W1378" s="22"/>
      <c r="X1378" s="5" t="str">
        <f aca="false">IF(A1378="","",IF(W1378&lt;&gt;"",W1378,V1378))</f>
        <v/>
      </c>
      <c r="Y1378" s="5" t="str">
        <f aca="false">IF(A1378="","",IF(COUNTIFS($X$2:$X$2001,X1378,$D$2:$D$2001,"&lt;&gt;"&amp;D1378,$C$2:$C$2001,C1378)&gt;0,"SIM","NAO"))</f>
        <v/>
      </c>
      <c r="Z1378" s="5" t="str">
        <f aca="false">IF(A1378="","",IF(J1378="","",IFERROR(360/J1378,"")))</f>
        <v/>
      </c>
      <c r="AA1378" s="5" t="str">
        <f aca="false">IF(A1378="","",IF(H1378=0,"Parado (sem venda 90d)",IF(Z1378&gt;12,"Alto (&gt;12x/ano)",IF(Z1378&gt;=4,"Medio (4-12x/ano)","Baixo (&lt;4x/ano)"))))</f>
        <v/>
      </c>
    </row>
    <row r="1379" customFormat="false" ht="15" hidden="false" customHeight="true" outlineLevel="0" collapsed="false">
      <c r="A1379" s="6"/>
      <c r="B1379" s="6"/>
      <c r="C1379" s="6"/>
      <c r="D1379" s="6"/>
      <c r="E1379" s="6"/>
      <c r="F1379" s="6"/>
      <c r="G1379" s="6"/>
      <c r="H1379" s="6"/>
      <c r="I1379" s="6"/>
      <c r="J1379" s="6"/>
      <c r="K1379" s="18"/>
      <c r="L1379" s="19" t="str">
        <f aca="false">IF(A1379="","",G1379*K1379)</f>
        <v/>
      </c>
      <c r="M1379" s="20"/>
      <c r="N1379" s="6"/>
      <c r="O1379" s="6"/>
      <c r="P1379" s="5" t="str">
        <f aca="false">IF(A1379="","",H1379/90)</f>
        <v/>
      </c>
      <c r="Q1379" s="5" t="str">
        <f aca="false">IF(A1379="","",IFERROR(INDEX(Parâmetros!$C$6:$C$10,MATCH(F1379,Parâmetros!$B$6:$B$10,0)),""))</f>
        <v/>
      </c>
      <c r="R1379" s="5" t="str">
        <f aca="false">IF(OR(A1379="",P1379="",Q1379=""),"",P1379*Q1379)</f>
        <v/>
      </c>
      <c r="S1379" s="5" t="str">
        <f aca="false">IF(R1379="","",MAX(0,R1379-G1379))</f>
        <v/>
      </c>
      <c r="T1379" s="21" t="str">
        <f aca="false">IF(S1379="","",S1379*K1379)</f>
        <v/>
      </c>
      <c r="U1379" s="5" t="str">
        <f aca="false">IF(A1379="","",IF(J1379&gt;Parâmetros!$C$14,"SIM","NAO"))</f>
        <v/>
      </c>
      <c r="V1379" s="5" t="str">
        <f aca="false">IF(B1379="","",TRIM(LEFT(B1379,IFERROR(FIND(" ",B1379)-1,LEN(B1379)))))</f>
        <v/>
      </c>
      <c r="W1379" s="22"/>
      <c r="X1379" s="5" t="str">
        <f aca="false">IF(A1379="","",IF(W1379&lt;&gt;"",W1379,V1379))</f>
        <v/>
      </c>
      <c r="Y1379" s="5" t="str">
        <f aca="false">IF(A1379="","",IF(COUNTIFS($X$2:$X$2001,X1379,$D$2:$D$2001,"&lt;&gt;"&amp;D1379,$C$2:$C$2001,C1379)&gt;0,"SIM","NAO"))</f>
        <v/>
      </c>
      <c r="Z1379" s="5" t="str">
        <f aca="false">IF(A1379="","",IF(J1379="","",IFERROR(360/J1379,"")))</f>
        <v/>
      </c>
      <c r="AA1379" s="5" t="str">
        <f aca="false">IF(A1379="","",IF(H1379=0,"Parado (sem venda 90d)",IF(Z1379&gt;12,"Alto (&gt;12x/ano)",IF(Z1379&gt;=4,"Medio (4-12x/ano)","Baixo (&lt;4x/ano)"))))</f>
        <v/>
      </c>
    </row>
    <row r="1380" customFormat="false" ht="15" hidden="false" customHeight="true" outlineLevel="0" collapsed="false">
      <c r="A1380" s="6"/>
      <c r="B1380" s="6"/>
      <c r="C1380" s="6"/>
      <c r="D1380" s="6"/>
      <c r="E1380" s="6"/>
      <c r="F1380" s="6"/>
      <c r="G1380" s="6"/>
      <c r="H1380" s="6"/>
      <c r="I1380" s="6"/>
      <c r="J1380" s="6"/>
      <c r="K1380" s="18"/>
      <c r="L1380" s="19" t="str">
        <f aca="false">IF(A1380="","",G1380*K1380)</f>
        <v/>
      </c>
      <c r="M1380" s="20"/>
      <c r="N1380" s="6"/>
      <c r="O1380" s="6"/>
      <c r="P1380" s="5" t="str">
        <f aca="false">IF(A1380="","",H1380/90)</f>
        <v/>
      </c>
      <c r="Q1380" s="5" t="str">
        <f aca="false">IF(A1380="","",IFERROR(INDEX(Parâmetros!$C$6:$C$10,MATCH(F1380,Parâmetros!$B$6:$B$10,0)),""))</f>
        <v/>
      </c>
      <c r="R1380" s="5" t="str">
        <f aca="false">IF(OR(A1380="",P1380="",Q1380=""),"",P1380*Q1380)</f>
        <v/>
      </c>
      <c r="S1380" s="5" t="str">
        <f aca="false">IF(R1380="","",MAX(0,R1380-G1380))</f>
        <v/>
      </c>
      <c r="T1380" s="21" t="str">
        <f aca="false">IF(S1380="","",S1380*K1380)</f>
        <v/>
      </c>
      <c r="U1380" s="5" t="str">
        <f aca="false">IF(A1380="","",IF(J1380&gt;Parâmetros!$C$14,"SIM","NAO"))</f>
        <v/>
      </c>
      <c r="V1380" s="5" t="str">
        <f aca="false">IF(B1380="","",TRIM(LEFT(B1380,IFERROR(FIND(" ",B1380)-1,LEN(B1380)))))</f>
        <v/>
      </c>
      <c r="W1380" s="22"/>
      <c r="X1380" s="5" t="str">
        <f aca="false">IF(A1380="","",IF(W1380&lt;&gt;"",W1380,V1380))</f>
        <v/>
      </c>
      <c r="Y1380" s="5" t="str">
        <f aca="false">IF(A1380="","",IF(COUNTIFS($X$2:$X$2001,X1380,$D$2:$D$2001,"&lt;&gt;"&amp;D1380,$C$2:$C$2001,C1380)&gt;0,"SIM","NAO"))</f>
        <v/>
      </c>
      <c r="Z1380" s="5" t="str">
        <f aca="false">IF(A1380="","",IF(J1380="","",IFERROR(360/J1380,"")))</f>
        <v/>
      </c>
      <c r="AA1380" s="5" t="str">
        <f aca="false">IF(A1380="","",IF(H1380=0,"Parado (sem venda 90d)",IF(Z1380&gt;12,"Alto (&gt;12x/ano)",IF(Z1380&gt;=4,"Medio (4-12x/ano)","Baixo (&lt;4x/ano)"))))</f>
        <v/>
      </c>
    </row>
    <row r="1381" customFormat="false" ht="15" hidden="false" customHeight="true" outlineLevel="0" collapsed="false">
      <c r="A1381" s="6"/>
      <c r="B1381" s="6"/>
      <c r="C1381" s="6"/>
      <c r="D1381" s="6"/>
      <c r="E1381" s="6"/>
      <c r="F1381" s="6"/>
      <c r="G1381" s="6"/>
      <c r="H1381" s="6"/>
      <c r="I1381" s="6"/>
      <c r="J1381" s="6"/>
      <c r="K1381" s="18"/>
      <c r="L1381" s="19" t="str">
        <f aca="false">IF(A1381="","",G1381*K1381)</f>
        <v/>
      </c>
      <c r="M1381" s="20"/>
      <c r="N1381" s="6"/>
      <c r="O1381" s="6"/>
      <c r="P1381" s="5" t="str">
        <f aca="false">IF(A1381="","",H1381/90)</f>
        <v/>
      </c>
      <c r="Q1381" s="5" t="str">
        <f aca="false">IF(A1381="","",IFERROR(INDEX(Parâmetros!$C$6:$C$10,MATCH(F1381,Parâmetros!$B$6:$B$10,0)),""))</f>
        <v/>
      </c>
      <c r="R1381" s="5" t="str">
        <f aca="false">IF(OR(A1381="",P1381="",Q1381=""),"",P1381*Q1381)</f>
        <v/>
      </c>
      <c r="S1381" s="5" t="str">
        <f aca="false">IF(R1381="","",MAX(0,R1381-G1381))</f>
        <v/>
      </c>
      <c r="T1381" s="21" t="str">
        <f aca="false">IF(S1381="","",S1381*K1381)</f>
        <v/>
      </c>
      <c r="U1381" s="5" t="str">
        <f aca="false">IF(A1381="","",IF(J1381&gt;Parâmetros!$C$14,"SIM","NAO"))</f>
        <v/>
      </c>
      <c r="V1381" s="5" t="str">
        <f aca="false">IF(B1381="","",TRIM(LEFT(B1381,IFERROR(FIND(" ",B1381)-1,LEN(B1381)))))</f>
        <v/>
      </c>
      <c r="W1381" s="22"/>
      <c r="X1381" s="5" t="str">
        <f aca="false">IF(A1381="","",IF(W1381&lt;&gt;"",W1381,V1381))</f>
        <v/>
      </c>
      <c r="Y1381" s="5" t="str">
        <f aca="false">IF(A1381="","",IF(COUNTIFS($X$2:$X$2001,X1381,$D$2:$D$2001,"&lt;&gt;"&amp;D1381,$C$2:$C$2001,C1381)&gt;0,"SIM","NAO"))</f>
        <v/>
      </c>
      <c r="Z1381" s="5" t="str">
        <f aca="false">IF(A1381="","",IF(J1381="","",IFERROR(360/J1381,"")))</f>
        <v/>
      </c>
      <c r="AA1381" s="5" t="str">
        <f aca="false">IF(A1381="","",IF(H1381=0,"Parado (sem venda 90d)",IF(Z1381&gt;12,"Alto (&gt;12x/ano)",IF(Z1381&gt;=4,"Medio (4-12x/ano)","Baixo (&lt;4x/ano)"))))</f>
        <v/>
      </c>
    </row>
    <row r="1382" customFormat="false" ht="15" hidden="false" customHeight="true" outlineLevel="0" collapsed="false">
      <c r="A1382" s="6"/>
      <c r="B1382" s="6"/>
      <c r="C1382" s="6"/>
      <c r="D1382" s="6"/>
      <c r="E1382" s="6"/>
      <c r="F1382" s="6"/>
      <c r="G1382" s="6"/>
      <c r="H1382" s="6"/>
      <c r="I1382" s="6"/>
      <c r="J1382" s="6"/>
      <c r="K1382" s="18"/>
      <c r="L1382" s="19" t="str">
        <f aca="false">IF(A1382="","",G1382*K1382)</f>
        <v/>
      </c>
      <c r="M1382" s="20"/>
      <c r="N1382" s="6"/>
      <c r="O1382" s="6"/>
      <c r="P1382" s="5" t="str">
        <f aca="false">IF(A1382="","",H1382/90)</f>
        <v/>
      </c>
      <c r="Q1382" s="5" t="str">
        <f aca="false">IF(A1382="","",IFERROR(INDEX(Parâmetros!$C$6:$C$10,MATCH(F1382,Parâmetros!$B$6:$B$10,0)),""))</f>
        <v/>
      </c>
      <c r="R1382" s="5" t="str">
        <f aca="false">IF(OR(A1382="",P1382="",Q1382=""),"",P1382*Q1382)</f>
        <v/>
      </c>
      <c r="S1382" s="5" t="str">
        <f aca="false">IF(R1382="","",MAX(0,R1382-G1382))</f>
        <v/>
      </c>
      <c r="T1382" s="21" t="str">
        <f aca="false">IF(S1382="","",S1382*K1382)</f>
        <v/>
      </c>
      <c r="U1382" s="5" t="str">
        <f aca="false">IF(A1382="","",IF(J1382&gt;Parâmetros!$C$14,"SIM","NAO"))</f>
        <v/>
      </c>
      <c r="V1382" s="5" t="str">
        <f aca="false">IF(B1382="","",TRIM(LEFT(B1382,IFERROR(FIND(" ",B1382)-1,LEN(B1382)))))</f>
        <v/>
      </c>
      <c r="W1382" s="22"/>
      <c r="X1382" s="5" t="str">
        <f aca="false">IF(A1382="","",IF(W1382&lt;&gt;"",W1382,V1382))</f>
        <v/>
      </c>
      <c r="Y1382" s="5" t="str">
        <f aca="false">IF(A1382="","",IF(COUNTIFS($X$2:$X$2001,X1382,$D$2:$D$2001,"&lt;&gt;"&amp;D1382,$C$2:$C$2001,C1382)&gt;0,"SIM","NAO"))</f>
        <v/>
      </c>
      <c r="Z1382" s="5" t="str">
        <f aca="false">IF(A1382="","",IF(J1382="","",IFERROR(360/J1382,"")))</f>
        <v/>
      </c>
      <c r="AA1382" s="5" t="str">
        <f aca="false">IF(A1382="","",IF(H1382=0,"Parado (sem venda 90d)",IF(Z1382&gt;12,"Alto (&gt;12x/ano)",IF(Z1382&gt;=4,"Medio (4-12x/ano)","Baixo (&lt;4x/ano)"))))</f>
        <v/>
      </c>
    </row>
    <row r="1383" customFormat="false" ht="15" hidden="false" customHeight="true" outlineLevel="0" collapsed="false">
      <c r="A1383" s="6"/>
      <c r="B1383" s="6"/>
      <c r="C1383" s="6"/>
      <c r="D1383" s="6"/>
      <c r="E1383" s="6"/>
      <c r="F1383" s="6"/>
      <c r="G1383" s="6"/>
      <c r="H1383" s="6"/>
      <c r="I1383" s="6"/>
      <c r="J1383" s="6"/>
      <c r="K1383" s="18"/>
      <c r="L1383" s="19" t="str">
        <f aca="false">IF(A1383="","",G1383*K1383)</f>
        <v/>
      </c>
      <c r="M1383" s="20"/>
      <c r="N1383" s="6"/>
      <c r="O1383" s="6"/>
      <c r="P1383" s="5" t="str">
        <f aca="false">IF(A1383="","",H1383/90)</f>
        <v/>
      </c>
      <c r="Q1383" s="5" t="str">
        <f aca="false">IF(A1383="","",IFERROR(INDEX(Parâmetros!$C$6:$C$10,MATCH(F1383,Parâmetros!$B$6:$B$10,0)),""))</f>
        <v/>
      </c>
      <c r="R1383" s="5" t="str">
        <f aca="false">IF(OR(A1383="",P1383="",Q1383=""),"",P1383*Q1383)</f>
        <v/>
      </c>
      <c r="S1383" s="5" t="str">
        <f aca="false">IF(R1383="","",MAX(0,R1383-G1383))</f>
        <v/>
      </c>
      <c r="T1383" s="21" t="str">
        <f aca="false">IF(S1383="","",S1383*K1383)</f>
        <v/>
      </c>
      <c r="U1383" s="5" t="str">
        <f aca="false">IF(A1383="","",IF(J1383&gt;Parâmetros!$C$14,"SIM","NAO"))</f>
        <v/>
      </c>
      <c r="V1383" s="5" t="str">
        <f aca="false">IF(B1383="","",TRIM(LEFT(B1383,IFERROR(FIND(" ",B1383)-1,LEN(B1383)))))</f>
        <v/>
      </c>
      <c r="W1383" s="22"/>
      <c r="X1383" s="5" t="str">
        <f aca="false">IF(A1383="","",IF(W1383&lt;&gt;"",W1383,V1383))</f>
        <v/>
      </c>
      <c r="Y1383" s="5" t="str">
        <f aca="false">IF(A1383="","",IF(COUNTIFS($X$2:$X$2001,X1383,$D$2:$D$2001,"&lt;&gt;"&amp;D1383,$C$2:$C$2001,C1383)&gt;0,"SIM","NAO"))</f>
        <v/>
      </c>
      <c r="Z1383" s="5" t="str">
        <f aca="false">IF(A1383="","",IF(J1383="","",IFERROR(360/J1383,"")))</f>
        <v/>
      </c>
      <c r="AA1383" s="5" t="str">
        <f aca="false">IF(A1383="","",IF(H1383=0,"Parado (sem venda 90d)",IF(Z1383&gt;12,"Alto (&gt;12x/ano)",IF(Z1383&gt;=4,"Medio (4-12x/ano)","Baixo (&lt;4x/ano)"))))</f>
        <v/>
      </c>
    </row>
    <row r="1384" customFormat="false" ht="15" hidden="false" customHeight="true" outlineLevel="0" collapsed="false">
      <c r="A1384" s="6"/>
      <c r="B1384" s="6"/>
      <c r="C1384" s="6"/>
      <c r="D1384" s="6"/>
      <c r="E1384" s="6"/>
      <c r="F1384" s="6"/>
      <c r="G1384" s="6"/>
      <c r="H1384" s="6"/>
      <c r="I1384" s="6"/>
      <c r="J1384" s="6"/>
      <c r="K1384" s="18"/>
      <c r="L1384" s="19" t="str">
        <f aca="false">IF(A1384="","",G1384*K1384)</f>
        <v/>
      </c>
      <c r="M1384" s="20"/>
      <c r="N1384" s="6"/>
      <c r="O1384" s="6"/>
      <c r="P1384" s="5" t="str">
        <f aca="false">IF(A1384="","",H1384/90)</f>
        <v/>
      </c>
      <c r="Q1384" s="5" t="str">
        <f aca="false">IF(A1384="","",IFERROR(INDEX(Parâmetros!$C$6:$C$10,MATCH(F1384,Parâmetros!$B$6:$B$10,0)),""))</f>
        <v/>
      </c>
      <c r="R1384" s="5" t="str">
        <f aca="false">IF(OR(A1384="",P1384="",Q1384=""),"",P1384*Q1384)</f>
        <v/>
      </c>
      <c r="S1384" s="5" t="str">
        <f aca="false">IF(R1384="","",MAX(0,R1384-G1384))</f>
        <v/>
      </c>
      <c r="T1384" s="21" t="str">
        <f aca="false">IF(S1384="","",S1384*K1384)</f>
        <v/>
      </c>
      <c r="U1384" s="5" t="str">
        <f aca="false">IF(A1384="","",IF(J1384&gt;Parâmetros!$C$14,"SIM","NAO"))</f>
        <v/>
      </c>
      <c r="V1384" s="5" t="str">
        <f aca="false">IF(B1384="","",TRIM(LEFT(B1384,IFERROR(FIND(" ",B1384)-1,LEN(B1384)))))</f>
        <v/>
      </c>
      <c r="W1384" s="22"/>
      <c r="X1384" s="5" t="str">
        <f aca="false">IF(A1384="","",IF(W1384&lt;&gt;"",W1384,V1384))</f>
        <v/>
      </c>
      <c r="Y1384" s="5" t="str">
        <f aca="false">IF(A1384="","",IF(COUNTIFS($X$2:$X$2001,X1384,$D$2:$D$2001,"&lt;&gt;"&amp;D1384,$C$2:$C$2001,C1384)&gt;0,"SIM","NAO"))</f>
        <v/>
      </c>
      <c r="Z1384" s="5" t="str">
        <f aca="false">IF(A1384="","",IF(J1384="","",IFERROR(360/J1384,"")))</f>
        <v/>
      </c>
      <c r="AA1384" s="5" t="str">
        <f aca="false">IF(A1384="","",IF(H1384=0,"Parado (sem venda 90d)",IF(Z1384&gt;12,"Alto (&gt;12x/ano)",IF(Z1384&gt;=4,"Medio (4-12x/ano)","Baixo (&lt;4x/ano)"))))</f>
        <v/>
      </c>
    </row>
    <row r="1385" customFormat="false" ht="15" hidden="false" customHeight="true" outlineLevel="0" collapsed="false">
      <c r="A1385" s="6"/>
      <c r="B1385" s="6"/>
      <c r="C1385" s="6"/>
      <c r="D1385" s="6"/>
      <c r="E1385" s="6"/>
      <c r="F1385" s="6"/>
      <c r="G1385" s="6"/>
      <c r="H1385" s="6"/>
      <c r="I1385" s="6"/>
      <c r="J1385" s="6"/>
      <c r="K1385" s="18"/>
      <c r="L1385" s="19" t="str">
        <f aca="false">IF(A1385="","",G1385*K1385)</f>
        <v/>
      </c>
      <c r="M1385" s="20"/>
      <c r="N1385" s="6"/>
      <c r="O1385" s="6"/>
      <c r="P1385" s="5" t="str">
        <f aca="false">IF(A1385="","",H1385/90)</f>
        <v/>
      </c>
      <c r="Q1385" s="5" t="str">
        <f aca="false">IF(A1385="","",IFERROR(INDEX(Parâmetros!$C$6:$C$10,MATCH(F1385,Parâmetros!$B$6:$B$10,0)),""))</f>
        <v/>
      </c>
      <c r="R1385" s="5" t="str">
        <f aca="false">IF(OR(A1385="",P1385="",Q1385=""),"",P1385*Q1385)</f>
        <v/>
      </c>
      <c r="S1385" s="5" t="str">
        <f aca="false">IF(R1385="","",MAX(0,R1385-G1385))</f>
        <v/>
      </c>
      <c r="T1385" s="21" t="str">
        <f aca="false">IF(S1385="","",S1385*K1385)</f>
        <v/>
      </c>
      <c r="U1385" s="5" t="str">
        <f aca="false">IF(A1385="","",IF(J1385&gt;Parâmetros!$C$14,"SIM","NAO"))</f>
        <v/>
      </c>
      <c r="V1385" s="5" t="str">
        <f aca="false">IF(B1385="","",TRIM(LEFT(B1385,IFERROR(FIND(" ",B1385)-1,LEN(B1385)))))</f>
        <v/>
      </c>
      <c r="W1385" s="22"/>
      <c r="X1385" s="5" t="str">
        <f aca="false">IF(A1385="","",IF(W1385&lt;&gt;"",W1385,V1385))</f>
        <v/>
      </c>
      <c r="Y1385" s="5" t="str">
        <f aca="false">IF(A1385="","",IF(COUNTIFS($X$2:$X$2001,X1385,$D$2:$D$2001,"&lt;&gt;"&amp;D1385,$C$2:$C$2001,C1385)&gt;0,"SIM","NAO"))</f>
        <v/>
      </c>
      <c r="Z1385" s="5" t="str">
        <f aca="false">IF(A1385="","",IF(J1385="","",IFERROR(360/J1385,"")))</f>
        <v/>
      </c>
      <c r="AA1385" s="5" t="str">
        <f aca="false">IF(A1385="","",IF(H1385=0,"Parado (sem venda 90d)",IF(Z1385&gt;12,"Alto (&gt;12x/ano)",IF(Z1385&gt;=4,"Medio (4-12x/ano)","Baixo (&lt;4x/ano)"))))</f>
        <v/>
      </c>
    </row>
    <row r="1386" customFormat="false" ht="15" hidden="false" customHeight="true" outlineLevel="0" collapsed="false">
      <c r="A1386" s="6"/>
      <c r="B1386" s="6"/>
      <c r="C1386" s="6"/>
      <c r="D1386" s="6"/>
      <c r="E1386" s="6"/>
      <c r="F1386" s="6"/>
      <c r="G1386" s="6"/>
      <c r="H1386" s="6"/>
      <c r="I1386" s="6"/>
      <c r="J1386" s="6"/>
      <c r="K1386" s="18"/>
      <c r="L1386" s="19" t="str">
        <f aca="false">IF(A1386="","",G1386*K1386)</f>
        <v/>
      </c>
      <c r="M1386" s="20"/>
      <c r="N1386" s="6"/>
      <c r="O1386" s="6"/>
      <c r="P1386" s="5" t="str">
        <f aca="false">IF(A1386="","",H1386/90)</f>
        <v/>
      </c>
      <c r="Q1386" s="5" t="str">
        <f aca="false">IF(A1386="","",IFERROR(INDEX(Parâmetros!$C$6:$C$10,MATCH(F1386,Parâmetros!$B$6:$B$10,0)),""))</f>
        <v/>
      </c>
      <c r="R1386" s="5" t="str">
        <f aca="false">IF(OR(A1386="",P1386="",Q1386=""),"",P1386*Q1386)</f>
        <v/>
      </c>
      <c r="S1386" s="5" t="str">
        <f aca="false">IF(R1386="","",MAX(0,R1386-G1386))</f>
        <v/>
      </c>
      <c r="T1386" s="21" t="str">
        <f aca="false">IF(S1386="","",S1386*K1386)</f>
        <v/>
      </c>
      <c r="U1386" s="5" t="str">
        <f aca="false">IF(A1386="","",IF(J1386&gt;Parâmetros!$C$14,"SIM","NAO"))</f>
        <v/>
      </c>
      <c r="V1386" s="5" t="str">
        <f aca="false">IF(B1386="","",TRIM(LEFT(B1386,IFERROR(FIND(" ",B1386)-1,LEN(B1386)))))</f>
        <v/>
      </c>
      <c r="W1386" s="22"/>
      <c r="X1386" s="5" t="str">
        <f aca="false">IF(A1386="","",IF(W1386&lt;&gt;"",W1386,V1386))</f>
        <v/>
      </c>
      <c r="Y1386" s="5" t="str">
        <f aca="false">IF(A1386="","",IF(COUNTIFS($X$2:$X$2001,X1386,$D$2:$D$2001,"&lt;&gt;"&amp;D1386,$C$2:$C$2001,C1386)&gt;0,"SIM","NAO"))</f>
        <v/>
      </c>
      <c r="Z1386" s="5" t="str">
        <f aca="false">IF(A1386="","",IF(J1386="","",IFERROR(360/J1386,"")))</f>
        <v/>
      </c>
      <c r="AA1386" s="5" t="str">
        <f aca="false">IF(A1386="","",IF(H1386=0,"Parado (sem venda 90d)",IF(Z1386&gt;12,"Alto (&gt;12x/ano)",IF(Z1386&gt;=4,"Medio (4-12x/ano)","Baixo (&lt;4x/ano)"))))</f>
        <v/>
      </c>
    </row>
    <row r="1387" customFormat="false" ht="15" hidden="false" customHeight="true" outlineLevel="0" collapsed="false">
      <c r="A1387" s="6"/>
      <c r="B1387" s="6"/>
      <c r="C1387" s="6"/>
      <c r="D1387" s="6"/>
      <c r="E1387" s="6"/>
      <c r="F1387" s="6"/>
      <c r="G1387" s="6"/>
      <c r="H1387" s="6"/>
      <c r="I1387" s="6"/>
      <c r="J1387" s="6"/>
      <c r="K1387" s="18"/>
      <c r="L1387" s="19" t="str">
        <f aca="false">IF(A1387="","",G1387*K1387)</f>
        <v/>
      </c>
      <c r="M1387" s="20"/>
      <c r="N1387" s="6"/>
      <c r="O1387" s="6"/>
      <c r="P1387" s="5" t="str">
        <f aca="false">IF(A1387="","",H1387/90)</f>
        <v/>
      </c>
      <c r="Q1387" s="5" t="str">
        <f aca="false">IF(A1387="","",IFERROR(INDEX(Parâmetros!$C$6:$C$10,MATCH(F1387,Parâmetros!$B$6:$B$10,0)),""))</f>
        <v/>
      </c>
      <c r="R1387" s="5" t="str">
        <f aca="false">IF(OR(A1387="",P1387="",Q1387=""),"",P1387*Q1387)</f>
        <v/>
      </c>
      <c r="S1387" s="5" t="str">
        <f aca="false">IF(R1387="","",MAX(0,R1387-G1387))</f>
        <v/>
      </c>
      <c r="T1387" s="21" t="str">
        <f aca="false">IF(S1387="","",S1387*K1387)</f>
        <v/>
      </c>
      <c r="U1387" s="5" t="str">
        <f aca="false">IF(A1387="","",IF(J1387&gt;Parâmetros!$C$14,"SIM","NAO"))</f>
        <v/>
      </c>
      <c r="V1387" s="5" t="str">
        <f aca="false">IF(B1387="","",TRIM(LEFT(B1387,IFERROR(FIND(" ",B1387)-1,LEN(B1387)))))</f>
        <v/>
      </c>
      <c r="W1387" s="22"/>
      <c r="X1387" s="5" t="str">
        <f aca="false">IF(A1387="","",IF(W1387&lt;&gt;"",W1387,V1387))</f>
        <v/>
      </c>
      <c r="Y1387" s="5" t="str">
        <f aca="false">IF(A1387="","",IF(COUNTIFS($X$2:$X$2001,X1387,$D$2:$D$2001,"&lt;&gt;"&amp;D1387,$C$2:$C$2001,C1387)&gt;0,"SIM","NAO"))</f>
        <v/>
      </c>
      <c r="Z1387" s="5" t="str">
        <f aca="false">IF(A1387="","",IF(J1387="","",IFERROR(360/J1387,"")))</f>
        <v/>
      </c>
      <c r="AA1387" s="5" t="str">
        <f aca="false">IF(A1387="","",IF(H1387=0,"Parado (sem venda 90d)",IF(Z1387&gt;12,"Alto (&gt;12x/ano)",IF(Z1387&gt;=4,"Medio (4-12x/ano)","Baixo (&lt;4x/ano)"))))</f>
        <v/>
      </c>
    </row>
    <row r="1388" customFormat="false" ht="15" hidden="false" customHeight="true" outlineLevel="0" collapsed="false">
      <c r="A1388" s="6"/>
      <c r="B1388" s="6"/>
      <c r="C1388" s="6"/>
      <c r="D1388" s="6"/>
      <c r="E1388" s="6"/>
      <c r="F1388" s="6"/>
      <c r="G1388" s="6"/>
      <c r="H1388" s="6"/>
      <c r="I1388" s="6"/>
      <c r="J1388" s="6"/>
      <c r="K1388" s="18"/>
      <c r="L1388" s="19" t="str">
        <f aca="false">IF(A1388="","",G1388*K1388)</f>
        <v/>
      </c>
      <c r="M1388" s="20"/>
      <c r="N1388" s="6"/>
      <c r="O1388" s="6"/>
      <c r="P1388" s="5" t="str">
        <f aca="false">IF(A1388="","",H1388/90)</f>
        <v/>
      </c>
      <c r="Q1388" s="5" t="str">
        <f aca="false">IF(A1388="","",IFERROR(INDEX(Parâmetros!$C$6:$C$10,MATCH(F1388,Parâmetros!$B$6:$B$10,0)),""))</f>
        <v/>
      </c>
      <c r="R1388" s="5" t="str">
        <f aca="false">IF(OR(A1388="",P1388="",Q1388=""),"",P1388*Q1388)</f>
        <v/>
      </c>
      <c r="S1388" s="5" t="str">
        <f aca="false">IF(R1388="","",MAX(0,R1388-G1388))</f>
        <v/>
      </c>
      <c r="T1388" s="21" t="str">
        <f aca="false">IF(S1388="","",S1388*K1388)</f>
        <v/>
      </c>
      <c r="U1388" s="5" t="str">
        <f aca="false">IF(A1388="","",IF(J1388&gt;Parâmetros!$C$14,"SIM","NAO"))</f>
        <v/>
      </c>
      <c r="V1388" s="5" t="str">
        <f aca="false">IF(B1388="","",TRIM(LEFT(B1388,IFERROR(FIND(" ",B1388)-1,LEN(B1388)))))</f>
        <v/>
      </c>
      <c r="W1388" s="22"/>
      <c r="X1388" s="5" t="str">
        <f aca="false">IF(A1388="","",IF(W1388&lt;&gt;"",W1388,V1388))</f>
        <v/>
      </c>
      <c r="Y1388" s="5" t="str">
        <f aca="false">IF(A1388="","",IF(COUNTIFS($X$2:$X$2001,X1388,$D$2:$D$2001,"&lt;&gt;"&amp;D1388,$C$2:$C$2001,C1388)&gt;0,"SIM","NAO"))</f>
        <v/>
      </c>
      <c r="Z1388" s="5" t="str">
        <f aca="false">IF(A1388="","",IF(J1388="","",IFERROR(360/J1388,"")))</f>
        <v/>
      </c>
      <c r="AA1388" s="5" t="str">
        <f aca="false">IF(A1388="","",IF(H1388=0,"Parado (sem venda 90d)",IF(Z1388&gt;12,"Alto (&gt;12x/ano)",IF(Z1388&gt;=4,"Medio (4-12x/ano)","Baixo (&lt;4x/ano)"))))</f>
        <v/>
      </c>
    </row>
    <row r="1389" customFormat="false" ht="15" hidden="false" customHeight="true" outlineLevel="0" collapsed="false">
      <c r="A1389" s="6"/>
      <c r="B1389" s="6"/>
      <c r="C1389" s="6"/>
      <c r="D1389" s="6"/>
      <c r="E1389" s="6"/>
      <c r="F1389" s="6"/>
      <c r="G1389" s="6"/>
      <c r="H1389" s="6"/>
      <c r="I1389" s="6"/>
      <c r="J1389" s="6"/>
      <c r="K1389" s="18"/>
      <c r="L1389" s="19" t="str">
        <f aca="false">IF(A1389="","",G1389*K1389)</f>
        <v/>
      </c>
      <c r="M1389" s="20"/>
      <c r="N1389" s="6"/>
      <c r="O1389" s="6"/>
      <c r="P1389" s="5" t="str">
        <f aca="false">IF(A1389="","",H1389/90)</f>
        <v/>
      </c>
      <c r="Q1389" s="5" t="str">
        <f aca="false">IF(A1389="","",IFERROR(INDEX(Parâmetros!$C$6:$C$10,MATCH(F1389,Parâmetros!$B$6:$B$10,0)),""))</f>
        <v/>
      </c>
      <c r="R1389" s="5" t="str">
        <f aca="false">IF(OR(A1389="",P1389="",Q1389=""),"",P1389*Q1389)</f>
        <v/>
      </c>
      <c r="S1389" s="5" t="str">
        <f aca="false">IF(R1389="","",MAX(0,R1389-G1389))</f>
        <v/>
      </c>
      <c r="T1389" s="21" t="str">
        <f aca="false">IF(S1389="","",S1389*K1389)</f>
        <v/>
      </c>
      <c r="U1389" s="5" t="str">
        <f aca="false">IF(A1389="","",IF(J1389&gt;Parâmetros!$C$14,"SIM","NAO"))</f>
        <v/>
      </c>
      <c r="V1389" s="5" t="str">
        <f aca="false">IF(B1389="","",TRIM(LEFT(B1389,IFERROR(FIND(" ",B1389)-1,LEN(B1389)))))</f>
        <v/>
      </c>
      <c r="W1389" s="22"/>
      <c r="X1389" s="5" t="str">
        <f aca="false">IF(A1389="","",IF(W1389&lt;&gt;"",W1389,V1389))</f>
        <v/>
      </c>
      <c r="Y1389" s="5" t="str">
        <f aca="false">IF(A1389="","",IF(COUNTIFS($X$2:$X$2001,X1389,$D$2:$D$2001,"&lt;&gt;"&amp;D1389,$C$2:$C$2001,C1389)&gt;0,"SIM","NAO"))</f>
        <v/>
      </c>
      <c r="Z1389" s="5" t="str">
        <f aca="false">IF(A1389="","",IF(J1389="","",IFERROR(360/J1389,"")))</f>
        <v/>
      </c>
      <c r="AA1389" s="5" t="str">
        <f aca="false">IF(A1389="","",IF(H1389=0,"Parado (sem venda 90d)",IF(Z1389&gt;12,"Alto (&gt;12x/ano)",IF(Z1389&gt;=4,"Medio (4-12x/ano)","Baixo (&lt;4x/ano)"))))</f>
        <v/>
      </c>
    </row>
    <row r="1390" customFormat="false" ht="15" hidden="false" customHeight="true" outlineLevel="0" collapsed="false">
      <c r="A1390" s="6"/>
      <c r="B1390" s="6"/>
      <c r="C1390" s="6"/>
      <c r="D1390" s="6"/>
      <c r="E1390" s="6"/>
      <c r="F1390" s="6"/>
      <c r="G1390" s="6"/>
      <c r="H1390" s="6"/>
      <c r="I1390" s="6"/>
      <c r="J1390" s="6"/>
      <c r="K1390" s="18"/>
      <c r="L1390" s="19" t="str">
        <f aca="false">IF(A1390="","",G1390*K1390)</f>
        <v/>
      </c>
      <c r="M1390" s="20"/>
      <c r="N1390" s="6"/>
      <c r="O1390" s="6"/>
      <c r="P1390" s="5" t="str">
        <f aca="false">IF(A1390="","",H1390/90)</f>
        <v/>
      </c>
      <c r="Q1390" s="5" t="str">
        <f aca="false">IF(A1390="","",IFERROR(INDEX(Parâmetros!$C$6:$C$10,MATCH(F1390,Parâmetros!$B$6:$B$10,0)),""))</f>
        <v/>
      </c>
      <c r="R1390" s="5" t="str">
        <f aca="false">IF(OR(A1390="",P1390="",Q1390=""),"",P1390*Q1390)</f>
        <v/>
      </c>
      <c r="S1390" s="5" t="str">
        <f aca="false">IF(R1390="","",MAX(0,R1390-G1390))</f>
        <v/>
      </c>
      <c r="T1390" s="21" t="str">
        <f aca="false">IF(S1390="","",S1390*K1390)</f>
        <v/>
      </c>
      <c r="U1390" s="5" t="str">
        <f aca="false">IF(A1390="","",IF(J1390&gt;Parâmetros!$C$14,"SIM","NAO"))</f>
        <v/>
      </c>
      <c r="V1390" s="5" t="str">
        <f aca="false">IF(B1390="","",TRIM(LEFT(B1390,IFERROR(FIND(" ",B1390)-1,LEN(B1390)))))</f>
        <v/>
      </c>
      <c r="W1390" s="22"/>
      <c r="X1390" s="5" t="str">
        <f aca="false">IF(A1390="","",IF(W1390&lt;&gt;"",W1390,V1390))</f>
        <v/>
      </c>
      <c r="Y1390" s="5" t="str">
        <f aca="false">IF(A1390="","",IF(COUNTIFS($X$2:$X$2001,X1390,$D$2:$D$2001,"&lt;&gt;"&amp;D1390,$C$2:$C$2001,C1390)&gt;0,"SIM","NAO"))</f>
        <v/>
      </c>
      <c r="Z1390" s="5" t="str">
        <f aca="false">IF(A1390="","",IF(J1390="","",IFERROR(360/J1390,"")))</f>
        <v/>
      </c>
      <c r="AA1390" s="5" t="str">
        <f aca="false">IF(A1390="","",IF(H1390=0,"Parado (sem venda 90d)",IF(Z1390&gt;12,"Alto (&gt;12x/ano)",IF(Z1390&gt;=4,"Medio (4-12x/ano)","Baixo (&lt;4x/ano)"))))</f>
        <v/>
      </c>
    </row>
    <row r="1391" customFormat="false" ht="15" hidden="false" customHeight="true" outlineLevel="0" collapsed="false">
      <c r="A1391" s="6"/>
      <c r="B1391" s="6"/>
      <c r="C1391" s="6"/>
      <c r="D1391" s="6"/>
      <c r="E1391" s="6"/>
      <c r="F1391" s="6"/>
      <c r="G1391" s="6"/>
      <c r="H1391" s="6"/>
      <c r="I1391" s="6"/>
      <c r="J1391" s="6"/>
      <c r="K1391" s="18"/>
      <c r="L1391" s="19" t="str">
        <f aca="false">IF(A1391="","",G1391*K1391)</f>
        <v/>
      </c>
      <c r="M1391" s="20"/>
      <c r="N1391" s="6"/>
      <c r="O1391" s="6"/>
      <c r="P1391" s="5" t="str">
        <f aca="false">IF(A1391="","",H1391/90)</f>
        <v/>
      </c>
      <c r="Q1391" s="5" t="str">
        <f aca="false">IF(A1391="","",IFERROR(INDEX(Parâmetros!$C$6:$C$10,MATCH(F1391,Parâmetros!$B$6:$B$10,0)),""))</f>
        <v/>
      </c>
      <c r="R1391" s="5" t="str">
        <f aca="false">IF(OR(A1391="",P1391="",Q1391=""),"",P1391*Q1391)</f>
        <v/>
      </c>
      <c r="S1391" s="5" t="str">
        <f aca="false">IF(R1391="","",MAX(0,R1391-G1391))</f>
        <v/>
      </c>
      <c r="T1391" s="21" t="str">
        <f aca="false">IF(S1391="","",S1391*K1391)</f>
        <v/>
      </c>
      <c r="U1391" s="5" t="str">
        <f aca="false">IF(A1391="","",IF(J1391&gt;Parâmetros!$C$14,"SIM","NAO"))</f>
        <v/>
      </c>
      <c r="V1391" s="5" t="str">
        <f aca="false">IF(B1391="","",TRIM(LEFT(B1391,IFERROR(FIND(" ",B1391)-1,LEN(B1391)))))</f>
        <v/>
      </c>
      <c r="W1391" s="22"/>
      <c r="X1391" s="5" t="str">
        <f aca="false">IF(A1391="","",IF(W1391&lt;&gt;"",W1391,V1391))</f>
        <v/>
      </c>
      <c r="Y1391" s="5" t="str">
        <f aca="false">IF(A1391="","",IF(COUNTIFS($X$2:$X$2001,X1391,$D$2:$D$2001,"&lt;&gt;"&amp;D1391,$C$2:$C$2001,C1391)&gt;0,"SIM","NAO"))</f>
        <v/>
      </c>
      <c r="Z1391" s="5" t="str">
        <f aca="false">IF(A1391="","",IF(J1391="","",IFERROR(360/J1391,"")))</f>
        <v/>
      </c>
      <c r="AA1391" s="5" t="str">
        <f aca="false">IF(A1391="","",IF(H1391=0,"Parado (sem venda 90d)",IF(Z1391&gt;12,"Alto (&gt;12x/ano)",IF(Z1391&gt;=4,"Medio (4-12x/ano)","Baixo (&lt;4x/ano)"))))</f>
        <v/>
      </c>
    </row>
    <row r="1392" customFormat="false" ht="15" hidden="false" customHeight="true" outlineLevel="0" collapsed="false">
      <c r="A1392" s="6"/>
      <c r="B1392" s="6"/>
      <c r="C1392" s="6"/>
      <c r="D1392" s="6"/>
      <c r="E1392" s="6"/>
      <c r="F1392" s="6"/>
      <c r="G1392" s="6"/>
      <c r="H1392" s="6"/>
      <c r="I1392" s="6"/>
      <c r="J1392" s="6"/>
      <c r="K1392" s="18"/>
      <c r="L1392" s="19" t="str">
        <f aca="false">IF(A1392="","",G1392*K1392)</f>
        <v/>
      </c>
      <c r="M1392" s="20"/>
      <c r="N1392" s="6"/>
      <c r="O1392" s="6"/>
      <c r="P1392" s="5" t="str">
        <f aca="false">IF(A1392="","",H1392/90)</f>
        <v/>
      </c>
      <c r="Q1392" s="5" t="str">
        <f aca="false">IF(A1392="","",IFERROR(INDEX(Parâmetros!$C$6:$C$10,MATCH(F1392,Parâmetros!$B$6:$B$10,0)),""))</f>
        <v/>
      </c>
      <c r="R1392" s="5" t="str">
        <f aca="false">IF(OR(A1392="",P1392="",Q1392=""),"",P1392*Q1392)</f>
        <v/>
      </c>
      <c r="S1392" s="5" t="str">
        <f aca="false">IF(R1392="","",MAX(0,R1392-G1392))</f>
        <v/>
      </c>
      <c r="T1392" s="21" t="str">
        <f aca="false">IF(S1392="","",S1392*K1392)</f>
        <v/>
      </c>
      <c r="U1392" s="5" t="str">
        <f aca="false">IF(A1392="","",IF(J1392&gt;Parâmetros!$C$14,"SIM","NAO"))</f>
        <v/>
      </c>
      <c r="V1392" s="5" t="str">
        <f aca="false">IF(B1392="","",TRIM(LEFT(B1392,IFERROR(FIND(" ",B1392)-1,LEN(B1392)))))</f>
        <v/>
      </c>
      <c r="W1392" s="22"/>
      <c r="X1392" s="5" t="str">
        <f aca="false">IF(A1392="","",IF(W1392&lt;&gt;"",W1392,V1392))</f>
        <v/>
      </c>
      <c r="Y1392" s="5" t="str">
        <f aca="false">IF(A1392="","",IF(COUNTIFS($X$2:$X$2001,X1392,$D$2:$D$2001,"&lt;&gt;"&amp;D1392,$C$2:$C$2001,C1392)&gt;0,"SIM","NAO"))</f>
        <v/>
      </c>
      <c r="Z1392" s="5" t="str">
        <f aca="false">IF(A1392="","",IF(J1392="","",IFERROR(360/J1392,"")))</f>
        <v/>
      </c>
      <c r="AA1392" s="5" t="str">
        <f aca="false">IF(A1392="","",IF(H1392=0,"Parado (sem venda 90d)",IF(Z1392&gt;12,"Alto (&gt;12x/ano)",IF(Z1392&gt;=4,"Medio (4-12x/ano)","Baixo (&lt;4x/ano)"))))</f>
        <v/>
      </c>
    </row>
    <row r="1393" customFormat="false" ht="15" hidden="false" customHeight="true" outlineLevel="0" collapsed="false">
      <c r="A1393" s="6"/>
      <c r="B1393" s="6"/>
      <c r="C1393" s="6"/>
      <c r="D1393" s="6"/>
      <c r="E1393" s="6"/>
      <c r="F1393" s="6"/>
      <c r="G1393" s="6"/>
      <c r="H1393" s="6"/>
      <c r="I1393" s="6"/>
      <c r="J1393" s="6"/>
      <c r="K1393" s="18"/>
      <c r="L1393" s="19" t="str">
        <f aca="false">IF(A1393="","",G1393*K1393)</f>
        <v/>
      </c>
      <c r="M1393" s="20"/>
      <c r="N1393" s="6"/>
      <c r="O1393" s="6"/>
      <c r="P1393" s="5" t="str">
        <f aca="false">IF(A1393="","",H1393/90)</f>
        <v/>
      </c>
      <c r="Q1393" s="5" t="str">
        <f aca="false">IF(A1393="","",IFERROR(INDEX(Parâmetros!$C$6:$C$10,MATCH(F1393,Parâmetros!$B$6:$B$10,0)),""))</f>
        <v/>
      </c>
      <c r="R1393" s="5" t="str">
        <f aca="false">IF(OR(A1393="",P1393="",Q1393=""),"",P1393*Q1393)</f>
        <v/>
      </c>
      <c r="S1393" s="5" t="str">
        <f aca="false">IF(R1393="","",MAX(0,R1393-G1393))</f>
        <v/>
      </c>
      <c r="T1393" s="21" t="str">
        <f aca="false">IF(S1393="","",S1393*K1393)</f>
        <v/>
      </c>
      <c r="U1393" s="5" t="str">
        <f aca="false">IF(A1393="","",IF(J1393&gt;Parâmetros!$C$14,"SIM","NAO"))</f>
        <v/>
      </c>
      <c r="V1393" s="5" t="str">
        <f aca="false">IF(B1393="","",TRIM(LEFT(B1393,IFERROR(FIND(" ",B1393)-1,LEN(B1393)))))</f>
        <v/>
      </c>
      <c r="W1393" s="22"/>
      <c r="X1393" s="5" t="str">
        <f aca="false">IF(A1393="","",IF(W1393&lt;&gt;"",W1393,V1393))</f>
        <v/>
      </c>
      <c r="Y1393" s="5" t="str">
        <f aca="false">IF(A1393="","",IF(COUNTIFS($X$2:$X$2001,X1393,$D$2:$D$2001,"&lt;&gt;"&amp;D1393,$C$2:$C$2001,C1393)&gt;0,"SIM","NAO"))</f>
        <v/>
      </c>
      <c r="Z1393" s="5" t="str">
        <f aca="false">IF(A1393="","",IF(J1393="","",IFERROR(360/J1393,"")))</f>
        <v/>
      </c>
      <c r="AA1393" s="5" t="str">
        <f aca="false">IF(A1393="","",IF(H1393=0,"Parado (sem venda 90d)",IF(Z1393&gt;12,"Alto (&gt;12x/ano)",IF(Z1393&gt;=4,"Medio (4-12x/ano)","Baixo (&lt;4x/ano)"))))</f>
        <v/>
      </c>
    </row>
    <row r="1394" customFormat="false" ht="15" hidden="false" customHeight="true" outlineLevel="0" collapsed="false">
      <c r="A1394" s="6"/>
      <c r="B1394" s="6"/>
      <c r="C1394" s="6"/>
      <c r="D1394" s="6"/>
      <c r="E1394" s="6"/>
      <c r="F1394" s="6"/>
      <c r="G1394" s="6"/>
      <c r="H1394" s="6"/>
      <c r="I1394" s="6"/>
      <c r="J1394" s="6"/>
      <c r="K1394" s="18"/>
      <c r="L1394" s="19" t="str">
        <f aca="false">IF(A1394="","",G1394*K1394)</f>
        <v/>
      </c>
      <c r="M1394" s="20"/>
      <c r="N1394" s="6"/>
      <c r="O1394" s="6"/>
      <c r="P1394" s="5" t="str">
        <f aca="false">IF(A1394="","",H1394/90)</f>
        <v/>
      </c>
      <c r="Q1394" s="5" t="str">
        <f aca="false">IF(A1394="","",IFERROR(INDEX(Parâmetros!$C$6:$C$10,MATCH(F1394,Parâmetros!$B$6:$B$10,0)),""))</f>
        <v/>
      </c>
      <c r="R1394" s="5" t="str">
        <f aca="false">IF(OR(A1394="",P1394="",Q1394=""),"",P1394*Q1394)</f>
        <v/>
      </c>
      <c r="S1394" s="5" t="str">
        <f aca="false">IF(R1394="","",MAX(0,R1394-G1394))</f>
        <v/>
      </c>
      <c r="T1394" s="21" t="str">
        <f aca="false">IF(S1394="","",S1394*K1394)</f>
        <v/>
      </c>
      <c r="U1394" s="5" t="str">
        <f aca="false">IF(A1394="","",IF(J1394&gt;Parâmetros!$C$14,"SIM","NAO"))</f>
        <v/>
      </c>
      <c r="V1394" s="5" t="str">
        <f aca="false">IF(B1394="","",TRIM(LEFT(B1394,IFERROR(FIND(" ",B1394)-1,LEN(B1394)))))</f>
        <v/>
      </c>
      <c r="W1394" s="22"/>
      <c r="X1394" s="5" t="str">
        <f aca="false">IF(A1394="","",IF(W1394&lt;&gt;"",W1394,V1394))</f>
        <v/>
      </c>
      <c r="Y1394" s="5" t="str">
        <f aca="false">IF(A1394="","",IF(COUNTIFS($X$2:$X$2001,X1394,$D$2:$D$2001,"&lt;&gt;"&amp;D1394,$C$2:$C$2001,C1394)&gt;0,"SIM","NAO"))</f>
        <v/>
      </c>
      <c r="Z1394" s="5" t="str">
        <f aca="false">IF(A1394="","",IF(J1394="","",IFERROR(360/J1394,"")))</f>
        <v/>
      </c>
      <c r="AA1394" s="5" t="str">
        <f aca="false">IF(A1394="","",IF(H1394=0,"Parado (sem venda 90d)",IF(Z1394&gt;12,"Alto (&gt;12x/ano)",IF(Z1394&gt;=4,"Medio (4-12x/ano)","Baixo (&lt;4x/ano)"))))</f>
        <v/>
      </c>
    </row>
    <row r="1395" customFormat="false" ht="15" hidden="false" customHeight="true" outlineLevel="0" collapsed="false">
      <c r="A1395" s="6"/>
      <c r="B1395" s="6"/>
      <c r="C1395" s="6"/>
      <c r="D1395" s="6"/>
      <c r="E1395" s="6"/>
      <c r="F1395" s="6"/>
      <c r="G1395" s="6"/>
      <c r="H1395" s="6"/>
      <c r="I1395" s="6"/>
      <c r="J1395" s="6"/>
      <c r="K1395" s="18"/>
      <c r="L1395" s="19" t="str">
        <f aca="false">IF(A1395="","",G1395*K1395)</f>
        <v/>
      </c>
      <c r="M1395" s="20"/>
      <c r="N1395" s="6"/>
      <c r="O1395" s="6"/>
      <c r="P1395" s="5" t="str">
        <f aca="false">IF(A1395="","",H1395/90)</f>
        <v/>
      </c>
      <c r="Q1395" s="5" t="str">
        <f aca="false">IF(A1395="","",IFERROR(INDEX(Parâmetros!$C$6:$C$10,MATCH(F1395,Parâmetros!$B$6:$B$10,0)),""))</f>
        <v/>
      </c>
      <c r="R1395" s="5" t="str">
        <f aca="false">IF(OR(A1395="",P1395="",Q1395=""),"",P1395*Q1395)</f>
        <v/>
      </c>
      <c r="S1395" s="5" t="str">
        <f aca="false">IF(R1395="","",MAX(0,R1395-G1395))</f>
        <v/>
      </c>
      <c r="T1395" s="21" t="str">
        <f aca="false">IF(S1395="","",S1395*K1395)</f>
        <v/>
      </c>
      <c r="U1395" s="5" t="str">
        <f aca="false">IF(A1395="","",IF(J1395&gt;Parâmetros!$C$14,"SIM","NAO"))</f>
        <v/>
      </c>
      <c r="V1395" s="5" t="str">
        <f aca="false">IF(B1395="","",TRIM(LEFT(B1395,IFERROR(FIND(" ",B1395)-1,LEN(B1395)))))</f>
        <v/>
      </c>
      <c r="W1395" s="22"/>
      <c r="X1395" s="5" t="str">
        <f aca="false">IF(A1395="","",IF(W1395&lt;&gt;"",W1395,V1395))</f>
        <v/>
      </c>
      <c r="Y1395" s="5" t="str">
        <f aca="false">IF(A1395="","",IF(COUNTIFS($X$2:$X$2001,X1395,$D$2:$D$2001,"&lt;&gt;"&amp;D1395,$C$2:$C$2001,C1395)&gt;0,"SIM","NAO"))</f>
        <v/>
      </c>
      <c r="Z1395" s="5" t="str">
        <f aca="false">IF(A1395="","",IF(J1395="","",IFERROR(360/J1395,"")))</f>
        <v/>
      </c>
      <c r="AA1395" s="5" t="str">
        <f aca="false">IF(A1395="","",IF(H1395=0,"Parado (sem venda 90d)",IF(Z1395&gt;12,"Alto (&gt;12x/ano)",IF(Z1395&gt;=4,"Medio (4-12x/ano)","Baixo (&lt;4x/ano)"))))</f>
        <v/>
      </c>
    </row>
    <row r="1396" customFormat="false" ht="15" hidden="false" customHeight="true" outlineLevel="0" collapsed="false">
      <c r="A1396" s="6"/>
      <c r="B1396" s="6"/>
      <c r="C1396" s="6"/>
      <c r="D1396" s="6"/>
      <c r="E1396" s="6"/>
      <c r="F1396" s="6"/>
      <c r="G1396" s="6"/>
      <c r="H1396" s="6"/>
      <c r="I1396" s="6"/>
      <c r="J1396" s="6"/>
      <c r="K1396" s="18"/>
      <c r="L1396" s="19" t="str">
        <f aca="false">IF(A1396="","",G1396*K1396)</f>
        <v/>
      </c>
      <c r="M1396" s="20"/>
      <c r="N1396" s="6"/>
      <c r="O1396" s="6"/>
      <c r="P1396" s="5" t="str">
        <f aca="false">IF(A1396="","",H1396/90)</f>
        <v/>
      </c>
      <c r="Q1396" s="5" t="str">
        <f aca="false">IF(A1396="","",IFERROR(INDEX(Parâmetros!$C$6:$C$10,MATCH(F1396,Parâmetros!$B$6:$B$10,0)),""))</f>
        <v/>
      </c>
      <c r="R1396" s="5" t="str">
        <f aca="false">IF(OR(A1396="",P1396="",Q1396=""),"",P1396*Q1396)</f>
        <v/>
      </c>
      <c r="S1396" s="5" t="str">
        <f aca="false">IF(R1396="","",MAX(0,R1396-G1396))</f>
        <v/>
      </c>
      <c r="T1396" s="21" t="str">
        <f aca="false">IF(S1396="","",S1396*K1396)</f>
        <v/>
      </c>
      <c r="U1396" s="5" t="str">
        <f aca="false">IF(A1396="","",IF(J1396&gt;Parâmetros!$C$14,"SIM","NAO"))</f>
        <v/>
      </c>
      <c r="V1396" s="5" t="str">
        <f aca="false">IF(B1396="","",TRIM(LEFT(B1396,IFERROR(FIND(" ",B1396)-1,LEN(B1396)))))</f>
        <v/>
      </c>
      <c r="W1396" s="22"/>
      <c r="X1396" s="5" t="str">
        <f aca="false">IF(A1396="","",IF(W1396&lt;&gt;"",W1396,V1396))</f>
        <v/>
      </c>
      <c r="Y1396" s="5" t="str">
        <f aca="false">IF(A1396="","",IF(COUNTIFS($X$2:$X$2001,X1396,$D$2:$D$2001,"&lt;&gt;"&amp;D1396,$C$2:$C$2001,C1396)&gt;0,"SIM","NAO"))</f>
        <v/>
      </c>
      <c r="Z1396" s="5" t="str">
        <f aca="false">IF(A1396="","",IF(J1396="","",IFERROR(360/J1396,"")))</f>
        <v/>
      </c>
      <c r="AA1396" s="5" t="str">
        <f aca="false">IF(A1396="","",IF(H1396=0,"Parado (sem venda 90d)",IF(Z1396&gt;12,"Alto (&gt;12x/ano)",IF(Z1396&gt;=4,"Medio (4-12x/ano)","Baixo (&lt;4x/ano)"))))</f>
        <v/>
      </c>
    </row>
    <row r="1397" customFormat="false" ht="15" hidden="false" customHeight="true" outlineLevel="0" collapsed="false">
      <c r="A1397" s="6"/>
      <c r="B1397" s="6"/>
      <c r="C1397" s="6"/>
      <c r="D1397" s="6"/>
      <c r="E1397" s="6"/>
      <c r="F1397" s="6"/>
      <c r="G1397" s="6"/>
      <c r="H1397" s="6"/>
      <c r="I1397" s="6"/>
      <c r="J1397" s="6"/>
      <c r="K1397" s="18"/>
      <c r="L1397" s="19" t="str">
        <f aca="false">IF(A1397="","",G1397*K1397)</f>
        <v/>
      </c>
      <c r="M1397" s="20"/>
      <c r="N1397" s="6"/>
      <c r="O1397" s="6"/>
      <c r="P1397" s="5" t="str">
        <f aca="false">IF(A1397="","",H1397/90)</f>
        <v/>
      </c>
      <c r="Q1397" s="5" t="str">
        <f aca="false">IF(A1397="","",IFERROR(INDEX(Parâmetros!$C$6:$C$10,MATCH(F1397,Parâmetros!$B$6:$B$10,0)),""))</f>
        <v/>
      </c>
      <c r="R1397" s="5" t="str">
        <f aca="false">IF(OR(A1397="",P1397="",Q1397=""),"",P1397*Q1397)</f>
        <v/>
      </c>
      <c r="S1397" s="5" t="str">
        <f aca="false">IF(R1397="","",MAX(0,R1397-G1397))</f>
        <v/>
      </c>
      <c r="T1397" s="21" t="str">
        <f aca="false">IF(S1397="","",S1397*K1397)</f>
        <v/>
      </c>
      <c r="U1397" s="5" t="str">
        <f aca="false">IF(A1397="","",IF(J1397&gt;Parâmetros!$C$14,"SIM","NAO"))</f>
        <v/>
      </c>
      <c r="V1397" s="5" t="str">
        <f aca="false">IF(B1397="","",TRIM(LEFT(B1397,IFERROR(FIND(" ",B1397)-1,LEN(B1397)))))</f>
        <v/>
      </c>
      <c r="W1397" s="22"/>
      <c r="X1397" s="5" t="str">
        <f aca="false">IF(A1397="","",IF(W1397&lt;&gt;"",W1397,V1397))</f>
        <v/>
      </c>
      <c r="Y1397" s="5" t="str">
        <f aca="false">IF(A1397="","",IF(COUNTIFS($X$2:$X$2001,X1397,$D$2:$D$2001,"&lt;&gt;"&amp;D1397,$C$2:$C$2001,C1397)&gt;0,"SIM","NAO"))</f>
        <v/>
      </c>
      <c r="Z1397" s="5" t="str">
        <f aca="false">IF(A1397="","",IF(J1397="","",IFERROR(360/J1397,"")))</f>
        <v/>
      </c>
      <c r="AA1397" s="5" t="str">
        <f aca="false">IF(A1397="","",IF(H1397=0,"Parado (sem venda 90d)",IF(Z1397&gt;12,"Alto (&gt;12x/ano)",IF(Z1397&gt;=4,"Medio (4-12x/ano)","Baixo (&lt;4x/ano)"))))</f>
        <v/>
      </c>
    </row>
    <row r="1398" customFormat="false" ht="15" hidden="false" customHeight="true" outlineLevel="0" collapsed="false">
      <c r="A1398" s="6"/>
      <c r="B1398" s="6"/>
      <c r="C1398" s="6"/>
      <c r="D1398" s="6"/>
      <c r="E1398" s="6"/>
      <c r="F1398" s="6"/>
      <c r="G1398" s="6"/>
      <c r="H1398" s="6"/>
      <c r="I1398" s="6"/>
      <c r="J1398" s="6"/>
      <c r="K1398" s="18"/>
      <c r="L1398" s="19" t="str">
        <f aca="false">IF(A1398="","",G1398*K1398)</f>
        <v/>
      </c>
      <c r="M1398" s="20"/>
      <c r="N1398" s="6"/>
      <c r="O1398" s="6"/>
      <c r="P1398" s="5" t="str">
        <f aca="false">IF(A1398="","",H1398/90)</f>
        <v/>
      </c>
      <c r="Q1398" s="5" t="str">
        <f aca="false">IF(A1398="","",IFERROR(INDEX(Parâmetros!$C$6:$C$10,MATCH(F1398,Parâmetros!$B$6:$B$10,0)),""))</f>
        <v/>
      </c>
      <c r="R1398" s="5" t="str">
        <f aca="false">IF(OR(A1398="",P1398="",Q1398=""),"",P1398*Q1398)</f>
        <v/>
      </c>
      <c r="S1398" s="5" t="str">
        <f aca="false">IF(R1398="","",MAX(0,R1398-G1398))</f>
        <v/>
      </c>
      <c r="T1398" s="21" t="str">
        <f aca="false">IF(S1398="","",S1398*K1398)</f>
        <v/>
      </c>
      <c r="U1398" s="5" t="str">
        <f aca="false">IF(A1398="","",IF(J1398&gt;Parâmetros!$C$14,"SIM","NAO"))</f>
        <v/>
      </c>
      <c r="V1398" s="5" t="str">
        <f aca="false">IF(B1398="","",TRIM(LEFT(B1398,IFERROR(FIND(" ",B1398)-1,LEN(B1398)))))</f>
        <v/>
      </c>
      <c r="W1398" s="22"/>
      <c r="X1398" s="5" t="str">
        <f aca="false">IF(A1398="","",IF(W1398&lt;&gt;"",W1398,V1398))</f>
        <v/>
      </c>
      <c r="Y1398" s="5" t="str">
        <f aca="false">IF(A1398="","",IF(COUNTIFS($X$2:$X$2001,X1398,$D$2:$D$2001,"&lt;&gt;"&amp;D1398,$C$2:$C$2001,C1398)&gt;0,"SIM","NAO"))</f>
        <v/>
      </c>
      <c r="Z1398" s="5" t="str">
        <f aca="false">IF(A1398="","",IF(J1398="","",IFERROR(360/J1398,"")))</f>
        <v/>
      </c>
      <c r="AA1398" s="5" t="str">
        <f aca="false">IF(A1398="","",IF(H1398=0,"Parado (sem venda 90d)",IF(Z1398&gt;12,"Alto (&gt;12x/ano)",IF(Z1398&gt;=4,"Medio (4-12x/ano)","Baixo (&lt;4x/ano)"))))</f>
        <v/>
      </c>
    </row>
    <row r="1399" customFormat="false" ht="15" hidden="false" customHeight="true" outlineLevel="0" collapsed="false">
      <c r="A1399" s="6"/>
      <c r="B1399" s="6"/>
      <c r="C1399" s="6"/>
      <c r="D1399" s="6"/>
      <c r="E1399" s="6"/>
      <c r="F1399" s="6"/>
      <c r="G1399" s="6"/>
      <c r="H1399" s="6"/>
      <c r="I1399" s="6"/>
      <c r="J1399" s="6"/>
      <c r="K1399" s="18"/>
      <c r="L1399" s="19" t="str">
        <f aca="false">IF(A1399="","",G1399*K1399)</f>
        <v/>
      </c>
      <c r="M1399" s="20"/>
      <c r="N1399" s="6"/>
      <c r="O1399" s="6"/>
      <c r="P1399" s="5" t="str">
        <f aca="false">IF(A1399="","",H1399/90)</f>
        <v/>
      </c>
      <c r="Q1399" s="5" t="str">
        <f aca="false">IF(A1399="","",IFERROR(INDEX(Parâmetros!$C$6:$C$10,MATCH(F1399,Parâmetros!$B$6:$B$10,0)),""))</f>
        <v/>
      </c>
      <c r="R1399" s="5" t="str">
        <f aca="false">IF(OR(A1399="",P1399="",Q1399=""),"",P1399*Q1399)</f>
        <v/>
      </c>
      <c r="S1399" s="5" t="str">
        <f aca="false">IF(R1399="","",MAX(0,R1399-G1399))</f>
        <v/>
      </c>
      <c r="T1399" s="21" t="str">
        <f aca="false">IF(S1399="","",S1399*K1399)</f>
        <v/>
      </c>
      <c r="U1399" s="5" t="str">
        <f aca="false">IF(A1399="","",IF(J1399&gt;Parâmetros!$C$14,"SIM","NAO"))</f>
        <v/>
      </c>
      <c r="V1399" s="5" t="str">
        <f aca="false">IF(B1399="","",TRIM(LEFT(B1399,IFERROR(FIND(" ",B1399)-1,LEN(B1399)))))</f>
        <v/>
      </c>
      <c r="W1399" s="22"/>
      <c r="X1399" s="5" t="str">
        <f aca="false">IF(A1399="","",IF(W1399&lt;&gt;"",W1399,V1399))</f>
        <v/>
      </c>
      <c r="Y1399" s="5" t="str">
        <f aca="false">IF(A1399="","",IF(COUNTIFS($X$2:$X$2001,X1399,$D$2:$D$2001,"&lt;&gt;"&amp;D1399,$C$2:$C$2001,C1399)&gt;0,"SIM","NAO"))</f>
        <v/>
      </c>
      <c r="Z1399" s="5" t="str">
        <f aca="false">IF(A1399="","",IF(J1399="","",IFERROR(360/J1399,"")))</f>
        <v/>
      </c>
      <c r="AA1399" s="5" t="str">
        <f aca="false">IF(A1399="","",IF(H1399=0,"Parado (sem venda 90d)",IF(Z1399&gt;12,"Alto (&gt;12x/ano)",IF(Z1399&gt;=4,"Medio (4-12x/ano)","Baixo (&lt;4x/ano)"))))</f>
        <v/>
      </c>
    </row>
    <row r="1400" customFormat="false" ht="15" hidden="false" customHeight="true" outlineLevel="0" collapsed="false">
      <c r="A1400" s="6"/>
      <c r="B1400" s="6"/>
      <c r="C1400" s="6"/>
      <c r="D1400" s="6"/>
      <c r="E1400" s="6"/>
      <c r="F1400" s="6"/>
      <c r="G1400" s="6"/>
      <c r="H1400" s="6"/>
      <c r="I1400" s="6"/>
      <c r="J1400" s="6"/>
      <c r="K1400" s="18"/>
      <c r="L1400" s="19" t="str">
        <f aca="false">IF(A1400="","",G1400*K1400)</f>
        <v/>
      </c>
      <c r="M1400" s="20"/>
      <c r="N1400" s="6"/>
      <c r="O1400" s="6"/>
      <c r="P1400" s="5" t="str">
        <f aca="false">IF(A1400="","",H1400/90)</f>
        <v/>
      </c>
      <c r="Q1400" s="5" t="str">
        <f aca="false">IF(A1400="","",IFERROR(INDEX(Parâmetros!$C$6:$C$10,MATCH(F1400,Parâmetros!$B$6:$B$10,0)),""))</f>
        <v/>
      </c>
      <c r="R1400" s="5" t="str">
        <f aca="false">IF(OR(A1400="",P1400="",Q1400=""),"",P1400*Q1400)</f>
        <v/>
      </c>
      <c r="S1400" s="5" t="str">
        <f aca="false">IF(R1400="","",MAX(0,R1400-G1400))</f>
        <v/>
      </c>
      <c r="T1400" s="21" t="str">
        <f aca="false">IF(S1400="","",S1400*K1400)</f>
        <v/>
      </c>
      <c r="U1400" s="5" t="str">
        <f aca="false">IF(A1400="","",IF(J1400&gt;Parâmetros!$C$14,"SIM","NAO"))</f>
        <v/>
      </c>
      <c r="V1400" s="5" t="str">
        <f aca="false">IF(B1400="","",TRIM(LEFT(B1400,IFERROR(FIND(" ",B1400)-1,LEN(B1400)))))</f>
        <v/>
      </c>
      <c r="W1400" s="22"/>
      <c r="X1400" s="5" t="str">
        <f aca="false">IF(A1400="","",IF(W1400&lt;&gt;"",W1400,V1400))</f>
        <v/>
      </c>
      <c r="Y1400" s="5" t="str">
        <f aca="false">IF(A1400="","",IF(COUNTIFS($X$2:$X$2001,X1400,$D$2:$D$2001,"&lt;&gt;"&amp;D1400,$C$2:$C$2001,C1400)&gt;0,"SIM","NAO"))</f>
        <v/>
      </c>
      <c r="Z1400" s="5" t="str">
        <f aca="false">IF(A1400="","",IF(J1400="","",IFERROR(360/J1400,"")))</f>
        <v/>
      </c>
      <c r="AA1400" s="5" t="str">
        <f aca="false">IF(A1400="","",IF(H1400=0,"Parado (sem venda 90d)",IF(Z1400&gt;12,"Alto (&gt;12x/ano)",IF(Z1400&gt;=4,"Medio (4-12x/ano)","Baixo (&lt;4x/ano)"))))</f>
        <v/>
      </c>
    </row>
    <row r="1401" customFormat="false" ht="15" hidden="false" customHeight="true" outlineLevel="0" collapsed="false">
      <c r="A1401" s="6"/>
      <c r="B1401" s="6"/>
      <c r="C1401" s="6"/>
      <c r="D1401" s="6"/>
      <c r="E1401" s="6"/>
      <c r="F1401" s="6"/>
      <c r="G1401" s="6"/>
      <c r="H1401" s="6"/>
      <c r="I1401" s="6"/>
      <c r="J1401" s="6"/>
      <c r="K1401" s="18"/>
      <c r="L1401" s="19" t="str">
        <f aca="false">IF(A1401="","",G1401*K1401)</f>
        <v/>
      </c>
      <c r="M1401" s="20"/>
      <c r="N1401" s="6"/>
      <c r="O1401" s="6"/>
      <c r="P1401" s="5" t="str">
        <f aca="false">IF(A1401="","",H1401/90)</f>
        <v/>
      </c>
      <c r="Q1401" s="5" t="str">
        <f aca="false">IF(A1401="","",IFERROR(INDEX(Parâmetros!$C$6:$C$10,MATCH(F1401,Parâmetros!$B$6:$B$10,0)),""))</f>
        <v/>
      </c>
      <c r="R1401" s="5" t="str">
        <f aca="false">IF(OR(A1401="",P1401="",Q1401=""),"",P1401*Q1401)</f>
        <v/>
      </c>
      <c r="S1401" s="5" t="str">
        <f aca="false">IF(R1401="","",MAX(0,R1401-G1401))</f>
        <v/>
      </c>
      <c r="T1401" s="21" t="str">
        <f aca="false">IF(S1401="","",S1401*K1401)</f>
        <v/>
      </c>
      <c r="U1401" s="5" t="str">
        <f aca="false">IF(A1401="","",IF(J1401&gt;Parâmetros!$C$14,"SIM","NAO"))</f>
        <v/>
      </c>
      <c r="V1401" s="5" t="str">
        <f aca="false">IF(B1401="","",TRIM(LEFT(B1401,IFERROR(FIND(" ",B1401)-1,LEN(B1401)))))</f>
        <v/>
      </c>
      <c r="W1401" s="22"/>
      <c r="X1401" s="5" t="str">
        <f aca="false">IF(A1401="","",IF(W1401&lt;&gt;"",W1401,V1401))</f>
        <v/>
      </c>
      <c r="Y1401" s="5" t="str">
        <f aca="false">IF(A1401="","",IF(COUNTIFS($X$2:$X$2001,X1401,$D$2:$D$2001,"&lt;&gt;"&amp;D1401,$C$2:$C$2001,C1401)&gt;0,"SIM","NAO"))</f>
        <v/>
      </c>
      <c r="Z1401" s="5" t="str">
        <f aca="false">IF(A1401="","",IF(J1401="","",IFERROR(360/J1401,"")))</f>
        <v/>
      </c>
      <c r="AA1401" s="5" t="str">
        <f aca="false">IF(A1401="","",IF(H1401=0,"Parado (sem venda 90d)",IF(Z1401&gt;12,"Alto (&gt;12x/ano)",IF(Z1401&gt;=4,"Medio (4-12x/ano)","Baixo (&lt;4x/ano)"))))</f>
        <v/>
      </c>
    </row>
    <row r="1402" customFormat="false" ht="15" hidden="false" customHeight="true" outlineLevel="0" collapsed="false">
      <c r="A1402" s="6"/>
      <c r="B1402" s="6"/>
      <c r="C1402" s="6"/>
      <c r="D1402" s="6"/>
      <c r="E1402" s="6"/>
      <c r="F1402" s="6"/>
      <c r="G1402" s="6"/>
      <c r="H1402" s="6"/>
      <c r="I1402" s="6"/>
      <c r="J1402" s="6"/>
      <c r="K1402" s="18"/>
      <c r="L1402" s="19" t="str">
        <f aca="false">IF(A1402="","",G1402*K1402)</f>
        <v/>
      </c>
      <c r="M1402" s="20"/>
      <c r="N1402" s="6"/>
      <c r="O1402" s="6"/>
      <c r="P1402" s="5" t="str">
        <f aca="false">IF(A1402="","",H1402/90)</f>
        <v/>
      </c>
      <c r="Q1402" s="5" t="str">
        <f aca="false">IF(A1402="","",IFERROR(INDEX(Parâmetros!$C$6:$C$10,MATCH(F1402,Parâmetros!$B$6:$B$10,0)),""))</f>
        <v/>
      </c>
      <c r="R1402" s="5" t="str">
        <f aca="false">IF(OR(A1402="",P1402="",Q1402=""),"",P1402*Q1402)</f>
        <v/>
      </c>
      <c r="S1402" s="5" t="str">
        <f aca="false">IF(R1402="","",MAX(0,R1402-G1402))</f>
        <v/>
      </c>
      <c r="T1402" s="21" t="str">
        <f aca="false">IF(S1402="","",S1402*K1402)</f>
        <v/>
      </c>
      <c r="U1402" s="5" t="str">
        <f aca="false">IF(A1402="","",IF(J1402&gt;Parâmetros!$C$14,"SIM","NAO"))</f>
        <v/>
      </c>
      <c r="V1402" s="5" t="str">
        <f aca="false">IF(B1402="","",TRIM(LEFT(B1402,IFERROR(FIND(" ",B1402)-1,LEN(B1402)))))</f>
        <v/>
      </c>
      <c r="W1402" s="22"/>
      <c r="X1402" s="5" t="str">
        <f aca="false">IF(A1402="","",IF(W1402&lt;&gt;"",W1402,V1402))</f>
        <v/>
      </c>
      <c r="Y1402" s="5" t="str">
        <f aca="false">IF(A1402="","",IF(COUNTIFS($X$2:$X$2001,X1402,$D$2:$D$2001,"&lt;&gt;"&amp;D1402,$C$2:$C$2001,C1402)&gt;0,"SIM","NAO"))</f>
        <v/>
      </c>
      <c r="Z1402" s="5" t="str">
        <f aca="false">IF(A1402="","",IF(J1402="","",IFERROR(360/J1402,"")))</f>
        <v/>
      </c>
      <c r="AA1402" s="5" t="str">
        <f aca="false">IF(A1402="","",IF(H1402=0,"Parado (sem venda 90d)",IF(Z1402&gt;12,"Alto (&gt;12x/ano)",IF(Z1402&gt;=4,"Medio (4-12x/ano)","Baixo (&lt;4x/ano)"))))</f>
        <v/>
      </c>
    </row>
    <row r="1403" customFormat="false" ht="15" hidden="false" customHeight="true" outlineLevel="0" collapsed="false">
      <c r="A1403" s="6"/>
      <c r="B1403" s="6"/>
      <c r="C1403" s="6"/>
      <c r="D1403" s="6"/>
      <c r="E1403" s="6"/>
      <c r="F1403" s="6"/>
      <c r="G1403" s="6"/>
      <c r="H1403" s="6"/>
      <c r="I1403" s="6"/>
      <c r="J1403" s="6"/>
      <c r="K1403" s="18"/>
      <c r="L1403" s="19" t="str">
        <f aca="false">IF(A1403="","",G1403*K1403)</f>
        <v/>
      </c>
      <c r="M1403" s="20"/>
      <c r="N1403" s="6"/>
      <c r="O1403" s="6"/>
      <c r="P1403" s="5" t="str">
        <f aca="false">IF(A1403="","",H1403/90)</f>
        <v/>
      </c>
      <c r="Q1403" s="5" t="str">
        <f aca="false">IF(A1403="","",IFERROR(INDEX(Parâmetros!$C$6:$C$10,MATCH(F1403,Parâmetros!$B$6:$B$10,0)),""))</f>
        <v/>
      </c>
      <c r="R1403" s="5" t="str">
        <f aca="false">IF(OR(A1403="",P1403="",Q1403=""),"",P1403*Q1403)</f>
        <v/>
      </c>
      <c r="S1403" s="5" t="str">
        <f aca="false">IF(R1403="","",MAX(0,R1403-G1403))</f>
        <v/>
      </c>
      <c r="T1403" s="21" t="str">
        <f aca="false">IF(S1403="","",S1403*K1403)</f>
        <v/>
      </c>
      <c r="U1403" s="5" t="str">
        <f aca="false">IF(A1403="","",IF(J1403&gt;Parâmetros!$C$14,"SIM","NAO"))</f>
        <v/>
      </c>
      <c r="V1403" s="5" t="str">
        <f aca="false">IF(B1403="","",TRIM(LEFT(B1403,IFERROR(FIND(" ",B1403)-1,LEN(B1403)))))</f>
        <v/>
      </c>
      <c r="W1403" s="22"/>
      <c r="X1403" s="5" t="str">
        <f aca="false">IF(A1403="","",IF(W1403&lt;&gt;"",W1403,V1403))</f>
        <v/>
      </c>
      <c r="Y1403" s="5" t="str">
        <f aca="false">IF(A1403="","",IF(COUNTIFS($X$2:$X$2001,X1403,$D$2:$D$2001,"&lt;&gt;"&amp;D1403,$C$2:$C$2001,C1403)&gt;0,"SIM","NAO"))</f>
        <v/>
      </c>
      <c r="Z1403" s="5" t="str">
        <f aca="false">IF(A1403="","",IF(J1403="","",IFERROR(360/J1403,"")))</f>
        <v/>
      </c>
      <c r="AA1403" s="5" t="str">
        <f aca="false">IF(A1403="","",IF(H1403=0,"Parado (sem venda 90d)",IF(Z1403&gt;12,"Alto (&gt;12x/ano)",IF(Z1403&gt;=4,"Medio (4-12x/ano)","Baixo (&lt;4x/ano)"))))</f>
        <v/>
      </c>
    </row>
    <row r="1404" customFormat="false" ht="15" hidden="false" customHeight="true" outlineLevel="0" collapsed="false">
      <c r="A1404" s="6"/>
      <c r="B1404" s="6"/>
      <c r="C1404" s="6"/>
      <c r="D1404" s="6"/>
      <c r="E1404" s="6"/>
      <c r="F1404" s="6"/>
      <c r="G1404" s="6"/>
      <c r="H1404" s="6"/>
      <c r="I1404" s="6"/>
      <c r="J1404" s="6"/>
      <c r="K1404" s="18"/>
      <c r="L1404" s="19" t="str">
        <f aca="false">IF(A1404="","",G1404*K1404)</f>
        <v/>
      </c>
      <c r="M1404" s="20"/>
      <c r="N1404" s="6"/>
      <c r="O1404" s="6"/>
      <c r="P1404" s="5" t="str">
        <f aca="false">IF(A1404="","",H1404/90)</f>
        <v/>
      </c>
      <c r="Q1404" s="5" t="str">
        <f aca="false">IF(A1404="","",IFERROR(INDEX(Parâmetros!$C$6:$C$10,MATCH(F1404,Parâmetros!$B$6:$B$10,0)),""))</f>
        <v/>
      </c>
      <c r="R1404" s="5" t="str">
        <f aca="false">IF(OR(A1404="",P1404="",Q1404=""),"",P1404*Q1404)</f>
        <v/>
      </c>
      <c r="S1404" s="5" t="str">
        <f aca="false">IF(R1404="","",MAX(0,R1404-G1404))</f>
        <v/>
      </c>
      <c r="T1404" s="21" t="str">
        <f aca="false">IF(S1404="","",S1404*K1404)</f>
        <v/>
      </c>
      <c r="U1404" s="5" t="str">
        <f aca="false">IF(A1404="","",IF(J1404&gt;Parâmetros!$C$14,"SIM","NAO"))</f>
        <v/>
      </c>
      <c r="V1404" s="5" t="str">
        <f aca="false">IF(B1404="","",TRIM(LEFT(B1404,IFERROR(FIND(" ",B1404)-1,LEN(B1404)))))</f>
        <v/>
      </c>
      <c r="W1404" s="22"/>
      <c r="X1404" s="5" t="str">
        <f aca="false">IF(A1404="","",IF(W1404&lt;&gt;"",W1404,V1404))</f>
        <v/>
      </c>
      <c r="Y1404" s="5" t="str">
        <f aca="false">IF(A1404="","",IF(COUNTIFS($X$2:$X$2001,X1404,$D$2:$D$2001,"&lt;&gt;"&amp;D1404,$C$2:$C$2001,C1404)&gt;0,"SIM","NAO"))</f>
        <v/>
      </c>
      <c r="Z1404" s="5" t="str">
        <f aca="false">IF(A1404="","",IF(J1404="","",IFERROR(360/J1404,"")))</f>
        <v/>
      </c>
      <c r="AA1404" s="5" t="str">
        <f aca="false">IF(A1404="","",IF(H1404=0,"Parado (sem venda 90d)",IF(Z1404&gt;12,"Alto (&gt;12x/ano)",IF(Z1404&gt;=4,"Medio (4-12x/ano)","Baixo (&lt;4x/ano)"))))</f>
        <v/>
      </c>
    </row>
    <row r="1405" customFormat="false" ht="15" hidden="false" customHeight="true" outlineLevel="0" collapsed="false">
      <c r="A1405" s="6"/>
      <c r="B1405" s="6"/>
      <c r="C1405" s="6"/>
      <c r="D1405" s="6"/>
      <c r="E1405" s="6"/>
      <c r="F1405" s="6"/>
      <c r="G1405" s="6"/>
      <c r="H1405" s="6"/>
      <c r="I1405" s="6"/>
      <c r="J1405" s="6"/>
      <c r="K1405" s="18"/>
      <c r="L1405" s="19" t="str">
        <f aca="false">IF(A1405="","",G1405*K1405)</f>
        <v/>
      </c>
      <c r="M1405" s="20"/>
      <c r="N1405" s="6"/>
      <c r="O1405" s="6"/>
      <c r="P1405" s="5" t="str">
        <f aca="false">IF(A1405="","",H1405/90)</f>
        <v/>
      </c>
      <c r="Q1405" s="5" t="str">
        <f aca="false">IF(A1405="","",IFERROR(INDEX(Parâmetros!$C$6:$C$10,MATCH(F1405,Parâmetros!$B$6:$B$10,0)),""))</f>
        <v/>
      </c>
      <c r="R1405" s="5" t="str">
        <f aca="false">IF(OR(A1405="",P1405="",Q1405=""),"",P1405*Q1405)</f>
        <v/>
      </c>
      <c r="S1405" s="5" t="str">
        <f aca="false">IF(R1405="","",MAX(0,R1405-G1405))</f>
        <v/>
      </c>
      <c r="T1405" s="21" t="str">
        <f aca="false">IF(S1405="","",S1405*K1405)</f>
        <v/>
      </c>
      <c r="U1405" s="5" t="str">
        <f aca="false">IF(A1405="","",IF(J1405&gt;Parâmetros!$C$14,"SIM","NAO"))</f>
        <v/>
      </c>
      <c r="V1405" s="5" t="str">
        <f aca="false">IF(B1405="","",TRIM(LEFT(B1405,IFERROR(FIND(" ",B1405)-1,LEN(B1405)))))</f>
        <v/>
      </c>
      <c r="W1405" s="22"/>
      <c r="X1405" s="5" t="str">
        <f aca="false">IF(A1405="","",IF(W1405&lt;&gt;"",W1405,V1405))</f>
        <v/>
      </c>
      <c r="Y1405" s="5" t="str">
        <f aca="false">IF(A1405="","",IF(COUNTIFS($X$2:$X$2001,X1405,$D$2:$D$2001,"&lt;&gt;"&amp;D1405,$C$2:$C$2001,C1405)&gt;0,"SIM","NAO"))</f>
        <v/>
      </c>
      <c r="Z1405" s="5" t="str">
        <f aca="false">IF(A1405="","",IF(J1405="","",IFERROR(360/J1405,"")))</f>
        <v/>
      </c>
      <c r="AA1405" s="5" t="str">
        <f aca="false">IF(A1405="","",IF(H1405=0,"Parado (sem venda 90d)",IF(Z1405&gt;12,"Alto (&gt;12x/ano)",IF(Z1405&gt;=4,"Medio (4-12x/ano)","Baixo (&lt;4x/ano)"))))</f>
        <v/>
      </c>
    </row>
    <row r="1406" customFormat="false" ht="15" hidden="false" customHeight="true" outlineLevel="0" collapsed="false">
      <c r="A1406" s="6"/>
      <c r="B1406" s="6"/>
      <c r="C1406" s="6"/>
      <c r="D1406" s="6"/>
      <c r="E1406" s="6"/>
      <c r="F1406" s="6"/>
      <c r="G1406" s="6"/>
      <c r="H1406" s="6"/>
      <c r="I1406" s="6"/>
      <c r="J1406" s="6"/>
      <c r="K1406" s="18"/>
      <c r="L1406" s="19" t="str">
        <f aca="false">IF(A1406="","",G1406*K1406)</f>
        <v/>
      </c>
      <c r="M1406" s="20"/>
      <c r="N1406" s="6"/>
      <c r="O1406" s="6"/>
      <c r="P1406" s="5" t="str">
        <f aca="false">IF(A1406="","",H1406/90)</f>
        <v/>
      </c>
      <c r="Q1406" s="5" t="str">
        <f aca="false">IF(A1406="","",IFERROR(INDEX(Parâmetros!$C$6:$C$10,MATCH(F1406,Parâmetros!$B$6:$B$10,0)),""))</f>
        <v/>
      </c>
      <c r="R1406" s="5" t="str">
        <f aca="false">IF(OR(A1406="",P1406="",Q1406=""),"",P1406*Q1406)</f>
        <v/>
      </c>
      <c r="S1406" s="5" t="str">
        <f aca="false">IF(R1406="","",MAX(0,R1406-G1406))</f>
        <v/>
      </c>
      <c r="T1406" s="21" t="str">
        <f aca="false">IF(S1406="","",S1406*K1406)</f>
        <v/>
      </c>
      <c r="U1406" s="5" t="str">
        <f aca="false">IF(A1406="","",IF(J1406&gt;Parâmetros!$C$14,"SIM","NAO"))</f>
        <v/>
      </c>
      <c r="V1406" s="5" t="str">
        <f aca="false">IF(B1406="","",TRIM(LEFT(B1406,IFERROR(FIND(" ",B1406)-1,LEN(B1406)))))</f>
        <v/>
      </c>
      <c r="W1406" s="22"/>
      <c r="X1406" s="5" t="str">
        <f aca="false">IF(A1406="","",IF(W1406&lt;&gt;"",W1406,V1406))</f>
        <v/>
      </c>
      <c r="Y1406" s="5" t="str">
        <f aca="false">IF(A1406="","",IF(COUNTIFS($X$2:$X$2001,X1406,$D$2:$D$2001,"&lt;&gt;"&amp;D1406,$C$2:$C$2001,C1406)&gt;0,"SIM","NAO"))</f>
        <v/>
      </c>
      <c r="Z1406" s="5" t="str">
        <f aca="false">IF(A1406="","",IF(J1406="","",IFERROR(360/J1406,"")))</f>
        <v/>
      </c>
      <c r="AA1406" s="5" t="str">
        <f aca="false">IF(A1406="","",IF(H1406=0,"Parado (sem venda 90d)",IF(Z1406&gt;12,"Alto (&gt;12x/ano)",IF(Z1406&gt;=4,"Medio (4-12x/ano)","Baixo (&lt;4x/ano)"))))</f>
        <v/>
      </c>
    </row>
    <row r="1407" customFormat="false" ht="15" hidden="false" customHeight="true" outlineLevel="0" collapsed="false">
      <c r="A1407" s="6"/>
      <c r="B1407" s="6"/>
      <c r="C1407" s="6"/>
      <c r="D1407" s="6"/>
      <c r="E1407" s="6"/>
      <c r="F1407" s="6"/>
      <c r="G1407" s="6"/>
      <c r="H1407" s="6"/>
      <c r="I1407" s="6"/>
      <c r="J1407" s="6"/>
      <c r="K1407" s="18"/>
      <c r="L1407" s="19" t="str">
        <f aca="false">IF(A1407="","",G1407*K1407)</f>
        <v/>
      </c>
      <c r="M1407" s="20"/>
      <c r="N1407" s="6"/>
      <c r="O1407" s="6"/>
      <c r="P1407" s="5" t="str">
        <f aca="false">IF(A1407="","",H1407/90)</f>
        <v/>
      </c>
      <c r="Q1407" s="5" t="str">
        <f aca="false">IF(A1407="","",IFERROR(INDEX(Parâmetros!$C$6:$C$10,MATCH(F1407,Parâmetros!$B$6:$B$10,0)),""))</f>
        <v/>
      </c>
      <c r="R1407" s="5" t="str">
        <f aca="false">IF(OR(A1407="",P1407="",Q1407=""),"",P1407*Q1407)</f>
        <v/>
      </c>
      <c r="S1407" s="5" t="str">
        <f aca="false">IF(R1407="","",MAX(0,R1407-G1407))</f>
        <v/>
      </c>
      <c r="T1407" s="21" t="str">
        <f aca="false">IF(S1407="","",S1407*K1407)</f>
        <v/>
      </c>
      <c r="U1407" s="5" t="str">
        <f aca="false">IF(A1407="","",IF(J1407&gt;Parâmetros!$C$14,"SIM","NAO"))</f>
        <v/>
      </c>
      <c r="V1407" s="5" t="str">
        <f aca="false">IF(B1407="","",TRIM(LEFT(B1407,IFERROR(FIND(" ",B1407)-1,LEN(B1407)))))</f>
        <v/>
      </c>
      <c r="W1407" s="22"/>
      <c r="X1407" s="5" t="str">
        <f aca="false">IF(A1407="","",IF(W1407&lt;&gt;"",W1407,V1407))</f>
        <v/>
      </c>
      <c r="Y1407" s="5" t="str">
        <f aca="false">IF(A1407="","",IF(COUNTIFS($X$2:$X$2001,X1407,$D$2:$D$2001,"&lt;&gt;"&amp;D1407,$C$2:$C$2001,C1407)&gt;0,"SIM","NAO"))</f>
        <v/>
      </c>
      <c r="Z1407" s="5" t="str">
        <f aca="false">IF(A1407="","",IF(J1407="","",IFERROR(360/J1407,"")))</f>
        <v/>
      </c>
      <c r="AA1407" s="5" t="str">
        <f aca="false">IF(A1407="","",IF(H1407=0,"Parado (sem venda 90d)",IF(Z1407&gt;12,"Alto (&gt;12x/ano)",IF(Z1407&gt;=4,"Medio (4-12x/ano)","Baixo (&lt;4x/ano)"))))</f>
        <v/>
      </c>
    </row>
    <row r="1408" customFormat="false" ht="15" hidden="false" customHeight="true" outlineLevel="0" collapsed="false">
      <c r="A1408" s="6"/>
      <c r="B1408" s="6"/>
      <c r="C1408" s="6"/>
      <c r="D1408" s="6"/>
      <c r="E1408" s="6"/>
      <c r="F1408" s="6"/>
      <c r="G1408" s="6"/>
      <c r="H1408" s="6"/>
      <c r="I1408" s="6"/>
      <c r="J1408" s="6"/>
      <c r="K1408" s="18"/>
      <c r="L1408" s="19" t="str">
        <f aca="false">IF(A1408="","",G1408*K1408)</f>
        <v/>
      </c>
      <c r="M1408" s="20"/>
      <c r="N1408" s="6"/>
      <c r="O1408" s="6"/>
      <c r="P1408" s="5" t="str">
        <f aca="false">IF(A1408="","",H1408/90)</f>
        <v/>
      </c>
      <c r="Q1408" s="5" t="str">
        <f aca="false">IF(A1408="","",IFERROR(INDEX(Parâmetros!$C$6:$C$10,MATCH(F1408,Parâmetros!$B$6:$B$10,0)),""))</f>
        <v/>
      </c>
      <c r="R1408" s="5" t="str">
        <f aca="false">IF(OR(A1408="",P1408="",Q1408=""),"",P1408*Q1408)</f>
        <v/>
      </c>
      <c r="S1408" s="5" t="str">
        <f aca="false">IF(R1408="","",MAX(0,R1408-G1408))</f>
        <v/>
      </c>
      <c r="T1408" s="21" t="str">
        <f aca="false">IF(S1408="","",S1408*K1408)</f>
        <v/>
      </c>
      <c r="U1408" s="5" t="str">
        <f aca="false">IF(A1408="","",IF(J1408&gt;Parâmetros!$C$14,"SIM","NAO"))</f>
        <v/>
      </c>
      <c r="V1408" s="5" t="str">
        <f aca="false">IF(B1408="","",TRIM(LEFT(B1408,IFERROR(FIND(" ",B1408)-1,LEN(B1408)))))</f>
        <v/>
      </c>
      <c r="W1408" s="22"/>
      <c r="X1408" s="5" t="str">
        <f aca="false">IF(A1408="","",IF(W1408&lt;&gt;"",W1408,V1408))</f>
        <v/>
      </c>
      <c r="Y1408" s="5" t="str">
        <f aca="false">IF(A1408="","",IF(COUNTIFS($X$2:$X$2001,X1408,$D$2:$D$2001,"&lt;&gt;"&amp;D1408,$C$2:$C$2001,C1408)&gt;0,"SIM","NAO"))</f>
        <v/>
      </c>
      <c r="Z1408" s="5" t="str">
        <f aca="false">IF(A1408="","",IF(J1408="","",IFERROR(360/J1408,"")))</f>
        <v/>
      </c>
      <c r="AA1408" s="5" t="str">
        <f aca="false">IF(A1408="","",IF(H1408=0,"Parado (sem venda 90d)",IF(Z1408&gt;12,"Alto (&gt;12x/ano)",IF(Z1408&gt;=4,"Medio (4-12x/ano)","Baixo (&lt;4x/ano)"))))</f>
        <v/>
      </c>
    </row>
    <row r="1409" customFormat="false" ht="15" hidden="false" customHeight="true" outlineLevel="0" collapsed="false">
      <c r="A1409" s="6"/>
      <c r="B1409" s="6"/>
      <c r="C1409" s="6"/>
      <c r="D1409" s="6"/>
      <c r="E1409" s="6"/>
      <c r="F1409" s="6"/>
      <c r="G1409" s="6"/>
      <c r="H1409" s="6"/>
      <c r="I1409" s="6"/>
      <c r="J1409" s="6"/>
      <c r="K1409" s="18"/>
      <c r="L1409" s="19" t="str">
        <f aca="false">IF(A1409="","",G1409*K1409)</f>
        <v/>
      </c>
      <c r="M1409" s="20"/>
      <c r="N1409" s="6"/>
      <c r="O1409" s="6"/>
      <c r="P1409" s="5" t="str">
        <f aca="false">IF(A1409="","",H1409/90)</f>
        <v/>
      </c>
      <c r="Q1409" s="5" t="str">
        <f aca="false">IF(A1409="","",IFERROR(INDEX(Parâmetros!$C$6:$C$10,MATCH(F1409,Parâmetros!$B$6:$B$10,0)),""))</f>
        <v/>
      </c>
      <c r="R1409" s="5" t="str">
        <f aca="false">IF(OR(A1409="",P1409="",Q1409=""),"",P1409*Q1409)</f>
        <v/>
      </c>
      <c r="S1409" s="5" t="str">
        <f aca="false">IF(R1409="","",MAX(0,R1409-G1409))</f>
        <v/>
      </c>
      <c r="T1409" s="21" t="str">
        <f aca="false">IF(S1409="","",S1409*K1409)</f>
        <v/>
      </c>
      <c r="U1409" s="5" t="str">
        <f aca="false">IF(A1409="","",IF(J1409&gt;Parâmetros!$C$14,"SIM","NAO"))</f>
        <v/>
      </c>
      <c r="V1409" s="5" t="str">
        <f aca="false">IF(B1409="","",TRIM(LEFT(B1409,IFERROR(FIND(" ",B1409)-1,LEN(B1409)))))</f>
        <v/>
      </c>
      <c r="W1409" s="22"/>
      <c r="X1409" s="5" t="str">
        <f aca="false">IF(A1409="","",IF(W1409&lt;&gt;"",W1409,V1409))</f>
        <v/>
      </c>
      <c r="Y1409" s="5" t="str">
        <f aca="false">IF(A1409="","",IF(COUNTIFS($X$2:$X$2001,X1409,$D$2:$D$2001,"&lt;&gt;"&amp;D1409,$C$2:$C$2001,C1409)&gt;0,"SIM","NAO"))</f>
        <v/>
      </c>
      <c r="Z1409" s="5" t="str">
        <f aca="false">IF(A1409="","",IF(J1409="","",IFERROR(360/J1409,"")))</f>
        <v/>
      </c>
      <c r="AA1409" s="5" t="str">
        <f aca="false">IF(A1409="","",IF(H1409=0,"Parado (sem venda 90d)",IF(Z1409&gt;12,"Alto (&gt;12x/ano)",IF(Z1409&gt;=4,"Medio (4-12x/ano)","Baixo (&lt;4x/ano)"))))</f>
        <v/>
      </c>
    </row>
    <row r="1410" customFormat="false" ht="15" hidden="false" customHeight="true" outlineLevel="0" collapsed="false">
      <c r="A1410" s="6"/>
      <c r="B1410" s="6"/>
      <c r="C1410" s="6"/>
      <c r="D1410" s="6"/>
      <c r="E1410" s="6"/>
      <c r="F1410" s="6"/>
      <c r="G1410" s="6"/>
      <c r="H1410" s="6"/>
      <c r="I1410" s="6"/>
      <c r="J1410" s="6"/>
      <c r="K1410" s="18"/>
      <c r="L1410" s="19" t="str">
        <f aca="false">IF(A1410="","",G1410*K1410)</f>
        <v/>
      </c>
      <c r="M1410" s="20"/>
      <c r="N1410" s="6"/>
      <c r="O1410" s="6"/>
      <c r="P1410" s="5" t="str">
        <f aca="false">IF(A1410="","",H1410/90)</f>
        <v/>
      </c>
      <c r="Q1410" s="5" t="str">
        <f aca="false">IF(A1410="","",IFERROR(INDEX(Parâmetros!$C$6:$C$10,MATCH(F1410,Parâmetros!$B$6:$B$10,0)),""))</f>
        <v/>
      </c>
      <c r="R1410" s="5" t="str">
        <f aca="false">IF(OR(A1410="",P1410="",Q1410=""),"",P1410*Q1410)</f>
        <v/>
      </c>
      <c r="S1410" s="5" t="str">
        <f aca="false">IF(R1410="","",MAX(0,R1410-G1410))</f>
        <v/>
      </c>
      <c r="T1410" s="21" t="str">
        <f aca="false">IF(S1410="","",S1410*K1410)</f>
        <v/>
      </c>
      <c r="U1410" s="5" t="str">
        <f aca="false">IF(A1410="","",IF(J1410&gt;Parâmetros!$C$14,"SIM","NAO"))</f>
        <v/>
      </c>
      <c r="V1410" s="5" t="str">
        <f aca="false">IF(B1410="","",TRIM(LEFT(B1410,IFERROR(FIND(" ",B1410)-1,LEN(B1410)))))</f>
        <v/>
      </c>
      <c r="W1410" s="22"/>
      <c r="X1410" s="5" t="str">
        <f aca="false">IF(A1410="","",IF(W1410&lt;&gt;"",W1410,V1410))</f>
        <v/>
      </c>
      <c r="Y1410" s="5" t="str">
        <f aca="false">IF(A1410="","",IF(COUNTIFS($X$2:$X$2001,X1410,$D$2:$D$2001,"&lt;&gt;"&amp;D1410,$C$2:$C$2001,C1410)&gt;0,"SIM","NAO"))</f>
        <v/>
      </c>
      <c r="Z1410" s="5" t="str">
        <f aca="false">IF(A1410="","",IF(J1410="","",IFERROR(360/J1410,"")))</f>
        <v/>
      </c>
      <c r="AA1410" s="5" t="str">
        <f aca="false">IF(A1410="","",IF(H1410=0,"Parado (sem venda 90d)",IF(Z1410&gt;12,"Alto (&gt;12x/ano)",IF(Z1410&gt;=4,"Medio (4-12x/ano)","Baixo (&lt;4x/ano)"))))</f>
        <v/>
      </c>
    </row>
    <row r="1411" customFormat="false" ht="15" hidden="false" customHeight="true" outlineLevel="0" collapsed="false">
      <c r="A1411" s="6"/>
      <c r="B1411" s="6"/>
      <c r="C1411" s="6"/>
      <c r="D1411" s="6"/>
      <c r="E1411" s="6"/>
      <c r="F1411" s="6"/>
      <c r="G1411" s="6"/>
      <c r="H1411" s="6"/>
      <c r="I1411" s="6"/>
      <c r="J1411" s="6"/>
      <c r="K1411" s="18"/>
      <c r="L1411" s="19" t="str">
        <f aca="false">IF(A1411="","",G1411*K1411)</f>
        <v/>
      </c>
      <c r="M1411" s="20"/>
      <c r="N1411" s="6"/>
      <c r="O1411" s="6"/>
      <c r="P1411" s="5" t="str">
        <f aca="false">IF(A1411="","",H1411/90)</f>
        <v/>
      </c>
      <c r="Q1411" s="5" t="str">
        <f aca="false">IF(A1411="","",IFERROR(INDEX(Parâmetros!$C$6:$C$10,MATCH(F1411,Parâmetros!$B$6:$B$10,0)),""))</f>
        <v/>
      </c>
      <c r="R1411" s="5" t="str">
        <f aca="false">IF(OR(A1411="",P1411="",Q1411=""),"",P1411*Q1411)</f>
        <v/>
      </c>
      <c r="S1411" s="5" t="str">
        <f aca="false">IF(R1411="","",MAX(0,R1411-G1411))</f>
        <v/>
      </c>
      <c r="T1411" s="21" t="str">
        <f aca="false">IF(S1411="","",S1411*K1411)</f>
        <v/>
      </c>
      <c r="U1411" s="5" t="str">
        <f aca="false">IF(A1411="","",IF(J1411&gt;Parâmetros!$C$14,"SIM","NAO"))</f>
        <v/>
      </c>
      <c r="V1411" s="5" t="str">
        <f aca="false">IF(B1411="","",TRIM(LEFT(B1411,IFERROR(FIND(" ",B1411)-1,LEN(B1411)))))</f>
        <v/>
      </c>
      <c r="W1411" s="22"/>
      <c r="X1411" s="5" t="str">
        <f aca="false">IF(A1411="","",IF(W1411&lt;&gt;"",W1411,V1411))</f>
        <v/>
      </c>
      <c r="Y1411" s="5" t="str">
        <f aca="false">IF(A1411="","",IF(COUNTIFS($X$2:$X$2001,X1411,$D$2:$D$2001,"&lt;&gt;"&amp;D1411,$C$2:$C$2001,C1411)&gt;0,"SIM","NAO"))</f>
        <v/>
      </c>
      <c r="Z1411" s="5" t="str">
        <f aca="false">IF(A1411="","",IF(J1411="","",IFERROR(360/J1411,"")))</f>
        <v/>
      </c>
      <c r="AA1411" s="5" t="str">
        <f aca="false">IF(A1411="","",IF(H1411=0,"Parado (sem venda 90d)",IF(Z1411&gt;12,"Alto (&gt;12x/ano)",IF(Z1411&gt;=4,"Medio (4-12x/ano)","Baixo (&lt;4x/ano)"))))</f>
        <v/>
      </c>
    </row>
    <row r="1412" customFormat="false" ht="15" hidden="false" customHeight="true" outlineLevel="0" collapsed="false">
      <c r="A1412" s="6"/>
      <c r="B1412" s="6"/>
      <c r="C1412" s="6"/>
      <c r="D1412" s="6"/>
      <c r="E1412" s="6"/>
      <c r="F1412" s="6"/>
      <c r="G1412" s="6"/>
      <c r="H1412" s="6"/>
      <c r="I1412" s="6"/>
      <c r="J1412" s="6"/>
      <c r="K1412" s="18"/>
      <c r="L1412" s="19" t="str">
        <f aca="false">IF(A1412="","",G1412*K1412)</f>
        <v/>
      </c>
      <c r="M1412" s="20"/>
      <c r="N1412" s="6"/>
      <c r="O1412" s="6"/>
      <c r="P1412" s="5" t="str">
        <f aca="false">IF(A1412="","",H1412/90)</f>
        <v/>
      </c>
      <c r="Q1412" s="5" t="str">
        <f aca="false">IF(A1412="","",IFERROR(INDEX(Parâmetros!$C$6:$C$10,MATCH(F1412,Parâmetros!$B$6:$B$10,0)),""))</f>
        <v/>
      </c>
      <c r="R1412" s="5" t="str">
        <f aca="false">IF(OR(A1412="",P1412="",Q1412=""),"",P1412*Q1412)</f>
        <v/>
      </c>
      <c r="S1412" s="5" t="str">
        <f aca="false">IF(R1412="","",MAX(0,R1412-G1412))</f>
        <v/>
      </c>
      <c r="T1412" s="21" t="str">
        <f aca="false">IF(S1412="","",S1412*K1412)</f>
        <v/>
      </c>
      <c r="U1412" s="5" t="str">
        <f aca="false">IF(A1412="","",IF(J1412&gt;Parâmetros!$C$14,"SIM","NAO"))</f>
        <v/>
      </c>
      <c r="V1412" s="5" t="str">
        <f aca="false">IF(B1412="","",TRIM(LEFT(B1412,IFERROR(FIND(" ",B1412)-1,LEN(B1412)))))</f>
        <v/>
      </c>
      <c r="W1412" s="22"/>
      <c r="X1412" s="5" t="str">
        <f aca="false">IF(A1412="","",IF(W1412&lt;&gt;"",W1412,V1412))</f>
        <v/>
      </c>
      <c r="Y1412" s="5" t="str">
        <f aca="false">IF(A1412="","",IF(COUNTIFS($X$2:$X$2001,X1412,$D$2:$D$2001,"&lt;&gt;"&amp;D1412,$C$2:$C$2001,C1412)&gt;0,"SIM","NAO"))</f>
        <v/>
      </c>
      <c r="Z1412" s="5" t="str">
        <f aca="false">IF(A1412="","",IF(J1412="","",IFERROR(360/J1412,"")))</f>
        <v/>
      </c>
      <c r="AA1412" s="5" t="str">
        <f aca="false">IF(A1412="","",IF(H1412=0,"Parado (sem venda 90d)",IF(Z1412&gt;12,"Alto (&gt;12x/ano)",IF(Z1412&gt;=4,"Medio (4-12x/ano)","Baixo (&lt;4x/ano)"))))</f>
        <v/>
      </c>
    </row>
    <row r="1413" customFormat="false" ht="15" hidden="false" customHeight="true" outlineLevel="0" collapsed="false">
      <c r="A1413" s="6"/>
      <c r="B1413" s="6"/>
      <c r="C1413" s="6"/>
      <c r="D1413" s="6"/>
      <c r="E1413" s="6"/>
      <c r="F1413" s="6"/>
      <c r="G1413" s="6"/>
      <c r="H1413" s="6"/>
      <c r="I1413" s="6"/>
      <c r="J1413" s="6"/>
      <c r="K1413" s="18"/>
      <c r="L1413" s="19" t="str">
        <f aca="false">IF(A1413="","",G1413*K1413)</f>
        <v/>
      </c>
      <c r="M1413" s="20"/>
      <c r="N1413" s="6"/>
      <c r="O1413" s="6"/>
      <c r="P1413" s="5" t="str">
        <f aca="false">IF(A1413="","",H1413/90)</f>
        <v/>
      </c>
      <c r="Q1413" s="5" t="str">
        <f aca="false">IF(A1413="","",IFERROR(INDEX(Parâmetros!$C$6:$C$10,MATCH(F1413,Parâmetros!$B$6:$B$10,0)),""))</f>
        <v/>
      </c>
      <c r="R1413" s="5" t="str">
        <f aca="false">IF(OR(A1413="",P1413="",Q1413=""),"",P1413*Q1413)</f>
        <v/>
      </c>
      <c r="S1413" s="5" t="str">
        <f aca="false">IF(R1413="","",MAX(0,R1413-G1413))</f>
        <v/>
      </c>
      <c r="T1413" s="21" t="str">
        <f aca="false">IF(S1413="","",S1413*K1413)</f>
        <v/>
      </c>
      <c r="U1413" s="5" t="str">
        <f aca="false">IF(A1413="","",IF(J1413&gt;Parâmetros!$C$14,"SIM","NAO"))</f>
        <v/>
      </c>
      <c r="V1413" s="5" t="str">
        <f aca="false">IF(B1413="","",TRIM(LEFT(B1413,IFERROR(FIND(" ",B1413)-1,LEN(B1413)))))</f>
        <v/>
      </c>
      <c r="W1413" s="22"/>
      <c r="X1413" s="5" t="str">
        <f aca="false">IF(A1413="","",IF(W1413&lt;&gt;"",W1413,V1413))</f>
        <v/>
      </c>
      <c r="Y1413" s="5" t="str">
        <f aca="false">IF(A1413="","",IF(COUNTIFS($X$2:$X$2001,X1413,$D$2:$D$2001,"&lt;&gt;"&amp;D1413,$C$2:$C$2001,C1413)&gt;0,"SIM","NAO"))</f>
        <v/>
      </c>
      <c r="Z1413" s="5" t="str">
        <f aca="false">IF(A1413="","",IF(J1413="","",IFERROR(360/J1413,"")))</f>
        <v/>
      </c>
      <c r="AA1413" s="5" t="str">
        <f aca="false">IF(A1413="","",IF(H1413=0,"Parado (sem venda 90d)",IF(Z1413&gt;12,"Alto (&gt;12x/ano)",IF(Z1413&gt;=4,"Medio (4-12x/ano)","Baixo (&lt;4x/ano)"))))</f>
        <v/>
      </c>
    </row>
    <row r="1414" customFormat="false" ht="15" hidden="false" customHeight="true" outlineLevel="0" collapsed="false">
      <c r="A1414" s="6"/>
      <c r="B1414" s="6"/>
      <c r="C1414" s="6"/>
      <c r="D1414" s="6"/>
      <c r="E1414" s="6"/>
      <c r="F1414" s="6"/>
      <c r="G1414" s="6"/>
      <c r="H1414" s="6"/>
      <c r="I1414" s="6"/>
      <c r="J1414" s="6"/>
      <c r="K1414" s="18"/>
      <c r="L1414" s="19" t="str">
        <f aca="false">IF(A1414="","",G1414*K1414)</f>
        <v/>
      </c>
      <c r="M1414" s="20"/>
      <c r="N1414" s="6"/>
      <c r="O1414" s="6"/>
      <c r="P1414" s="5" t="str">
        <f aca="false">IF(A1414="","",H1414/90)</f>
        <v/>
      </c>
      <c r="Q1414" s="5" t="str">
        <f aca="false">IF(A1414="","",IFERROR(INDEX(Parâmetros!$C$6:$C$10,MATCH(F1414,Parâmetros!$B$6:$B$10,0)),""))</f>
        <v/>
      </c>
      <c r="R1414" s="5" t="str">
        <f aca="false">IF(OR(A1414="",P1414="",Q1414=""),"",P1414*Q1414)</f>
        <v/>
      </c>
      <c r="S1414" s="5" t="str">
        <f aca="false">IF(R1414="","",MAX(0,R1414-G1414))</f>
        <v/>
      </c>
      <c r="T1414" s="21" t="str">
        <f aca="false">IF(S1414="","",S1414*K1414)</f>
        <v/>
      </c>
      <c r="U1414" s="5" t="str">
        <f aca="false">IF(A1414="","",IF(J1414&gt;Parâmetros!$C$14,"SIM","NAO"))</f>
        <v/>
      </c>
      <c r="V1414" s="5" t="str">
        <f aca="false">IF(B1414="","",TRIM(LEFT(B1414,IFERROR(FIND(" ",B1414)-1,LEN(B1414)))))</f>
        <v/>
      </c>
      <c r="W1414" s="22"/>
      <c r="X1414" s="5" t="str">
        <f aca="false">IF(A1414="","",IF(W1414&lt;&gt;"",W1414,V1414))</f>
        <v/>
      </c>
      <c r="Y1414" s="5" t="str">
        <f aca="false">IF(A1414="","",IF(COUNTIFS($X$2:$X$2001,X1414,$D$2:$D$2001,"&lt;&gt;"&amp;D1414,$C$2:$C$2001,C1414)&gt;0,"SIM","NAO"))</f>
        <v/>
      </c>
      <c r="Z1414" s="5" t="str">
        <f aca="false">IF(A1414="","",IF(J1414="","",IFERROR(360/J1414,"")))</f>
        <v/>
      </c>
      <c r="AA1414" s="5" t="str">
        <f aca="false">IF(A1414="","",IF(H1414=0,"Parado (sem venda 90d)",IF(Z1414&gt;12,"Alto (&gt;12x/ano)",IF(Z1414&gt;=4,"Medio (4-12x/ano)","Baixo (&lt;4x/ano)"))))</f>
        <v/>
      </c>
    </row>
    <row r="1415" customFormat="false" ht="15" hidden="false" customHeight="true" outlineLevel="0" collapsed="false">
      <c r="A1415" s="6"/>
      <c r="B1415" s="6"/>
      <c r="C1415" s="6"/>
      <c r="D1415" s="6"/>
      <c r="E1415" s="6"/>
      <c r="F1415" s="6"/>
      <c r="G1415" s="6"/>
      <c r="H1415" s="6"/>
      <c r="I1415" s="6"/>
      <c r="J1415" s="6"/>
      <c r="K1415" s="18"/>
      <c r="L1415" s="19" t="str">
        <f aca="false">IF(A1415="","",G1415*K1415)</f>
        <v/>
      </c>
      <c r="M1415" s="20"/>
      <c r="N1415" s="6"/>
      <c r="O1415" s="6"/>
      <c r="P1415" s="5" t="str">
        <f aca="false">IF(A1415="","",H1415/90)</f>
        <v/>
      </c>
      <c r="Q1415" s="5" t="str">
        <f aca="false">IF(A1415="","",IFERROR(INDEX(Parâmetros!$C$6:$C$10,MATCH(F1415,Parâmetros!$B$6:$B$10,0)),""))</f>
        <v/>
      </c>
      <c r="R1415" s="5" t="str">
        <f aca="false">IF(OR(A1415="",P1415="",Q1415=""),"",P1415*Q1415)</f>
        <v/>
      </c>
      <c r="S1415" s="5" t="str">
        <f aca="false">IF(R1415="","",MAX(0,R1415-G1415))</f>
        <v/>
      </c>
      <c r="T1415" s="21" t="str">
        <f aca="false">IF(S1415="","",S1415*K1415)</f>
        <v/>
      </c>
      <c r="U1415" s="5" t="str">
        <f aca="false">IF(A1415="","",IF(J1415&gt;Parâmetros!$C$14,"SIM","NAO"))</f>
        <v/>
      </c>
      <c r="V1415" s="5" t="str">
        <f aca="false">IF(B1415="","",TRIM(LEFT(B1415,IFERROR(FIND(" ",B1415)-1,LEN(B1415)))))</f>
        <v/>
      </c>
      <c r="W1415" s="22"/>
      <c r="X1415" s="5" t="str">
        <f aca="false">IF(A1415="","",IF(W1415&lt;&gt;"",W1415,V1415))</f>
        <v/>
      </c>
      <c r="Y1415" s="5" t="str">
        <f aca="false">IF(A1415="","",IF(COUNTIFS($X$2:$X$2001,X1415,$D$2:$D$2001,"&lt;&gt;"&amp;D1415,$C$2:$C$2001,C1415)&gt;0,"SIM","NAO"))</f>
        <v/>
      </c>
      <c r="Z1415" s="5" t="str">
        <f aca="false">IF(A1415="","",IF(J1415="","",IFERROR(360/J1415,"")))</f>
        <v/>
      </c>
      <c r="AA1415" s="5" t="str">
        <f aca="false">IF(A1415="","",IF(H1415=0,"Parado (sem venda 90d)",IF(Z1415&gt;12,"Alto (&gt;12x/ano)",IF(Z1415&gt;=4,"Medio (4-12x/ano)","Baixo (&lt;4x/ano)"))))</f>
        <v/>
      </c>
    </row>
    <row r="1416" customFormat="false" ht="15" hidden="false" customHeight="true" outlineLevel="0" collapsed="false">
      <c r="A1416" s="6"/>
      <c r="B1416" s="6"/>
      <c r="C1416" s="6"/>
      <c r="D1416" s="6"/>
      <c r="E1416" s="6"/>
      <c r="F1416" s="6"/>
      <c r="G1416" s="6"/>
      <c r="H1416" s="6"/>
      <c r="I1416" s="6"/>
      <c r="J1416" s="6"/>
      <c r="K1416" s="18"/>
      <c r="L1416" s="19" t="str">
        <f aca="false">IF(A1416="","",G1416*K1416)</f>
        <v/>
      </c>
      <c r="M1416" s="20"/>
      <c r="N1416" s="6"/>
      <c r="O1416" s="6"/>
      <c r="P1416" s="5" t="str">
        <f aca="false">IF(A1416="","",H1416/90)</f>
        <v/>
      </c>
      <c r="Q1416" s="5" t="str">
        <f aca="false">IF(A1416="","",IFERROR(INDEX(Parâmetros!$C$6:$C$10,MATCH(F1416,Parâmetros!$B$6:$B$10,0)),""))</f>
        <v/>
      </c>
      <c r="R1416" s="5" t="str">
        <f aca="false">IF(OR(A1416="",P1416="",Q1416=""),"",P1416*Q1416)</f>
        <v/>
      </c>
      <c r="S1416" s="5" t="str">
        <f aca="false">IF(R1416="","",MAX(0,R1416-G1416))</f>
        <v/>
      </c>
      <c r="T1416" s="21" t="str">
        <f aca="false">IF(S1416="","",S1416*K1416)</f>
        <v/>
      </c>
      <c r="U1416" s="5" t="str">
        <f aca="false">IF(A1416="","",IF(J1416&gt;Parâmetros!$C$14,"SIM","NAO"))</f>
        <v/>
      </c>
      <c r="V1416" s="5" t="str">
        <f aca="false">IF(B1416="","",TRIM(LEFT(B1416,IFERROR(FIND(" ",B1416)-1,LEN(B1416)))))</f>
        <v/>
      </c>
      <c r="W1416" s="22"/>
      <c r="X1416" s="5" t="str">
        <f aca="false">IF(A1416="","",IF(W1416&lt;&gt;"",W1416,V1416))</f>
        <v/>
      </c>
      <c r="Y1416" s="5" t="str">
        <f aca="false">IF(A1416="","",IF(COUNTIFS($X$2:$X$2001,X1416,$D$2:$D$2001,"&lt;&gt;"&amp;D1416,$C$2:$C$2001,C1416)&gt;0,"SIM","NAO"))</f>
        <v/>
      </c>
      <c r="Z1416" s="5" t="str">
        <f aca="false">IF(A1416="","",IF(J1416="","",IFERROR(360/J1416,"")))</f>
        <v/>
      </c>
      <c r="AA1416" s="5" t="str">
        <f aca="false">IF(A1416="","",IF(H1416=0,"Parado (sem venda 90d)",IF(Z1416&gt;12,"Alto (&gt;12x/ano)",IF(Z1416&gt;=4,"Medio (4-12x/ano)","Baixo (&lt;4x/ano)"))))</f>
        <v/>
      </c>
    </row>
    <row r="1417" customFormat="false" ht="15" hidden="false" customHeight="true" outlineLevel="0" collapsed="false">
      <c r="A1417" s="6"/>
      <c r="B1417" s="6"/>
      <c r="C1417" s="6"/>
      <c r="D1417" s="6"/>
      <c r="E1417" s="6"/>
      <c r="F1417" s="6"/>
      <c r="G1417" s="6"/>
      <c r="H1417" s="6"/>
      <c r="I1417" s="6"/>
      <c r="J1417" s="6"/>
      <c r="K1417" s="18"/>
      <c r="L1417" s="19" t="str">
        <f aca="false">IF(A1417="","",G1417*K1417)</f>
        <v/>
      </c>
      <c r="M1417" s="20"/>
      <c r="N1417" s="6"/>
      <c r="O1417" s="6"/>
      <c r="P1417" s="5" t="str">
        <f aca="false">IF(A1417="","",H1417/90)</f>
        <v/>
      </c>
      <c r="Q1417" s="5" t="str">
        <f aca="false">IF(A1417="","",IFERROR(INDEX(Parâmetros!$C$6:$C$10,MATCH(F1417,Parâmetros!$B$6:$B$10,0)),""))</f>
        <v/>
      </c>
      <c r="R1417" s="5" t="str">
        <f aca="false">IF(OR(A1417="",P1417="",Q1417=""),"",P1417*Q1417)</f>
        <v/>
      </c>
      <c r="S1417" s="5" t="str">
        <f aca="false">IF(R1417="","",MAX(0,R1417-G1417))</f>
        <v/>
      </c>
      <c r="T1417" s="21" t="str">
        <f aca="false">IF(S1417="","",S1417*K1417)</f>
        <v/>
      </c>
      <c r="U1417" s="5" t="str">
        <f aca="false">IF(A1417="","",IF(J1417&gt;Parâmetros!$C$14,"SIM","NAO"))</f>
        <v/>
      </c>
      <c r="V1417" s="5" t="str">
        <f aca="false">IF(B1417="","",TRIM(LEFT(B1417,IFERROR(FIND(" ",B1417)-1,LEN(B1417)))))</f>
        <v/>
      </c>
      <c r="W1417" s="22"/>
      <c r="X1417" s="5" t="str">
        <f aca="false">IF(A1417="","",IF(W1417&lt;&gt;"",W1417,V1417))</f>
        <v/>
      </c>
      <c r="Y1417" s="5" t="str">
        <f aca="false">IF(A1417="","",IF(COUNTIFS($X$2:$X$2001,X1417,$D$2:$D$2001,"&lt;&gt;"&amp;D1417,$C$2:$C$2001,C1417)&gt;0,"SIM","NAO"))</f>
        <v/>
      </c>
      <c r="Z1417" s="5" t="str">
        <f aca="false">IF(A1417="","",IF(J1417="","",IFERROR(360/J1417,"")))</f>
        <v/>
      </c>
      <c r="AA1417" s="5" t="str">
        <f aca="false">IF(A1417="","",IF(H1417=0,"Parado (sem venda 90d)",IF(Z1417&gt;12,"Alto (&gt;12x/ano)",IF(Z1417&gt;=4,"Medio (4-12x/ano)","Baixo (&lt;4x/ano)"))))</f>
        <v/>
      </c>
    </row>
    <row r="1418" customFormat="false" ht="15" hidden="false" customHeight="true" outlineLevel="0" collapsed="false">
      <c r="A1418" s="6"/>
      <c r="B1418" s="6"/>
      <c r="C1418" s="6"/>
      <c r="D1418" s="6"/>
      <c r="E1418" s="6"/>
      <c r="F1418" s="6"/>
      <c r="G1418" s="6"/>
      <c r="H1418" s="6"/>
      <c r="I1418" s="6"/>
      <c r="J1418" s="6"/>
      <c r="K1418" s="18"/>
      <c r="L1418" s="19" t="str">
        <f aca="false">IF(A1418="","",G1418*K1418)</f>
        <v/>
      </c>
      <c r="M1418" s="20"/>
      <c r="N1418" s="6"/>
      <c r="O1418" s="6"/>
      <c r="P1418" s="5" t="str">
        <f aca="false">IF(A1418="","",H1418/90)</f>
        <v/>
      </c>
      <c r="Q1418" s="5" t="str">
        <f aca="false">IF(A1418="","",IFERROR(INDEX(Parâmetros!$C$6:$C$10,MATCH(F1418,Parâmetros!$B$6:$B$10,0)),""))</f>
        <v/>
      </c>
      <c r="R1418" s="5" t="str">
        <f aca="false">IF(OR(A1418="",P1418="",Q1418=""),"",P1418*Q1418)</f>
        <v/>
      </c>
      <c r="S1418" s="5" t="str">
        <f aca="false">IF(R1418="","",MAX(0,R1418-G1418))</f>
        <v/>
      </c>
      <c r="T1418" s="21" t="str">
        <f aca="false">IF(S1418="","",S1418*K1418)</f>
        <v/>
      </c>
      <c r="U1418" s="5" t="str">
        <f aca="false">IF(A1418="","",IF(J1418&gt;Parâmetros!$C$14,"SIM","NAO"))</f>
        <v/>
      </c>
      <c r="V1418" s="5" t="str">
        <f aca="false">IF(B1418="","",TRIM(LEFT(B1418,IFERROR(FIND(" ",B1418)-1,LEN(B1418)))))</f>
        <v/>
      </c>
      <c r="W1418" s="22"/>
      <c r="X1418" s="5" t="str">
        <f aca="false">IF(A1418="","",IF(W1418&lt;&gt;"",W1418,V1418))</f>
        <v/>
      </c>
      <c r="Y1418" s="5" t="str">
        <f aca="false">IF(A1418="","",IF(COUNTIFS($X$2:$X$2001,X1418,$D$2:$D$2001,"&lt;&gt;"&amp;D1418,$C$2:$C$2001,C1418)&gt;0,"SIM","NAO"))</f>
        <v/>
      </c>
      <c r="Z1418" s="5" t="str">
        <f aca="false">IF(A1418="","",IF(J1418="","",IFERROR(360/J1418,"")))</f>
        <v/>
      </c>
      <c r="AA1418" s="5" t="str">
        <f aca="false">IF(A1418="","",IF(H1418=0,"Parado (sem venda 90d)",IF(Z1418&gt;12,"Alto (&gt;12x/ano)",IF(Z1418&gt;=4,"Medio (4-12x/ano)","Baixo (&lt;4x/ano)"))))</f>
        <v/>
      </c>
    </row>
    <row r="1419" customFormat="false" ht="15" hidden="false" customHeight="true" outlineLevel="0" collapsed="false">
      <c r="A1419" s="6"/>
      <c r="B1419" s="6"/>
      <c r="C1419" s="6"/>
      <c r="D1419" s="6"/>
      <c r="E1419" s="6"/>
      <c r="F1419" s="6"/>
      <c r="G1419" s="6"/>
      <c r="H1419" s="6"/>
      <c r="I1419" s="6"/>
      <c r="J1419" s="6"/>
      <c r="K1419" s="18"/>
      <c r="L1419" s="19" t="str">
        <f aca="false">IF(A1419="","",G1419*K1419)</f>
        <v/>
      </c>
      <c r="M1419" s="20"/>
      <c r="N1419" s="6"/>
      <c r="O1419" s="6"/>
      <c r="P1419" s="5" t="str">
        <f aca="false">IF(A1419="","",H1419/90)</f>
        <v/>
      </c>
      <c r="Q1419" s="5" t="str">
        <f aca="false">IF(A1419="","",IFERROR(INDEX(Parâmetros!$C$6:$C$10,MATCH(F1419,Parâmetros!$B$6:$B$10,0)),""))</f>
        <v/>
      </c>
      <c r="R1419" s="5" t="str">
        <f aca="false">IF(OR(A1419="",P1419="",Q1419=""),"",P1419*Q1419)</f>
        <v/>
      </c>
      <c r="S1419" s="5" t="str">
        <f aca="false">IF(R1419="","",MAX(0,R1419-G1419))</f>
        <v/>
      </c>
      <c r="T1419" s="21" t="str">
        <f aca="false">IF(S1419="","",S1419*K1419)</f>
        <v/>
      </c>
      <c r="U1419" s="5" t="str">
        <f aca="false">IF(A1419="","",IF(J1419&gt;Parâmetros!$C$14,"SIM","NAO"))</f>
        <v/>
      </c>
      <c r="V1419" s="5" t="str">
        <f aca="false">IF(B1419="","",TRIM(LEFT(B1419,IFERROR(FIND(" ",B1419)-1,LEN(B1419)))))</f>
        <v/>
      </c>
      <c r="W1419" s="22"/>
      <c r="X1419" s="5" t="str">
        <f aca="false">IF(A1419="","",IF(W1419&lt;&gt;"",W1419,V1419))</f>
        <v/>
      </c>
      <c r="Y1419" s="5" t="str">
        <f aca="false">IF(A1419="","",IF(COUNTIFS($X$2:$X$2001,X1419,$D$2:$D$2001,"&lt;&gt;"&amp;D1419,$C$2:$C$2001,C1419)&gt;0,"SIM","NAO"))</f>
        <v/>
      </c>
      <c r="Z1419" s="5" t="str">
        <f aca="false">IF(A1419="","",IF(J1419="","",IFERROR(360/J1419,"")))</f>
        <v/>
      </c>
      <c r="AA1419" s="5" t="str">
        <f aca="false">IF(A1419="","",IF(H1419=0,"Parado (sem venda 90d)",IF(Z1419&gt;12,"Alto (&gt;12x/ano)",IF(Z1419&gt;=4,"Medio (4-12x/ano)","Baixo (&lt;4x/ano)"))))</f>
        <v/>
      </c>
    </row>
    <row r="1420" customFormat="false" ht="15" hidden="false" customHeight="true" outlineLevel="0" collapsed="false">
      <c r="A1420" s="6"/>
      <c r="B1420" s="6"/>
      <c r="C1420" s="6"/>
      <c r="D1420" s="6"/>
      <c r="E1420" s="6"/>
      <c r="F1420" s="6"/>
      <c r="G1420" s="6"/>
      <c r="H1420" s="6"/>
      <c r="I1420" s="6"/>
      <c r="J1420" s="6"/>
      <c r="K1420" s="18"/>
      <c r="L1420" s="19" t="str">
        <f aca="false">IF(A1420="","",G1420*K1420)</f>
        <v/>
      </c>
      <c r="M1420" s="20"/>
      <c r="N1420" s="6"/>
      <c r="O1420" s="6"/>
      <c r="P1420" s="5" t="str">
        <f aca="false">IF(A1420="","",H1420/90)</f>
        <v/>
      </c>
      <c r="Q1420" s="5" t="str">
        <f aca="false">IF(A1420="","",IFERROR(INDEX(Parâmetros!$C$6:$C$10,MATCH(F1420,Parâmetros!$B$6:$B$10,0)),""))</f>
        <v/>
      </c>
      <c r="R1420" s="5" t="str">
        <f aca="false">IF(OR(A1420="",P1420="",Q1420=""),"",P1420*Q1420)</f>
        <v/>
      </c>
      <c r="S1420" s="5" t="str">
        <f aca="false">IF(R1420="","",MAX(0,R1420-G1420))</f>
        <v/>
      </c>
      <c r="T1420" s="21" t="str">
        <f aca="false">IF(S1420="","",S1420*K1420)</f>
        <v/>
      </c>
      <c r="U1420" s="5" t="str">
        <f aca="false">IF(A1420="","",IF(J1420&gt;Parâmetros!$C$14,"SIM","NAO"))</f>
        <v/>
      </c>
      <c r="V1420" s="5" t="str">
        <f aca="false">IF(B1420="","",TRIM(LEFT(B1420,IFERROR(FIND(" ",B1420)-1,LEN(B1420)))))</f>
        <v/>
      </c>
      <c r="W1420" s="22"/>
      <c r="X1420" s="5" t="str">
        <f aca="false">IF(A1420="","",IF(W1420&lt;&gt;"",W1420,V1420))</f>
        <v/>
      </c>
      <c r="Y1420" s="5" t="str">
        <f aca="false">IF(A1420="","",IF(COUNTIFS($X$2:$X$2001,X1420,$D$2:$D$2001,"&lt;&gt;"&amp;D1420,$C$2:$C$2001,C1420)&gt;0,"SIM","NAO"))</f>
        <v/>
      </c>
      <c r="Z1420" s="5" t="str">
        <f aca="false">IF(A1420="","",IF(J1420="","",IFERROR(360/J1420,"")))</f>
        <v/>
      </c>
      <c r="AA1420" s="5" t="str">
        <f aca="false">IF(A1420="","",IF(H1420=0,"Parado (sem venda 90d)",IF(Z1420&gt;12,"Alto (&gt;12x/ano)",IF(Z1420&gt;=4,"Medio (4-12x/ano)","Baixo (&lt;4x/ano)"))))</f>
        <v/>
      </c>
    </row>
    <row r="1421" customFormat="false" ht="15" hidden="false" customHeight="true" outlineLevel="0" collapsed="false">
      <c r="A1421" s="6"/>
      <c r="B1421" s="6"/>
      <c r="C1421" s="6"/>
      <c r="D1421" s="6"/>
      <c r="E1421" s="6"/>
      <c r="F1421" s="6"/>
      <c r="G1421" s="6"/>
      <c r="H1421" s="6"/>
      <c r="I1421" s="6"/>
      <c r="J1421" s="6"/>
      <c r="K1421" s="18"/>
      <c r="L1421" s="19" t="str">
        <f aca="false">IF(A1421="","",G1421*K1421)</f>
        <v/>
      </c>
      <c r="M1421" s="20"/>
      <c r="N1421" s="6"/>
      <c r="O1421" s="6"/>
      <c r="P1421" s="5" t="str">
        <f aca="false">IF(A1421="","",H1421/90)</f>
        <v/>
      </c>
      <c r="Q1421" s="5" t="str">
        <f aca="false">IF(A1421="","",IFERROR(INDEX(Parâmetros!$C$6:$C$10,MATCH(F1421,Parâmetros!$B$6:$B$10,0)),""))</f>
        <v/>
      </c>
      <c r="R1421" s="5" t="str">
        <f aca="false">IF(OR(A1421="",P1421="",Q1421=""),"",P1421*Q1421)</f>
        <v/>
      </c>
      <c r="S1421" s="5" t="str">
        <f aca="false">IF(R1421="","",MAX(0,R1421-G1421))</f>
        <v/>
      </c>
      <c r="T1421" s="21" t="str">
        <f aca="false">IF(S1421="","",S1421*K1421)</f>
        <v/>
      </c>
      <c r="U1421" s="5" t="str">
        <f aca="false">IF(A1421="","",IF(J1421&gt;Parâmetros!$C$14,"SIM","NAO"))</f>
        <v/>
      </c>
      <c r="V1421" s="5" t="str">
        <f aca="false">IF(B1421="","",TRIM(LEFT(B1421,IFERROR(FIND(" ",B1421)-1,LEN(B1421)))))</f>
        <v/>
      </c>
      <c r="W1421" s="22"/>
      <c r="X1421" s="5" t="str">
        <f aca="false">IF(A1421="","",IF(W1421&lt;&gt;"",W1421,V1421))</f>
        <v/>
      </c>
      <c r="Y1421" s="5" t="str">
        <f aca="false">IF(A1421="","",IF(COUNTIFS($X$2:$X$2001,X1421,$D$2:$D$2001,"&lt;&gt;"&amp;D1421,$C$2:$C$2001,C1421)&gt;0,"SIM","NAO"))</f>
        <v/>
      </c>
      <c r="Z1421" s="5" t="str">
        <f aca="false">IF(A1421="","",IF(J1421="","",IFERROR(360/J1421,"")))</f>
        <v/>
      </c>
      <c r="AA1421" s="5" t="str">
        <f aca="false">IF(A1421="","",IF(H1421=0,"Parado (sem venda 90d)",IF(Z1421&gt;12,"Alto (&gt;12x/ano)",IF(Z1421&gt;=4,"Medio (4-12x/ano)","Baixo (&lt;4x/ano)"))))</f>
        <v/>
      </c>
    </row>
    <row r="1422" customFormat="false" ht="15" hidden="false" customHeight="true" outlineLevel="0" collapsed="false">
      <c r="A1422" s="6"/>
      <c r="B1422" s="6"/>
      <c r="C1422" s="6"/>
      <c r="D1422" s="6"/>
      <c r="E1422" s="6"/>
      <c r="F1422" s="6"/>
      <c r="G1422" s="6"/>
      <c r="H1422" s="6"/>
      <c r="I1422" s="6"/>
      <c r="J1422" s="6"/>
      <c r="K1422" s="18"/>
      <c r="L1422" s="19" t="str">
        <f aca="false">IF(A1422="","",G1422*K1422)</f>
        <v/>
      </c>
      <c r="M1422" s="20"/>
      <c r="N1422" s="6"/>
      <c r="O1422" s="6"/>
      <c r="P1422" s="5" t="str">
        <f aca="false">IF(A1422="","",H1422/90)</f>
        <v/>
      </c>
      <c r="Q1422" s="5" t="str">
        <f aca="false">IF(A1422="","",IFERROR(INDEX(Parâmetros!$C$6:$C$10,MATCH(F1422,Parâmetros!$B$6:$B$10,0)),""))</f>
        <v/>
      </c>
      <c r="R1422" s="5" t="str">
        <f aca="false">IF(OR(A1422="",P1422="",Q1422=""),"",P1422*Q1422)</f>
        <v/>
      </c>
      <c r="S1422" s="5" t="str">
        <f aca="false">IF(R1422="","",MAX(0,R1422-G1422))</f>
        <v/>
      </c>
      <c r="T1422" s="21" t="str">
        <f aca="false">IF(S1422="","",S1422*K1422)</f>
        <v/>
      </c>
      <c r="U1422" s="5" t="str">
        <f aca="false">IF(A1422="","",IF(J1422&gt;Parâmetros!$C$14,"SIM","NAO"))</f>
        <v/>
      </c>
      <c r="V1422" s="5" t="str">
        <f aca="false">IF(B1422="","",TRIM(LEFT(B1422,IFERROR(FIND(" ",B1422)-1,LEN(B1422)))))</f>
        <v/>
      </c>
      <c r="W1422" s="22"/>
      <c r="X1422" s="5" t="str">
        <f aca="false">IF(A1422="","",IF(W1422&lt;&gt;"",W1422,V1422))</f>
        <v/>
      </c>
      <c r="Y1422" s="5" t="str">
        <f aca="false">IF(A1422="","",IF(COUNTIFS($X$2:$X$2001,X1422,$D$2:$D$2001,"&lt;&gt;"&amp;D1422,$C$2:$C$2001,C1422)&gt;0,"SIM","NAO"))</f>
        <v/>
      </c>
      <c r="Z1422" s="5" t="str">
        <f aca="false">IF(A1422="","",IF(J1422="","",IFERROR(360/J1422,"")))</f>
        <v/>
      </c>
      <c r="AA1422" s="5" t="str">
        <f aca="false">IF(A1422="","",IF(H1422=0,"Parado (sem venda 90d)",IF(Z1422&gt;12,"Alto (&gt;12x/ano)",IF(Z1422&gt;=4,"Medio (4-12x/ano)","Baixo (&lt;4x/ano)"))))</f>
        <v/>
      </c>
    </row>
    <row r="1423" customFormat="false" ht="15" hidden="false" customHeight="true" outlineLevel="0" collapsed="false">
      <c r="A1423" s="6"/>
      <c r="B1423" s="6"/>
      <c r="C1423" s="6"/>
      <c r="D1423" s="6"/>
      <c r="E1423" s="6"/>
      <c r="F1423" s="6"/>
      <c r="G1423" s="6"/>
      <c r="H1423" s="6"/>
      <c r="I1423" s="6"/>
      <c r="J1423" s="6"/>
      <c r="K1423" s="18"/>
      <c r="L1423" s="19" t="str">
        <f aca="false">IF(A1423="","",G1423*K1423)</f>
        <v/>
      </c>
      <c r="M1423" s="20"/>
      <c r="N1423" s="6"/>
      <c r="O1423" s="6"/>
      <c r="P1423" s="5" t="str">
        <f aca="false">IF(A1423="","",H1423/90)</f>
        <v/>
      </c>
      <c r="Q1423" s="5" t="str">
        <f aca="false">IF(A1423="","",IFERROR(INDEX(Parâmetros!$C$6:$C$10,MATCH(F1423,Parâmetros!$B$6:$B$10,0)),""))</f>
        <v/>
      </c>
      <c r="R1423" s="5" t="str">
        <f aca="false">IF(OR(A1423="",P1423="",Q1423=""),"",P1423*Q1423)</f>
        <v/>
      </c>
      <c r="S1423" s="5" t="str">
        <f aca="false">IF(R1423="","",MAX(0,R1423-G1423))</f>
        <v/>
      </c>
      <c r="T1423" s="21" t="str">
        <f aca="false">IF(S1423="","",S1423*K1423)</f>
        <v/>
      </c>
      <c r="U1423" s="5" t="str">
        <f aca="false">IF(A1423="","",IF(J1423&gt;Parâmetros!$C$14,"SIM","NAO"))</f>
        <v/>
      </c>
      <c r="V1423" s="5" t="str">
        <f aca="false">IF(B1423="","",TRIM(LEFT(B1423,IFERROR(FIND(" ",B1423)-1,LEN(B1423)))))</f>
        <v/>
      </c>
      <c r="W1423" s="22"/>
      <c r="X1423" s="5" t="str">
        <f aca="false">IF(A1423="","",IF(W1423&lt;&gt;"",W1423,V1423))</f>
        <v/>
      </c>
      <c r="Y1423" s="5" t="str">
        <f aca="false">IF(A1423="","",IF(COUNTIFS($X$2:$X$2001,X1423,$D$2:$D$2001,"&lt;&gt;"&amp;D1423,$C$2:$C$2001,C1423)&gt;0,"SIM","NAO"))</f>
        <v/>
      </c>
      <c r="Z1423" s="5" t="str">
        <f aca="false">IF(A1423="","",IF(J1423="","",IFERROR(360/J1423,"")))</f>
        <v/>
      </c>
      <c r="AA1423" s="5" t="str">
        <f aca="false">IF(A1423="","",IF(H1423=0,"Parado (sem venda 90d)",IF(Z1423&gt;12,"Alto (&gt;12x/ano)",IF(Z1423&gt;=4,"Medio (4-12x/ano)","Baixo (&lt;4x/ano)"))))</f>
        <v/>
      </c>
    </row>
    <row r="1424" customFormat="false" ht="15" hidden="false" customHeight="true" outlineLevel="0" collapsed="false">
      <c r="A1424" s="6"/>
      <c r="B1424" s="6"/>
      <c r="C1424" s="6"/>
      <c r="D1424" s="6"/>
      <c r="E1424" s="6"/>
      <c r="F1424" s="6"/>
      <c r="G1424" s="6"/>
      <c r="H1424" s="6"/>
      <c r="I1424" s="6"/>
      <c r="J1424" s="6"/>
      <c r="K1424" s="18"/>
      <c r="L1424" s="19" t="str">
        <f aca="false">IF(A1424="","",G1424*K1424)</f>
        <v/>
      </c>
      <c r="M1424" s="20"/>
      <c r="N1424" s="6"/>
      <c r="O1424" s="6"/>
      <c r="P1424" s="5" t="str">
        <f aca="false">IF(A1424="","",H1424/90)</f>
        <v/>
      </c>
      <c r="Q1424" s="5" t="str">
        <f aca="false">IF(A1424="","",IFERROR(INDEX(Parâmetros!$C$6:$C$10,MATCH(F1424,Parâmetros!$B$6:$B$10,0)),""))</f>
        <v/>
      </c>
      <c r="R1424" s="5" t="str">
        <f aca="false">IF(OR(A1424="",P1424="",Q1424=""),"",P1424*Q1424)</f>
        <v/>
      </c>
      <c r="S1424" s="5" t="str">
        <f aca="false">IF(R1424="","",MAX(0,R1424-G1424))</f>
        <v/>
      </c>
      <c r="T1424" s="21" t="str">
        <f aca="false">IF(S1424="","",S1424*K1424)</f>
        <v/>
      </c>
      <c r="U1424" s="5" t="str">
        <f aca="false">IF(A1424="","",IF(J1424&gt;Parâmetros!$C$14,"SIM","NAO"))</f>
        <v/>
      </c>
      <c r="V1424" s="5" t="str">
        <f aca="false">IF(B1424="","",TRIM(LEFT(B1424,IFERROR(FIND(" ",B1424)-1,LEN(B1424)))))</f>
        <v/>
      </c>
      <c r="W1424" s="22"/>
      <c r="X1424" s="5" t="str">
        <f aca="false">IF(A1424="","",IF(W1424&lt;&gt;"",W1424,V1424))</f>
        <v/>
      </c>
      <c r="Y1424" s="5" t="str">
        <f aca="false">IF(A1424="","",IF(COUNTIFS($X$2:$X$2001,X1424,$D$2:$D$2001,"&lt;&gt;"&amp;D1424,$C$2:$C$2001,C1424)&gt;0,"SIM","NAO"))</f>
        <v/>
      </c>
      <c r="Z1424" s="5" t="str">
        <f aca="false">IF(A1424="","",IF(J1424="","",IFERROR(360/J1424,"")))</f>
        <v/>
      </c>
      <c r="AA1424" s="5" t="str">
        <f aca="false">IF(A1424="","",IF(H1424=0,"Parado (sem venda 90d)",IF(Z1424&gt;12,"Alto (&gt;12x/ano)",IF(Z1424&gt;=4,"Medio (4-12x/ano)","Baixo (&lt;4x/ano)"))))</f>
        <v/>
      </c>
    </row>
    <row r="1425" customFormat="false" ht="15" hidden="false" customHeight="true" outlineLevel="0" collapsed="false">
      <c r="A1425" s="6"/>
      <c r="B1425" s="6"/>
      <c r="C1425" s="6"/>
      <c r="D1425" s="6"/>
      <c r="E1425" s="6"/>
      <c r="F1425" s="6"/>
      <c r="G1425" s="6"/>
      <c r="H1425" s="6"/>
      <c r="I1425" s="6"/>
      <c r="J1425" s="6"/>
      <c r="K1425" s="18"/>
      <c r="L1425" s="19" t="str">
        <f aca="false">IF(A1425="","",G1425*K1425)</f>
        <v/>
      </c>
      <c r="M1425" s="20"/>
      <c r="N1425" s="6"/>
      <c r="O1425" s="6"/>
      <c r="P1425" s="5" t="str">
        <f aca="false">IF(A1425="","",H1425/90)</f>
        <v/>
      </c>
      <c r="Q1425" s="5" t="str">
        <f aca="false">IF(A1425="","",IFERROR(INDEX(Parâmetros!$C$6:$C$10,MATCH(F1425,Parâmetros!$B$6:$B$10,0)),""))</f>
        <v/>
      </c>
      <c r="R1425" s="5" t="str">
        <f aca="false">IF(OR(A1425="",P1425="",Q1425=""),"",P1425*Q1425)</f>
        <v/>
      </c>
      <c r="S1425" s="5" t="str">
        <f aca="false">IF(R1425="","",MAX(0,R1425-G1425))</f>
        <v/>
      </c>
      <c r="T1425" s="21" t="str">
        <f aca="false">IF(S1425="","",S1425*K1425)</f>
        <v/>
      </c>
      <c r="U1425" s="5" t="str">
        <f aca="false">IF(A1425="","",IF(J1425&gt;Parâmetros!$C$14,"SIM","NAO"))</f>
        <v/>
      </c>
      <c r="V1425" s="5" t="str">
        <f aca="false">IF(B1425="","",TRIM(LEFT(B1425,IFERROR(FIND(" ",B1425)-1,LEN(B1425)))))</f>
        <v/>
      </c>
      <c r="W1425" s="22"/>
      <c r="X1425" s="5" t="str">
        <f aca="false">IF(A1425="","",IF(W1425&lt;&gt;"",W1425,V1425))</f>
        <v/>
      </c>
      <c r="Y1425" s="5" t="str">
        <f aca="false">IF(A1425="","",IF(COUNTIFS($X$2:$X$2001,X1425,$D$2:$D$2001,"&lt;&gt;"&amp;D1425,$C$2:$C$2001,C1425)&gt;0,"SIM","NAO"))</f>
        <v/>
      </c>
      <c r="Z1425" s="5" t="str">
        <f aca="false">IF(A1425="","",IF(J1425="","",IFERROR(360/J1425,"")))</f>
        <v/>
      </c>
      <c r="AA1425" s="5" t="str">
        <f aca="false">IF(A1425="","",IF(H1425=0,"Parado (sem venda 90d)",IF(Z1425&gt;12,"Alto (&gt;12x/ano)",IF(Z1425&gt;=4,"Medio (4-12x/ano)","Baixo (&lt;4x/ano)"))))</f>
        <v/>
      </c>
    </row>
    <row r="1426" customFormat="false" ht="15" hidden="false" customHeight="true" outlineLevel="0" collapsed="false">
      <c r="A1426" s="6"/>
      <c r="B1426" s="6"/>
      <c r="C1426" s="6"/>
      <c r="D1426" s="6"/>
      <c r="E1426" s="6"/>
      <c r="F1426" s="6"/>
      <c r="G1426" s="6"/>
      <c r="H1426" s="6"/>
      <c r="I1426" s="6"/>
      <c r="J1426" s="6"/>
      <c r="K1426" s="18"/>
      <c r="L1426" s="19" t="str">
        <f aca="false">IF(A1426="","",G1426*K1426)</f>
        <v/>
      </c>
      <c r="M1426" s="20"/>
      <c r="N1426" s="6"/>
      <c r="O1426" s="6"/>
      <c r="P1426" s="5" t="str">
        <f aca="false">IF(A1426="","",H1426/90)</f>
        <v/>
      </c>
      <c r="Q1426" s="5" t="str">
        <f aca="false">IF(A1426="","",IFERROR(INDEX(Parâmetros!$C$6:$C$10,MATCH(F1426,Parâmetros!$B$6:$B$10,0)),""))</f>
        <v/>
      </c>
      <c r="R1426" s="5" t="str">
        <f aca="false">IF(OR(A1426="",P1426="",Q1426=""),"",P1426*Q1426)</f>
        <v/>
      </c>
      <c r="S1426" s="5" t="str">
        <f aca="false">IF(R1426="","",MAX(0,R1426-G1426))</f>
        <v/>
      </c>
      <c r="T1426" s="21" t="str">
        <f aca="false">IF(S1426="","",S1426*K1426)</f>
        <v/>
      </c>
      <c r="U1426" s="5" t="str">
        <f aca="false">IF(A1426="","",IF(J1426&gt;Parâmetros!$C$14,"SIM","NAO"))</f>
        <v/>
      </c>
      <c r="V1426" s="5" t="str">
        <f aca="false">IF(B1426="","",TRIM(LEFT(B1426,IFERROR(FIND(" ",B1426)-1,LEN(B1426)))))</f>
        <v/>
      </c>
      <c r="W1426" s="22"/>
      <c r="X1426" s="5" t="str">
        <f aca="false">IF(A1426="","",IF(W1426&lt;&gt;"",W1426,V1426))</f>
        <v/>
      </c>
      <c r="Y1426" s="5" t="str">
        <f aca="false">IF(A1426="","",IF(COUNTIFS($X$2:$X$2001,X1426,$D$2:$D$2001,"&lt;&gt;"&amp;D1426,$C$2:$C$2001,C1426)&gt;0,"SIM","NAO"))</f>
        <v/>
      </c>
      <c r="Z1426" s="5" t="str">
        <f aca="false">IF(A1426="","",IF(J1426="","",IFERROR(360/J1426,"")))</f>
        <v/>
      </c>
      <c r="AA1426" s="5" t="str">
        <f aca="false">IF(A1426="","",IF(H1426=0,"Parado (sem venda 90d)",IF(Z1426&gt;12,"Alto (&gt;12x/ano)",IF(Z1426&gt;=4,"Medio (4-12x/ano)","Baixo (&lt;4x/ano)"))))</f>
        <v/>
      </c>
    </row>
    <row r="1427" customFormat="false" ht="15" hidden="false" customHeight="true" outlineLevel="0" collapsed="false">
      <c r="A1427" s="6"/>
      <c r="B1427" s="6"/>
      <c r="C1427" s="6"/>
      <c r="D1427" s="6"/>
      <c r="E1427" s="6"/>
      <c r="F1427" s="6"/>
      <c r="G1427" s="6"/>
      <c r="H1427" s="6"/>
      <c r="I1427" s="6"/>
      <c r="J1427" s="6"/>
      <c r="K1427" s="18"/>
      <c r="L1427" s="19" t="str">
        <f aca="false">IF(A1427="","",G1427*K1427)</f>
        <v/>
      </c>
      <c r="M1427" s="20"/>
      <c r="N1427" s="6"/>
      <c r="O1427" s="6"/>
      <c r="P1427" s="5" t="str">
        <f aca="false">IF(A1427="","",H1427/90)</f>
        <v/>
      </c>
      <c r="Q1427" s="5" t="str">
        <f aca="false">IF(A1427="","",IFERROR(INDEX(Parâmetros!$C$6:$C$10,MATCH(F1427,Parâmetros!$B$6:$B$10,0)),""))</f>
        <v/>
      </c>
      <c r="R1427" s="5" t="str">
        <f aca="false">IF(OR(A1427="",P1427="",Q1427=""),"",P1427*Q1427)</f>
        <v/>
      </c>
      <c r="S1427" s="5" t="str">
        <f aca="false">IF(R1427="","",MAX(0,R1427-G1427))</f>
        <v/>
      </c>
      <c r="T1427" s="21" t="str">
        <f aca="false">IF(S1427="","",S1427*K1427)</f>
        <v/>
      </c>
      <c r="U1427" s="5" t="str">
        <f aca="false">IF(A1427="","",IF(J1427&gt;Parâmetros!$C$14,"SIM","NAO"))</f>
        <v/>
      </c>
      <c r="V1427" s="5" t="str">
        <f aca="false">IF(B1427="","",TRIM(LEFT(B1427,IFERROR(FIND(" ",B1427)-1,LEN(B1427)))))</f>
        <v/>
      </c>
      <c r="W1427" s="22"/>
      <c r="X1427" s="5" t="str">
        <f aca="false">IF(A1427="","",IF(W1427&lt;&gt;"",W1427,V1427))</f>
        <v/>
      </c>
      <c r="Y1427" s="5" t="str">
        <f aca="false">IF(A1427="","",IF(COUNTIFS($X$2:$X$2001,X1427,$D$2:$D$2001,"&lt;&gt;"&amp;D1427,$C$2:$C$2001,C1427)&gt;0,"SIM","NAO"))</f>
        <v/>
      </c>
      <c r="Z1427" s="5" t="str">
        <f aca="false">IF(A1427="","",IF(J1427="","",IFERROR(360/J1427,"")))</f>
        <v/>
      </c>
      <c r="AA1427" s="5" t="str">
        <f aca="false">IF(A1427="","",IF(H1427=0,"Parado (sem venda 90d)",IF(Z1427&gt;12,"Alto (&gt;12x/ano)",IF(Z1427&gt;=4,"Medio (4-12x/ano)","Baixo (&lt;4x/ano)"))))</f>
        <v/>
      </c>
    </row>
    <row r="1428" customFormat="false" ht="15" hidden="false" customHeight="true" outlineLevel="0" collapsed="false">
      <c r="A1428" s="6"/>
      <c r="B1428" s="6"/>
      <c r="C1428" s="6"/>
      <c r="D1428" s="6"/>
      <c r="E1428" s="6"/>
      <c r="F1428" s="6"/>
      <c r="G1428" s="6"/>
      <c r="H1428" s="6"/>
      <c r="I1428" s="6"/>
      <c r="J1428" s="6"/>
      <c r="K1428" s="18"/>
      <c r="L1428" s="19" t="str">
        <f aca="false">IF(A1428="","",G1428*K1428)</f>
        <v/>
      </c>
      <c r="M1428" s="20"/>
      <c r="N1428" s="6"/>
      <c r="O1428" s="6"/>
      <c r="P1428" s="5" t="str">
        <f aca="false">IF(A1428="","",H1428/90)</f>
        <v/>
      </c>
      <c r="Q1428" s="5" t="str">
        <f aca="false">IF(A1428="","",IFERROR(INDEX(Parâmetros!$C$6:$C$10,MATCH(F1428,Parâmetros!$B$6:$B$10,0)),""))</f>
        <v/>
      </c>
      <c r="R1428" s="5" t="str">
        <f aca="false">IF(OR(A1428="",P1428="",Q1428=""),"",P1428*Q1428)</f>
        <v/>
      </c>
      <c r="S1428" s="5" t="str">
        <f aca="false">IF(R1428="","",MAX(0,R1428-G1428))</f>
        <v/>
      </c>
      <c r="T1428" s="21" t="str">
        <f aca="false">IF(S1428="","",S1428*K1428)</f>
        <v/>
      </c>
      <c r="U1428" s="5" t="str">
        <f aca="false">IF(A1428="","",IF(J1428&gt;Parâmetros!$C$14,"SIM","NAO"))</f>
        <v/>
      </c>
      <c r="V1428" s="5" t="str">
        <f aca="false">IF(B1428="","",TRIM(LEFT(B1428,IFERROR(FIND(" ",B1428)-1,LEN(B1428)))))</f>
        <v/>
      </c>
      <c r="W1428" s="22"/>
      <c r="X1428" s="5" t="str">
        <f aca="false">IF(A1428="","",IF(W1428&lt;&gt;"",W1428,V1428))</f>
        <v/>
      </c>
      <c r="Y1428" s="5" t="str">
        <f aca="false">IF(A1428="","",IF(COUNTIFS($X$2:$X$2001,X1428,$D$2:$D$2001,"&lt;&gt;"&amp;D1428,$C$2:$C$2001,C1428)&gt;0,"SIM","NAO"))</f>
        <v/>
      </c>
      <c r="Z1428" s="5" t="str">
        <f aca="false">IF(A1428="","",IF(J1428="","",IFERROR(360/J1428,"")))</f>
        <v/>
      </c>
      <c r="AA1428" s="5" t="str">
        <f aca="false">IF(A1428="","",IF(H1428=0,"Parado (sem venda 90d)",IF(Z1428&gt;12,"Alto (&gt;12x/ano)",IF(Z1428&gt;=4,"Medio (4-12x/ano)","Baixo (&lt;4x/ano)"))))</f>
        <v/>
      </c>
    </row>
    <row r="1429" customFormat="false" ht="15" hidden="false" customHeight="true" outlineLevel="0" collapsed="false">
      <c r="A1429" s="6"/>
      <c r="B1429" s="6"/>
      <c r="C1429" s="6"/>
      <c r="D1429" s="6"/>
      <c r="E1429" s="6"/>
      <c r="F1429" s="6"/>
      <c r="G1429" s="6"/>
      <c r="H1429" s="6"/>
      <c r="I1429" s="6"/>
      <c r="J1429" s="6"/>
      <c r="K1429" s="18"/>
      <c r="L1429" s="19" t="str">
        <f aca="false">IF(A1429="","",G1429*K1429)</f>
        <v/>
      </c>
      <c r="M1429" s="20"/>
      <c r="N1429" s="6"/>
      <c r="O1429" s="6"/>
      <c r="P1429" s="5" t="str">
        <f aca="false">IF(A1429="","",H1429/90)</f>
        <v/>
      </c>
      <c r="Q1429" s="5" t="str">
        <f aca="false">IF(A1429="","",IFERROR(INDEX(Parâmetros!$C$6:$C$10,MATCH(F1429,Parâmetros!$B$6:$B$10,0)),""))</f>
        <v/>
      </c>
      <c r="R1429" s="5" t="str">
        <f aca="false">IF(OR(A1429="",P1429="",Q1429=""),"",P1429*Q1429)</f>
        <v/>
      </c>
      <c r="S1429" s="5" t="str">
        <f aca="false">IF(R1429="","",MAX(0,R1429-G1429))</f>
        <v/>
      </c>
      <c r="T1429" s="21" t="str">
        <f aca="false">IF(S1429="","",S1429*K1429)</f>
        <v/>
      </c>
      <c r="U1429" s="5" t="str">
        <f aca="false">IF(A1429="","",IF(J1429&gt;Parâmetros!$C$14,"SIM","NAO"))</f>
        <v/>
      </c>
      <c r="V1429" s="5" t="str">
        <f aca="false">IF(B1429="","",TRIM(LEFT(B1429,IFERROR(FIND(" ",B1429)-1,LEN(B1429)))))</f>
        <v/>
      </c>
      <c r="W1429" s="22"/>
      <c r="X1429" s="5" t="str">
        <f aca="false">IF(A1429="","",IF(W1429&lt;&gt;"",W1429,V1429))</f>
        <v/>
      </c>
      <c r="Y1429" s="5" t="str">
        <f aca="false">IF(A1429="","",IF(COUNTIFS($X$2:$X$2001,X1429,$D$2:$D$2001,"&lt;&gt;"&amp;D1429,$C$2:$C$2001,C1429)&gt;0,"SIM","NAO"))</f>
        <v/>
      </c>
      <c r="Z1429" s="5" t="str">
        <f aca="false">IF(A1429="","",IF(J1429="","",IFERROR(360/J1429,"")))</f>
        <v/>
      </c>
      <c r="AA1429" s="5" t="str">
        <f aca="false">IF(A1429="","",IF(H1429=0,"Parado (sem venda 90d)",IF(Z1429&gt;12,"Alto (&gt;12x/ano)",IF(Z1429&gt;=4,"Medio (4-12x/ano)","Baixo (&lt;4x/ano)"))))</f>
        <v/>
      </c>
    </row>
    <row r="1430" customFormat="false" ht="15" hidden="false" customHeight="true" outlineLevel="0" collapsed="false">
      <c r="A1430" s="6"/>
      <c r="B1430" s="6"/>
      <c r="C1430" s="6"/>
      <c r="D1430" s="6"/>
      <c r="E1430" s="6"/>
      <c r="F1430" s="6"/>
      <c r="G1430" s="6"/>
      <c r="H1430" s="6"/>
      <c r="I1430" s="6"/>
      <c r="J1430" s="6"/>
      <c r="K1430" s="18"/>
      <c r="L1430" s="19" t="str">
        <f aca="false">IF(A1430="","",G1430*K1430)</f>
        <v/>
      </c>
      <c r="M1430" s="20"/>
      <c r="N1430" s="6"/>
      <c r="O1430" s="6"/>
      <c r="P1430" s="5" t="str">
        <f aca="false">IF(A1430="","",H1430/90)</f>
        <v/>
      </c>
      <c r="Q1430" s="5" t="str">
        <f aca="false">IF(A1430="","",IFERROR(INDEX(Parâmetros!$C$6:$C$10,MATCH(F1430,Parâmetros!$B$6:$B$10,0)),""))</f>
        <v/>
      </c>
      <c r="R1430" s="5" t="str">
        <f aca="false">IF(OR(A1430="",P1430="",Q1430=""),"",P1430*Q1430)</f>
        <v/>
      </c>
      <c r="S1430" s="5" t="str">
        <f aca="false">IF(R1430="","",MAX(0,R1430-G1430))</f>
        <v/>
      </c>
      <c r="T1430" s="21" t="str">
        <f aca="false">IF(S1430="","",S1430*K1430)</f>
        <v/>
      </c>
      <c r="U1430" s="5" t="str">
        <f aca="false">IF(A1430="","",IF(J1430&gt;Parâmetros!$C$14,"SIM","NAO"))</f>
        <v/>
      </c>
      <c r="V1430" s="5" t="str">
        <f aca="false">IF(B1430="","",TRIM(LEFT(B1430,IFERROR(FIND(" ",B1430)-1,LEN(B1430)))))</f>
        <v/>
      </c>
      <c r="W1430" s="22"/>
      <c r="X1430" s="5" t="str">
        <f aca="false">IF(A1430="","",IF(W1430&lt;&gt;"",W1430,V1430))</f>
        <v/>
      </c>
      <c r="Y1430" s="5" t="str">
        <f aca="false">IF(A1430="","",IF(COUNTIFS($X$2:$X$2001,X1430,$D$2:$D$2001,"&lt;&gt;"&amp;D1430,$C$2:$C$2001,C1430)&gt;0,"SIM","NAO"))</f>
        <v/>
      </c>
      <c r="Z1430" s="5" t="str">
        <f aca="false">IF(A1430="","",IF(J1430="","",IFERROR(360/J1430,"")))</f>
        <v/>
      </c>
      <c r="AA1430" s="5" t="str">
        <f aca="false">IF(A1430="","",IF(H1430=0,"Parado (sem venda 90d)",IF(Z1430&gt;12,"Alto (&gt;12x/ano)",IF(Z1430&gt;=4,"Medio (4-12x/ano)","Baixo (&lt;4x/ano)"))))</f>
        <v/>
      </c>
    </row>
    <row r="1431" customFormat="false" ht="15" hidden="false" customHeight="true" outlineLevel="0" collapsed="false">
      <c r="A1431" s="6"/>
      <c r="B1431" s="6"/>
      <c r="C1431" s="6"/>
      <c r="D1431" s="6"/>
      <c r="E1431" s="6"/>
      <c r="F1431" s="6"/>
      <c r="G1431" s="6"/>
      <c r="H1431" s="6"/>
      <c r="I1431" s="6"/>
      <c r="J1431" s="6"/>
      <c r="K1431" s="18"/>
      <c r="L1431" s="19" t="str">
        <f aca="false">IF(A1431="","",G1431*K1431)</f>
        <v/>
      </c>
      <c r="M1431" s="20"/>
      <c r="N1431" s="6"/>
      <c r="O1431" s="6"/>
      <c r="P1431" s="5" t="str">
        <f aca="false">IF(A1431="","",H1431/90)</f>
        <v/>
      </c>
      <c r="Q1431" s="5" t="str">
        <f aca="false">IF(A1431="","",IFERROR(INDEX(Parâmetros!$C$6:$C$10,MATCH(F1431,Parâmetros!$B$6:$B$10,0)),""))</f>
        <v/>
      </c>
      <c r="R1431" s="5" t="str">
        <f aca="false">IF(OR(A1431="",P1431="",Q1431=""),"",P1431*Q1431)</f>
        <v/>
      </c>
      <c r="S1431" s="5" t="str">
        <f aca="false">IF(R1431="","",MAX(0,R1431-G1431))</f>
        <v/>
      </c>
      <c r="T1431" s="21" t="str">
        <f aca="false">IF(S1431="","",S1431*K1431)</f>
        <v/>
      </c>
      <c r="U1431" s="5" t="str">
        <f aca="false">IF(A1431="","",IF(J1431&gt;Parâmetros!$C$14,"SIM","NAO"))</f>
        <v/>
      </c>
      <c r="V1431" s="5" t="str">
        <f aca="false">IF(B1431="","",TRIM(LEFT(B1431,IFERROR(FIND(" ",B1431)-1,LEN(B1431)))))</f>
        <v/>
      </c>
      <c r="W1431" s="22"/>
      <c r="X1431" s="5" t="str">
        <f aca="false">IF(A1431="","",IF(W1431&lt;&gt;"",W1431,V1431))</f>
        <v/>
      </c>
      <c r="Y1431" s="5" t="str">
        <f aca="false">IF(A1431="","",IF(COUNTIFS($X$2:$X$2001,X1431,$D$2:$D$2001,"&lt;&gt;"&amp;D1431,$C$2:$C$2001,C1431)&gt;0,"SIM","NAO"))</f>
        <v/>
      </c>
      <c r="Z1431" s="5" t="str">
        <f aca="false">IF(A1431="","",IF(J1431="","",IFERROR(360/J1431,"")))</f>
        <v/>
      </c>
      <c r="AA1431" s="5" t="str">
        <f aca="false">IF(A1431="","",IF(H1431=0,"Parado (sem venda 90d)",IF(Z1431&gt;12,"Alto (&gt;12x/ano)",IF(Z1431&gt;=4,"Medio (4-12x/ano)","Baixo (&lt;4x/ano)"))))</f>
        <v/>
      </c>
    </row>
    <row r="1432" customFormat="false" ht="15" hidden="false" customHeight="true" outlineLevel="0" collapsed="false">
      <c r="A1432" s="6"/>
      <c r="B1432" s="6"/>
      <c r="C1432" s="6"/>
      <c r="D1432" s="6"/>
      <c r="E1432" s="6"/>
      <c r="F1432" s="6"/>
      <c r="G1432" s="6"/>
      <c r="H1432" s="6"/>
      <c r="I1432" s="6"/>
      <c r="J1432" s="6"/>
      <c r="K1432" s="18"/>
      <c r="L1432" s="19" t="str">
        <f aca="false">IF(A1432="","",G1432*K1432)</f>
        <v/>
      </c>
      <c r="M1432" s="20"/>
      <c r="N1432" s="6"/>
      <c r="O1432" s="6"/>
      <c r="P1432" s="5" t="str">
        <f aca="false">IF(A1432="","",H1432/90)</f>
        <v/>
      </c>
      <c r="Q1432" s="5" t="str">
        <f aca="false">IF(A1432="","",IFERROR(INDEX(Parâmetros!$C$6:$C$10,MATCH(F1432,Parâmetros!$B$6:$B$10,0)),""))</f>
        <v/>
      </c>
      <c r="R1432" s="5" t="str">
        <f aca="false">IF(OR(A1432="",P1432="",Q1432=""),"",P1432*Q1432)</f>
        <v/>
      </c>
      <c r="S1432" s="5" t="str">
        <f aca="false">IF(R1432="","",MAX(0,R1432-G1432))</f>
        <v/>
      </c>
      <c r="T1432" s="21" t="str">
        <f aca="false">IF(S1432="","",S1432*K1432)</f>
        <v/>
      </c>
      <c r="U1432" s="5" t="str">
        <f aca="false">IF(A1432="","",IF(J1432&gt;Parâmetros!$C$14,"SIM","NAO"))</f>
        <v/>
      </c>
      <c r="V1432" s="5" t="str">
        <f aca="false">IF(B1432="","",TRIM(LEFT(B1432,IFERROR(FIND(" ",B1432)-1,LEN(B1432)))))</f>
        <v/>
      </c>
      <c r="W1432" s="22"/>
      <c r="X1432" s="5" t="str">
        <f aca="false">IF(A1432="","",IF(W1432&lt;&gt;"",W1432,V1432))</f>
        <v/>
      </c>
      <c r="Y1432" s="5" t="str">
        <f aca="false">IF(A1432="","",IF(COUNTIFS($X$2:$X$2001,X1432,$D$2:$D$2001,"&lt;&gt;"&amp;D1432,$C$2:$C$2001,C1432)&gt;0,"SIM","NAO"))</f>
        <v/>
      </c>
      <c r="Z1432" s="5" t="str">
        <f aca="false">IF(A1432="","",IF(J1432="","",IFERROR(360/J1432,"")))</f>
        <v/>
      </c>
      <c r="AA1432" s="5" t="str">
        <f aca="false">IF(A1432="","",IF(H1432=0,"Parado (sem venda 90d)",IF(Z1432&gt;12,"Alto (&gt;12x/ano)",IF(Z1432&gt;=4,"Medio (4-12x/ano)","Baixo (&lt;4x/ano)"))))</f>
        <v/>
      </c>
    </row>
    <row r="1433" customFormat="false" ht="15" hidden="false" customHeight="true" outlineLevel="0" collapsed="false">
      <c r="A1433" s="6"/>
      <c r="B1433" s="6"/>
      <c r="C1433" s="6"/>
      <c r="D1433" s="6"/>
      <c r="E1433" s="6"/>
      <c r="F1433" s="6"/>
      <c r="G1433" s="6"/>
      <c r="H1433" s="6"/>
      <c r="I1433" s="6"/>
      <c r="J1433" s="6"/>
      <c r="K1433" s="18"/>
      <c r="L1433" s="19" t="str">
        <f aca="false">IF(A1433="","",G1433*K1433)</f>
        <v/>
      </c>
      <c r="M1433" s="20"/>
      <c r="N1433" s="6"/>
      <c r="O1433" s="6"/>
      <c r="P1433" s="5" t="str">
        <f aca="false">IF(A1433="","",H1433/90)</f>
        <v/>
      </c>
      <c r="Q1433" s="5" t="str">
        <f aca="false">IF(A1433="","",IFERROR(INDEX(Parâmetros!$C$6:$C$10,MATCH(F1433,Parâmetros!$B$6:$B$10,0)),""))</f>
        <v/>
      </c>
      <c r="R1433" s="5" t="str">
        <f aca="false">IF(OR(A1433="",P1433="",Q1433=""),"",P1433*Q1433)</f>
        <v/>
      </c>
      <c r="S1433" s="5" t="str">
        <f aca="false">IF(R1433="","",MAX(0,R1433-G1433))</f>
        <v/>
      </c>
      <c r="T1433" s="21" t="str">
        <f aca="false">IF(S1433="","",S1433*K1433)</f>
        <v/>
      </c>
      <c r="U1433" s="5" t="str">
        <f aca="false">IF(A1433="","",IF(J1433&gt;Parâmetros!$C$14,"SIM","NAO"))</f>
        <v/>
      </c>
      <c r="V1433" s="5" t="str">
        <f aca="false">IF(B1433="","",TRIM(LEFT(B1433,IFERROR(FIND(" ",B1433)-1,LEN(B1433)))))</f>
        <v/>
      </c>
      <c r="W1433" s="22"/>
      <c r="X1433" s="5" t="str">
        <f aca="false">IF(A1433="","",IF(W1433&lt;&gt;"",W1433,V1433))</f>
        <v/>
      </c>
      <c r="Y1433" s="5" t="str">
        <f aca="false">IF(A1433="","",IF(COUNTIFS($X$2:$X$2001,X1433,$D$2:$D$2001,"&lt;&gt;"&amp;D1433,$C$2:$C$2001,C1433)&gt;0,"SIM","NAO"))</f>
        <v/>
      </c>
      <c r="Z1433" s="5" t="str">
        <f aca="false">IF(A1433="","",IF(J1433="","",IFERROR(360/J1433,"")))</f>
        <v/>
      </c>
      <c r="AA1433" s="5" t="str">
        <f aca="false">IF(A1433="","",IF(H1433=0,"Parado (sem venda 90d)",IF(Z1433&gt;12,"Alto (&gt;12x/ano)",IF(Z1433&gt;=4,"Medio (4-12x/ano)","Baixo (&lt;4x/ano)"))))</f>
        <v/>
      </c>
    </row>
    <row r="1434" customFormat="false" ht="15" hidden="false" customHeight="true" outlineLevel="0" collapsed="false">
      <c r="A1434" s="6"/>
      <c r="B1434" s="6"/>
      <c r="C1434" s="6"/>
      <c r="D1434" s="6"/>
      <c r="E1434" s="6"/>
      <c r="F1434" s="6"/>
      <c r="G1434" s="6"/>
      <c r="H1434" s="6"/>
      <c r="I1434" s="6"/>
      <c r="J1434" s="6"/>
      <c r="K1434" s="18"/>
      <c r="L1434" s="19" t="str">
        <f aca="false">IF(A1434="","",G1434*K1434)</f>
        <v/>
      </c>
      <c r="M1434" s="20"/>
      <c r="N1434" s="6"/>
      <c r="O1434" s="6"/>
      <c r="P1434" s="5" t="str">
        <f aca="false">IF(A1434="","",H1434/90)</f>
        <v/>
      </c>
      <c r="Q1434" s="5" t="str">
        <f aca="false">IF(A1434="","",IFERROR(INDEX(Parâmetros!$C$6:$C$10,MATCH(F1434,Parâmetros!$B$6:$B$10,0)),""))</f>
        <v/>
      </c>
      <c r="R1434" s="5" t="str">
        <f aca="false">IF(OR(A1434="",P1434="",Q1434=""),"",P1434*Q1434)</f>
        <v/>
      </c>
      <c r="S1434" s="5" t="str">
        <f aca="false">IF(R1434="","",MAX(0,R1434-G1434))</f>
        <v/>
      </c>
      <c r="T1434" s="21" t="str">
        <f aca="false">IF(S1434="","",S1434*K1434)</f>
        <v/>
      </c>
      <c r="U1434" s="5" t="str">
        <f aca="false">IF(A1434="","",IF(J1434&gt;Parâmetros!$C$14,"SIM","NAO"))</f>
        <v/>
      </c>
      <c r="V1434" s="5" t="str">
        <f aca="false">IF(B1434="","",TRIM(LEFT(B1434,IFERROR(FIND(" ",B1434)-1,LEN(B1434)))))</f>
        <v/>
      </c>
      <c r="W1434" s="22"/>
      <c r="X1434" s="5" t="str">
        <f aca="false">IF(A1434="","",IF(W1434&lt;&gt;"",W1434,V1434))</f>
        <v/>
      </c>
      <c r="Y1434" s="5" t="str">
        <f aca="false">IF(A1434="","",IF(COUNTIFS($X$2:$X$2001,X1434,$D$2:$D$2001,"&lt;&gt;"&amp;D1434,$C$2:$C$2001,C1434)&gt;0,"SIM","NAO"))</f>
        <v/>
      </c>
      <c r="Z1434" s="5" t="str">
        <f aca="false">IF(A1434="","",IF(J1434="","",IFERROR(360/J1434,"")))</f>
        <v/>
      </c>
      <c r="AA1434" s="5" t="str">
        <f aca="false">IF(A1434="","",IF(H1434=0,"Parado (sem venda 90d)",IF(Z1434&gt;12,"Alto (&gt;12x/ano)",IF(Z1434&gt;=4,"Medio (4-12x/ano)","Baixo (&lt;4x/ano)"))))</f>
        <v/>
      </c>
    </row>
    <row r="1435" customFormat="false" ht="15" hidden="false" customHeight="true" outlineLevel="0" collapsed="false">
      <c r="A1435" s="6"/>
      <c r="B1435" s="6"/>
      <c r="C1435" s="6"/>
      <c r="D1435" s="6"/>
      <c r="E1435" s="6"/>
      <c r="F1435" s="6"/>
      <c r="G1435" s="6"/>
      <c r="H1435" s="6"/>
      <c r="I1435" s="6"/>
      <c r="J1435" s="6"/>
      <c r="K1435" s="18"/>
      <c r="L1435" s="19" t="str">
        <f aca="false">IF(A1435="","",G1435*K1435)</f>
        <v/>
      </c>
      <c r="M1435" s="20"/>
      <c r="N1435" s="6"/>
      <c r="O1435" s="6"/>
      <c r="P1435" s="5" t="str">
        <f aca="false">IF(A1435="","",H1435/90)</f>
        <v/>
      </c>
      <c r="Q1435" s="5" t="str">
        <f aca="false">IF(A1435="","",IFERROR(INDEX(Parâmetros!$C$6:$C$10,MATCH(F1435,Parâmetros!$B$6:$B$10,0)),""))</f>
        <v/>
      </c>
      <c r="R1435" s="5" t="str">
        <f aca="false">IF(OR(A1435="",P1435="",Q1435=""),"",P1435*Q1435)</f>
        <v/>
      </c>
      <c r="S1435" s="5" t="str">
        <f aca="false">IF(R1435="","",MAX(0,R1435-G1435))</f>
        <v/>
      </c>
      <c r="T1435" s="21" t="str">
        <f aca="false">IF(S1435="","",S1435*K1435)</f>
        <v/>
      </c>
      <c r="U1435" s="5" t="str">
        <f aca="false">IF(A1435="","",IF(J1435&gt;Parâmetros!$C$14,"SIM","NAO"))</f>
        <v/>
      </c>
      <c r="V1435" s="5" t="str">
        <f aca="false">IF(B1435="","",TRIM(LEFT(B1435,IFERROR(FIND(" ",B1435)-1,LEN(B1435)))))</f>
        <v/>
      </c>
      <c r="W1435" s="22"/>
      <c r="X1435" s="5" t="str">
        <f aca="false">IF(A1435="","",IF(W1435&lt;&gt;"",W1435,V1435))</f>
        <v/>
      </c>
      <c r="Y1435" s="5" t="str">
        <f aca="false">IF(A1435="","",IF(COUNTIFS($X$2:$X$2001,X1435,$D$2:$D$2001,"&lt;&gt;"&amp;D1435,$C$2:$C$2001,C1435)&gt;0,"SIM","NAO"))</f>
        <v/>
      </c>
      <c r="Z1435" s="5" t="str">
        <f aca="false">IF(A1435="","",IF(J1435="","",IFERROR(360/J1435,"")))</f>
        <v/>
      </c>
      <c r="AA1435" s="5" t="str">
        <f aca="false">IF(A1435="","",IF(H1435=0,"Parado (sem venda 90d)",IF(Z1435&gt;12,"Alto (&gt;12x/ano)",IF(Z1435&gt;=4,"Medio (4-12x/ano)","Baixo (&lt;4x/ano)"))))</f>
        <v/>
      </c>
    </row>
    <row r="1436" customFormat="false" ht="15" hidden="false" customHeight="true" outlineLevel="0" collapsed="false">
      <c r="A1436" s="6"/>
      <c r="B1436" s="6"/>
      <c r="C1436" s="6"/>
      <c r="D1436" s="6"/>
      <c r="E1436" s="6"/>
      <c r="F1436" s="6"/>
      <c r="G1436" s="6"/>
      <c r="H1436" s="6"/>
      <c r="I1436" s="6"/>
      <c r="J1436" s="6"/>
      <c r="K1436" s="18"/>
      <c r="L1436" s="19" t="str">
        <f aca="false">IF(A1436="","",G1436*K1436)</f>
        <v/>
      </c>
      <c r="M1436" s="20"/>
      <c r="N1436" s="6"/>
      <c r="O1436" s="6"/>
      <c r="P1436" s="5" t="str">
        <f aca="false">IF(A1436="","",H1436/90)</f>
        <v/>
      </c>
      <c r="Q1436" s="5" t="str">
        <f aca="false">IF(A1436="","",IFERROR(INDEX(Parâmetros!$C$6:$C$10,MATCH(F1436,Parâmetros!$B$6:$B$10,0)),""))</f>
        <v/>
      </c>
      <c r="R1436" s="5" t="str">
        <f aca="false">IF(OR(A1436="",P1436="",Q1436=""),"",P1436*Q1436)</f>
        <v/>
      </c>
      <c r="S1436" s="5" t="str">
        <f aca="false">IF(R1436="","",MAX(0,R1436-G1436))</f>
        <v/>
      </c>
      <c r="T1436" s="21" t="str">
        <f aca="false">IF(S1436="","",S1436*K1436)</f>
        <v/>
      </c>
      <c r="U1436" s="5" t="str">
        <f aca="false">IF(A1436="","",IF(J1436&gt;Parâmetros!$C$14,"SIM","NAO"))</f>
        <v/>
      </c>
      <c r="V1436" s="5" t="str">
        <f aca="false">IF(B1436="","",TRIM(LEFT(B1436,IFERROR(FIND(" ",B1436)-1,LEN(B1436)))))</f>
        <v/>
      </c>
      <c r="W1436" s="22"/>
      <c r="X1436" s="5" t="str">
        <f aca="false">IF(A1436="","",IF(W1436&lt;&gt;"",W1436,V1436))</f>
        <v/>
      </c>
      <c r="Y1436" s="5" t="str">
        <f aca="false">IF(A1436="","",IF(COUNTIFS($X$2:$X$2001,X1436,$D$2:$D$2001,"&lt;&gt;"&amp;D1436,$C$2:$C$2001,C1436)&gt;0,"SIM","NAO"))</f>
        <v/>
      </c>
      <c r="Z1436" s="5" t="str">
        <f aca="false">IF(A1436="","",IF(J1436="","",IFERROR(360/J1436,"")))</f>
        <v/>
      </c>
      <c r="AA1436" s="5" t="str">
        <f aca="false">IF(A1436="","",IF(H1436=0,"Parado (sem venda 90d)",IF(Z1436&gt;12,"Alto (&gt;12x/ano)",IF(Z1436&gt;=4,"Medio (4-12x/ano)","Baixo (&lt;4x/ano)"))))</f>
        <v/>
      </c>
    </row>
    <row r="1437" customFormat="false" ht="15" hidden="false" customHeight="true" outlineLevel="0" collapsed="false">
      <c r="A1437" s="6"/>
      <c r="B1437" s="6"/>
      <c r="C1437" s="6"/>
      <c r="D1437" s="6"/>
      <c r="E1437" s="6"/>
      <c r="F1437" s="6"/>
      <c r="G1437" s="6"/>
      <c r="H1437" s="6"/>
      <c r="I1437" s="6"/>
      <c r="J1437" s="6"/>
      <c r="K1437" s="18"/>
      <c r="L1437" s="19" t="str">
        <f aca="false">IF(A1437="","",G1437*K1437)</f>
        <v/>
      </c>
      <c r="M1437" s="20"/>
      <c r="N1437" s="6"/>
      <c r="O1437" s="6"/>
      <c r="P1437" s="5" t="str">
        <f aca="false">IF(A1437="","",H1437/90)</f>
        <v/>
      </c>
      <c r="Q1437" s="5" t="str">
        <f aca="false">IF(A1437="","",IFERROR(INDEX(Parâmetros!$C$6:$C$10,MATCH(F1437,Parâmetros!$B$6:$B$10,0)),""))</f>
        <v/>
      </c>
      <c r="R1437" s="5" t="str">
        <f aca="false">IF(OR(A1437="",P1437="",Q1437=""),"",P1437*Q1437)</f>
        <v/>
      </c>
      <c r="S1437" s="5" t="str">
        <f aca="false">IF(R1437="","",MAX(0,R1437-G1437))</f>
        <v/>
      </c>
      <c r="T1437" s="21" t="str">
        <f aca="false">IF(S1437="","",S1437*K1437)</f>
        <v/>
      </c>
      <c r="U1437" s="5" t="str">
        <f aca="false">IF(A1437="","",IF(J1437&gt;Parâmetros!$C$14,"SIM","NAO"))</f>
        <v/>
      </c>
      <c r="V1437" s="5" t="str">
        <f aca="false">IF(B1437="","",TRIM(LEFT(B1437,IFERROR(FIND(" ",B1437)-1,LEN(B1437)))))</f>
        <v/>
      </c>
      <c r="W1437" s="22"/>
      <c r="X1437" s="5" t="str">
        <f aca="false">IF(A1437="","",IF(W1437&lt;&gt;"",W1437,V1437))</f>
        <v/>
      </c>
      <c r="Y1437" s="5" t="str">
        <f aca="false">IF(A1437="","",IF(COUNTIFS($X$2:$X$2001,X1437,$D$2:$D$2001,"&lt;&gt;"&amp;D1437,$C$2:$C$2001,C1437)&gt;0,"SIM","NAO"))</f>
        <v/>
      </c>
      <c r="Z1437" s="5" t="str">
        <f aca="false">IF(A1437="","",IF(J1437="","",IFERROR(360/J1437,"")))</f>
        <v/>
      </c>
      <c r="AA1437" s="5" t="str">
        <f aca="false">IF(A1437="","",IF(H1437=0,"Parado (sem venda 90d)",IF(Z1437&gt;12,"Alto (&gt;12x/ano)",IF(Z1437&gt;=4,"Medio (4-12x/ano)","Baixo (&lt;4x/ano)"))))</f>
        <v/>
      </c>
    </row>
    <row r="1438" customFormat="false" ht="15" hidden="false" customHeight="true" outlineLevel="0" collapsed="false">
      <c r="A1438" s="6"/>
      <c r="B1438" s="6"/>
      <c r="C1438" s="6"/>
      <c r="D1438" s="6"/>
      <c r="E1438" s="6"/>
      <c r="F1438" s="6"/>
      <c r="G1438" s="6"/>
      <c r="H1438" s="6"/>
      <c r="I1438" s="6"/>
      <c r="J1438" s="6"/>
      <c r="K1438" s="18"/>
      <c r="L1438" s="19" t="str">
        <f aca="false">IF(A1438="","",G1438*K1438)</f>
        <v/>
      </c>
      <c r="M1438" s="20"/>
      <c r="N1438" s="6"/>
      <c r="O1438" s="6"/>
      <c r="P1438" s="5" t="str">
        <f aca="false">IF(A1438="","",H1438/90)</f>
        <v/>
      </c>
      <c r="Q1438" s="5" t="str">
        <f aca="false">IF(A1438="","",IFERROR(INDEX(Parâmetros!$C$6:$C$10,MATCH(F1438,Parâmetros!$B$6:$B$10,0)),""))</f>
        <v/>
      </c>
      <c r="R1438" s="5" t="str">
        <f aca="false">IF(OR(A1438="",P1438="",Q1438=""),"",P1438*Q1438)</f>
        <v/>
      </c>
      <c r="S1438" s="5" t="str">
        <f aca="false">IF(R1438="","",MAX(0,R1438-G1438))</f>
        <v/>
      </c>
      <c r="T1438" s="21" t="str">
        <f aca="false">IF(S1438="","",S1438*K1438)</f>
        <v/>
      </c>
      <c r="U1438" s="5" t="str">
        <f aca="false">IF(A1438="","",IF(J1438&gt;Parâmetros!$C$14,"SIM","NAO"))</f>
        <v/>
      </c>
      <c r="V1438" s="5" t="str">
        <f aca="false">IF(B1438="","",TRIM(LEFT(B1438,IFERROR(FIND(" ",B1438)-1,LEN(B1438)))))</f>
        <v/>
      </c>
      <c r="W1438" s="22"/>
      <c r="X1438" s="5" t="str">
        <f aca="false">IF(A1438="","",IF(W1438&lt;&gt;"",W1438,V1438))</f>
        <v/>
      </c>
      <c r="Y1438" s="5" t="str">
        <f aca="false">IF(A1438="","",IF(COUNTIFS($X$2:$X$2001,X1438,$D$2:$D$2001,"&lt;&gt;"&amp;D1438,$C$2:$C$2001,C1438)&gt;0,"SIM","NAO"))</f>
        <v/>
      </c>
      <c r="Z1438" s="5" t="str">
        <f aca="false">IF(A1438="","",IF(J1438="","",IFERROR(360/J1438,"")))</f>
        <v/>
      </c>
      <c r="AA1438" s="5" t="str">
        <f aca="false">IF(A1438="","",IF(H1438=0,"Parado (sem venda 90d)",IF(Z1438&gt;12,"Alto (&gt;12x/ano)",IF(Z1438&gt;=4,"Medio (4-12x/ano)","Baixo (&lt;4x/ano)"))))</f>
        <v/>
      </c>
    </row>
    <row r="1439" customFormat="false" ht="15" hidden="false" customHeight="true" outlineLevel="0" collapsed="false">
      <c r="A1439" s="6"/>
      <c r="B1439" s="6"/>
      <c r="C1439" s="6"/>
      <c r="D1439" s="6"/>
      <c r="E1439" s="6"/>
      <c r="F1439" s="6"/>
      <c r="G1439" s="6"/>
      <c r="H1439" s="6"/>
      <c r="I1439" s="6"/>
      <c r="J1439" s="6"/>
      <c r="K1439" s="18"/>
      <c r="L1439" s="19" t="str">
        <f aca="false">IF(A1439="","",G1439*K1439)</f>
        <v/>
      </c>
      <c r="M1439" s="20"/>
      <c r="N1439" s="6"/>
      <c r="O1439" s="6"/>
      <c r="P1439" s="5" t="str">
        <f aca="false">IF(A1439="","",H1439/90)</f>
        <v/>
      </c>
      <c r="Q1439" s="5" t="str">
        <f aca="false">IF(A1439="","",IFERROR(INDEX(Parâmetros!$C$6:$C$10,MATCH(F1439,Parâmetros!$B$6:$B$10,0)),""))</f>
        <v/>
      </c>
      <c r="R1439" s="5" t="str">
        <f aca="false">IF(OR(A1439="",P1439="",Q1439=""),"",P1439*Q1439)</f>
        <v/>
      </c>
      <c r="S1439" s="5" t="str">
        <f aca="false">IF(R1439="","",MAX(0,R1439-G1439))</f>
        <v/>
      </c>
      <c r="T1439" s="21" t="str">
        <f aca="false">IF(S1439="","",S1439*K1439)</f>
        <v/>
      </c>
      <c r="U1439" s="5" t="str">
        <f aca="false">IF(A1439="","",IF(J1439&gt;Parâmetros!$C$14,"SIM","NAO"))</f>
        <v/>
      </c>
      <c r="V1439" s="5" t="str">
        <f aca="false">IF(B1439="","",TRIM(LEFT(B1439,IFERROR(FIND(" ",B1439)-1,LEN(B1439)))))</f>
        <v/>
      </c>
      <c r="W1439" s="22"/>
      <c r="X1439" s="5" t="str">
        <f aca="false">IF(A1439="","",IF(W1439&lt;&gt;"",W1439,V1439))</f>
        <v/>
      </c>
      <c r="Y1439" s="5" t="str">
        <f aca="false">IF(A1439="","",IF(COUNTIFS($X$2:$X$2001,X1439,$D$2:$D$2001,"&lt;&gt;"&amp;D1439,$C$2:$C$2001,C1439)&gt;0,"SIM","NAO"))</f>
        <v/>
      </c>
      <c r="Z1439" s="5" t="str">
        <f aca="false">IF(A1439="","",IF(J1439="","",IFERROR(360/J1439,"")))</f>
        <v/>
      </c>
      <c r="AA1439" s="5" t="str">
        <f aca="false">IF(A1439="","",IF(H1439=0,"Parado (sem venda 90d)",IF(Z1439&gt;12,"Alto (&gt;12x/ano)",IF(Z1439&gt;=4,"Medio (4-12x/ano)","Baixo (&lt;4x/ano)"))))</f>
        <v/>
      </c>
    </row>
    <row r="1440" customFormat="false" ht="15" hidden="false" customHeight="true" outlineLevel="0" collapsed="false">
      <c r="A1440" s="6"/>
      <c r="B1440" s="6"/>
      <c r="C1440" s="6"/>
      <c r="D1440" s="6"/>
      <c r="E1440" s="6"/>
      <c r="F1440" s="6"/>
      <c r="G1440" s="6"/>
      <c r="H1440" s="6"/>
      <c r="I1440" s="6"/>
      <c r="J1440" s="6"/>
      <c r="K1440" s="18"/>
      <c r="L1440" s="19" t="str">
        <f aca="false">IF(A1440="","",G1440*K1440)</f>
        <v/>
      </c>
      <c r="M1440" s="20"/>
      <c r="N1440" s="6"/>
      <c r="O1440" s="6"/>
      <c r="P1440" s="5" t="str">
        <f aca="false">IF(A1440="","",H1440/90)</f>
        <v/>
      </c>
      <c r="Q1440" s="5" t="str">
        <f aca="false">IF(A1440="","",IFERROR(INDEX(Parâmetros!$C$6:$C$10,MATCH(F1440,Parâmetros!$B$6:$B$10,0)),""))</f>
        <v/>
      </c>
      <c r="R1440" s="5" t="str">
        <f aca="false">IF(OR(A1440="",P1440="",Q1440=""),"",P1440*Q1440)</f>
        <v/>
      </c>
      <c r="S1440" s="5" t="str">
        <f aca="false">IF(R1440="","",MAX(0,R1440-G1440))</f>
        <v/>
      </c>
      <c r="T1440" s="21" t="str">
        <f aca="false">IF(S1440="","",S1440*K1440)</f>
        <v/>
      </c>
      <c r="U1440" s="5" t="str">
        <f aca="false">IF(A1440="","",IF(J1440&gt;Parâmetros!$C$14,"SIM","NAO"))</f>
        <v/>
      </c>
      <c r="V1440" s="5" t="str">
        <f aca="false">IF(B1440="","",TRIM(LEFT(B1440,IFERROR(FIND(" ",B1440)-1,LEN(B1440)))))</f>
        <v/>
      </c>
      <c r="W1440" s="22"/>
      <c r="X1440" s="5" t="str">
        <f aca="false">IF(A1440="","",IF(W1440&lt;&gt;"",W1440,V1440))</f>
        <v/>
      </c>
      <c r="Y1440" s="5" t="str">
        <f aca="false">IF(A1440="","",IF(COUNTIFS($X$2:$X$2001,X1440,$D$2:$D$2001,"&lt;&gt;"&amp;D1440,$C$2:$C$2001,C1440)&gt;0,"SIM","NAO"))</f>
        <v/>
      </c>
      <c r="Z1440" s="5" t="str">
        <f aca="false">IF(A1440="","",IF(J1440="","",IFERROR(360/J1440,"")))</f>
        <v/>
      </c>
      <c r="AA1440" s="5" t="str">
        <f aca="false">IF(A1440="","",IF(H1440=0,"Parado (sem venda 90d)",IF(Z1440&gt;12,"Alto (&gt;12x/ano)",IF(Z1440&gt;=4,"Medio (4-12x/ano)","Baixo (&lt;4x/ano)"))))</f>
        <v/>
      </c>
    </row>
    <row r="1441" customFormat="false" ht="15" hidden="false" customHeight="true" outlineLevel="0" collapsed="false">
      <c r="A1441" s="6"/>
      <c r="B1441" s="6"/>
      <c r="C1441" s="6"/>
      <c r="D1441" s="6"/>
      <c r="E1441" s="6"/>
      <c r="F1441" s="6"/>
      <c r="G1441" s="6"/>
      <c r="H1441" s="6"/>
      <c r="I1441" s="6"/>
      <c r="J1441" s="6"/>
      <c r="K1441" s="18"/>
      <c r="L1441" s="19" t="str">
        <f aca="false">IF(A1441="","",G1441*K1441)</f>
        <v/>
      </c>
      <c r="M1441" s="20"/>
      <c r="N1441" s="6"/>
      <c r="O1441" s="6"/>
      <c r="P1441" s="5" t="str">
        <f aca="false">IF(A1441="","",H1441/90)</f>
        <v/>
      </c>
      <c r="Q1441" s="5" t="str">
        <f aca="false">IF(A1441="","",IFERROR(INDEX(Parâmetros!$C$6:$C$10,MATCH(F1441,Parâmetros!$B$6:$B$10,0)),""))</f>
        <v/>
      </c>
      <c r="R1441" s="5" t="str">
        <f aca="false">IF(OR(A1441="",P1441="",Q1441=""),"",P1441*Q1441)</f>
        <v/>
      </c>
      <c r="S1441" s="5" t="str">
        <f aca="false">IF(R1441="","",MAX(0,R1441-G1441))</f>
        <v/>
      </c>
      <c r="T1441" s="21" t="str">
        <f aca="false">IF(S1441="","",S1441*K1441)</f>
        <v/>
      </c>
      <c r="U1441" s="5" t="str">
        <f aca="false">IF(A1441="","",IF(J1441&gt;Parâmetros!$C$14,"SIM","NAO"))</f>
        <v/>
      </c>
      <c r="V1441" s="5" t="str">
        <f aca="false">IF(B1441="","",TRIM(LEFT(B1441,IFERROR(FIND(" ",B1441)-1,LEN(B1441)))))</f>
        <v/>
      </c>
      <c r="W1441" s="22"/>
      <c r="X1441" s="5" t="str">
        <f aca="false">IF(A1441="","",IF(W1441&lt;&gt;"",W1441,V1441))</f>
        <v/>
      </c>
      <c r="Y1441" s="5" t="str">
        <f aca="false">IF(A1441="","",IF(COUNTIFS($X$2:$X$2001,X1441,$D$2:$D$2001,"&lt;&gt;"&amp;D1441,$C$2:$C$2001,C1441)&gt;0,"SIM","NAO"))</f>
        <v/>
      </c>
      <c r="Z1441" s="5" t="str">
        <f aca="false">IF(A1441="","",IF(J1441="","",IFERROR(360/J1441,"")))</f>
        <v/>
      </c>
      <c r="AA1441" s="5" t="str">
        <f aca="false">IF(A1441="","",IF(H1441=0,"Parado (sem venda 90d)",IF(Z1441&gt;12,"Alto (&gt;12x/ano)",IF(Z1441&gt;=4,"Medio (4-12x/ano)","Baixo (&lt;4x/ano)"))))</f>
        <v/>
      </c>
    </row>
    <row r="1442" customFormat="false" ht="15" hidden="false" customHeight="true" outlineLevel="0" collapsed="false">
      <c r="A1442" s="6"/>
      <c r="B1442" s="6"/>
      <c r="C1442" s="6"/>
      <c r="D1442" s="6"/>
      <c r="E1442" s="6"/>
      <c r="F1442" s="6"/>
      <c r="G1442" s="6"/>
      <c r="H1442" s="6"/>
      <c r="I1442" s="6"/>
      <c r="J1442" s="6"/>
      <c r="K1442" s="18"/>
      <c r="L1442" s="19" t="str">
        <f aca="false">IF(A1442="","",G1442*K1442)</f>
        <v/>
      </c>
      <c r="M1442" s="20"/>
      <c r="N1442" s="6"/>
      <c r="O1442" s="6"/>
      <c r="P1442" s="5" t="str">
        <f aca="false">IF(A1442="","",H1442/90)</f>
        <v/>
      </c>
      <c r="Q1442" s="5" t="str">
        <f aca="false">IF(A1442="","",IFERROR(INDEX(Parâmetros!$C$6:$C$10,MATCH(F1442,Parâmetros!$B$6:$B$10,0)),""))</f>
        <v/>
      </c>
      <c r="R1442" s="5" t="str">
        <f aca="false">IF(OR(A1442="",P1442="",Q1442=""),"",P1442*Q1442)</f>
        <v/>
      </c>
      <c r="S1442" s="5" t="str">
        <f aca="false">IF(R1442="","",MAX(0,R1442-G1442))</f>
        <v/>
      </c>
      <c r="T1442" s="21" t="str">
        <f aca="false">IF(S1442="","",S1442*K1442)</f>
        <v/>
      </c>
      <c r="U1442" s="5" t="str">
        <f aca="false">IF(A1442="","",IF(J1442&gt;Parâmetros!$C$14,"SIM","NAO"))</f>
        <v/>
      </c>
      <c r="V1442" s="5" t="str">
        <f aca="false">IF(B1442="","",TRIM(LEFT(B1442,IFERROR(FIND(" ",B1442)-1,LEN(B1442)))))</f>
        <v/>
      </c>
      <c r="W1442" s="22"/>
      <c r="X1442" s="5" t="str">
        <f aca="false">IF(A1442="","",IF(W1442&lt;&gt;"",W1442,V1442))</f>
        <v/>
      </c>
      <c r="Y1442" s="5" t="str">
        <f aca="false">IF(A1442="","",IF(COUNTIFS($X$2:$X$2001,X1442,$D$2:$D$2001,"&lt;&gt;"&amp;D1442,$C$2:$C$2001,C1442)&gt;0,"SIM","NAO"))</f>
        <v/>
      </c>
      <c r="Z1442" s="5" t="str">
        <f aca="false">IF(A1442="","",IF(J1442="","",IFERROR(360/J1442,"")))</f>
        <v/>
      </c>
      <c r="AA1442" s="5" t="str">
        <f aca="false">IF(A1442="","",IF(H1442=0,"Parado (sem venda 90d)",IF(Z1442&gt;12,"Alto (&gt;12x/ano)",IF(Z1442&gt;=4,"Medio (4-12x/ano)","Baixo (&lt;4x/ano)"))))</f>
        <v/>
      </c>
    </row>
    <row r="1443" customFormat="false" ht="15" hidden="false" customHeight="true" outlineLevel="0" collapsed="false">
      <c r="A1443" s="6"/>
      <c r="B1443" s="6"/>
      <c r="C1443" s="6"/>
      <c r="D1443" s="6"/>
      <c r="E1443" s="6"/>
      <c r="F1443" s="6"/>
      <c r="G1443" s="6"/>
      <c r="H1443" s="6"/>
      <c r="I1443" s="6"/>
      <c r="J1443" s="6"/>
      <c r="K1443" s="18"/>
      <c r="L1443" s="19" t="str">
        <f aca="false">IF(A1443="","",G1443*K1443)</f>
        <v/>
      </c>
      <c r="M1443" s="20"/>
      <c r="N1443" s="6"/>
      <c r="O1443" s="6"/>
      <c r="P1443" s="5" t="str">
        <f aca="false">IF(A1443="","",H1443/90)</f>
        <v/>
      </c>
      <c r="Q1443" s="5" t="str">
        <f aca="false">IF(A1443="","",IFERROR(INDEX(Parâmetros!$C$6:$C$10,MATCH(F1443,Parâmetros!$B$6:$B$10,0)),""))</f>
        <v/>
      </c>
      <c r="R1443" s="5" t="str">
        <f aca="false">IF(OR(A1443="",P1443="",Q1443=""),"",P1443*Q1443)</f>
        <v/>
      </c>
      <c r="S1443" s="5" t="str">
        <f aca="false">IF(R1443="","",MAX(0,R1443-G1443))</f>
        <v/>
      </c>
      <c r="T1443" s="21" t="str">
        <f aca="false">IF(S1443="","",S1443*K1443)</f>
        <v/>
      </c>
      <c r="U1443" s="5" t="str">
        <f aca="false">IF(A1443="","",IF(J1443&gt;Parâmetros!$C$14,"SIM","NAO"))</f>
        <v/>
      </c>
      <c r="V1443" s="5" t="str">
        <f aca="false">IF(B1443="","",TRIM(LEFT(B1443,IFERROR(FIND(" ",B1443)-1,LEN(B1443)))))</f>
        <v/>
      </c>
      <c r="W1443" s="22"/>
      <c r="X1443" s="5" t="str">
        <f aca="false">IF(A1443="","",IF(W1443&lt;&gt;"",W1443,V1443))</f>
        <v/>
      </c>
      <c r="Y1443" s="5" t="str">
        <f aca="false">IF(A1443="","",IF(COUNTIFS($X$2:$X$2001,X1443,$D$2:$D$2001,"&lt;&gt;"&amp;D1443,$C$2:$C$2001,C1443)&gt;0,"SIM","NAO"))</f>
        <v/>
      </c>
      <c r="Z1443" s="5" t="str">
        <f aca="false">IF(A1443="","",IF(J1443="","",IFERROR(360/J1443,"")))</f>
        <v/>
      </c>
      <c r="AA1443" s="5" t="str">
        <f aca="false">IF(A1443="","",IF(H1443=0,"Parado (sem venda 90d)",IF(Z1443&gt;12,"Alto (&gt;12x/ano)",IF(Z1443&gt;=4,"Medio (4-12x/ano)","Baixo (&lt;4x/ano)"))))</f>
        <v/>
      </c>
    </row>
    <row r="1444" customFormat="false" ht="15" hidden="false" customHeight="true" outlineLevel="0" collapsed="false">
      <c r="A1444" s="6"/>
      <c r="B1444" s="6"/>
      <c r="C1444" s="6"/>
      <c r="D1444" s="6"/>
      <c r="E1444" s="6"/>
      <c r="F1444" s="6"/>
      <c r="G1444" s="6"/>
      <c r="H1444" s="6"/>
      <c r="I1444" s="6"/>
      <c r="J1444" s="6"/>
      <c r="K1444" s="18"/>
      <c r="L1444" s="19" t="str">
        <f aca="false">IF(A1444="","",G1444*K1444)</f>
        <v/>
      </c>
      <c r="M1444" s="20"/>
      <c r="N1444" s="6"/>
      <c r="O1444" s="6"/>
      <c r="P1444" s="5" t="str">
        <f aca="false">IF(A1444="","",H1444/90)</f>
        <v/>
      </c>
      <c r="Q1444" s="5" t="str">
        <f aca="false">IF(A1444="","",IFERROR(INDEX(Parâmetros!$C$6:$C$10,MATCH(F1444,Parâmetros!$B$6:$B$10,0)),""))</f>
        <v/>
      </c>
      <c r="R1444" s="5" t="str">
        <f aca="false">IF(OR(A1444="",P1444="",Q1444=""),"",P1444*Q1444)</f>
        <v/>
      </c>
      <c r="S1444" s="5" t="str">
        <f aca="false">IF(R1444="","",MAX(0,R1444-G1444))</f>
        <v/>
      </c>
      <c r="T1444" s="21" t="str">
        <f aca="false">IF(S1444="","",S1444*K1444)</f>
        <v/>
      </c>
      <c r="U1444" s="5" t="str">
        <f aca="false">IF(A1444="","",IF(J1444&gt;Parâmetros!$C$14,"SIM","NAO"))</f>
        <v/>
      </c>
      <c r="V1444" s="5" t="str">
        <f aca="false">IF(B1444="","",TRIM(LEFT(B1444,IFERROR(FIND(" ",B1444)-1,LEN(B1444)))))</f>
        <v/>
      </c>
      <c r="W1444" s="22"/>
      <c r="X1444" s="5" t="str">
        <f aca="false">IF(A1444="","",IF(W1444&lt;&gt;"",W1444,V1444))</f>
        <v/>
      </c>
      <c r="Y1444" s="5" t="str">
        <f aca="false">IF(A1444="","",IF(COUNTIFS($X$2:$X$2001,X1444,$D$2:$D$2001,"&lt;&gt;"&amp;D1444,$C$2:$C$2001,C1444)&gt;0,"SIM","NAO"))</f>
        <v/>
      </c>
      <c r="Z1444" s="5" t="str">
        <f aca="false">IF(A1444="","",IF(J1444="","",IFERROR(360/J1444,"")))</f>
        <v/>
      </c>
      <c r="AA1444" s="5" t="str">
        <f aca="false">IF(A1444="","",IF(H1444=0,"Parado (sem venda 90d)",IF(Z1444&gt;12,"Alto (&gt;12x/ano)",IF(Z1444&gt;=4,"Medio (4-12x/ano)","Baixo (&lt;4x/ano)"))))</f>
        <v/>
      </c>
    </row>
    <row r="1445" customFormat="false" ht="15" hidden="false" customHeight="true" outlineLevel="0" collapsed="false">
      <c r="A1445" s="6"/>
      <c r="B1445" s="6"/>
      <c r="C1445" s="6"/>
      <c r="D1445" s="6"/>
      <c r="E1445" s="6"/>
      <c r="F1445" s="6"/>
      <c r="G1445" s="6"/>
      <c r="H1445" s="6"/>
      <c r="I1445" s="6"/>
      <c r="J1445" s="6"/>
      <c r="K1445" s="18"/>
      <c r="L1445" s="19" t="str">
        <f aca="false">IF(A1445="","",G1445*K1445)</f>
        <v/>
      </c>
      <c r="M1445" s="20"/>
      <c r="N1445" s="6"/>
      <c r="O1445" s="6"/>
      <c r="P1445" s="5" t="str">
        <f aca="false">IF(A1445="","",H1445/90)</f>
        <v/>
      </c>
      <c r="Q1445" s="5" t="str">
        <f aca="false">IF(A1445="","",IFERROR(INDEX(Parâmetros!$C$6:$C$10,MATCH(F1445,Parâmetros!$B$6:$B$10,0)),""))</f>
        <v/>
      </c>
      <c r="R1445" s="5" t="str">
        <f aca="false">IF(OR(A1445="",P1445="",Q1445=""),"",P1445*Q1445)</f>
        <v/>
      </c>
      <c r="S1445" s="5" t="str">
        <f aca="false">IF(R1445="","",MAX(0,R1445-G1445))</f>
        <v/>
      </c>
      <c r="T1445" s="21" t="str">
        <f aca="false">IF(S1445="","",S1445*K1445)</f>
        <v/>
      </c>
      <c r="U1445" s="5" t="str">
        <f aca="false">IF(A1445="","",IF(J1445&gt;Parâmetros!$C$14,"SIM","NAO"))</f>
        <v/>
      </c>
      <c r="V1445" s="5" t="str">
        <f aca="false">IF(B1445="","",TRIM(LEFT(B1445,IFERROR(FIND(" ",B1445)-1,LEN(B1445)))))</f>
        <v/>
      </c>
      <c r="W1445" s="22"/>
      <c r="X1445" s="5" t="str">
        <f aca="false">IF(A1445="","",IF(W1445&lt;&gt;"",W1445,V1445))</f>
        <v/>
      </c>
      <c r="Y1445" s="5" t="str">
        <f aca="false">IF(A1445="","",IF(COUNTIFS($X$2:$X$2001,X1445,$D$2:$D$2001,"&lt;&gt;"&amp;D1445,$C$2:$C$2001,C1445)&gt;0,"SIM","NAO"))</f>
        <v/>
      </c>
      <c r="Z1445" s="5" t="str">
        <f aca="false">IF(A1445="","",IF(J1445="","",IFERROR(360/J1445,"")))</f>
        <v/>
      </c>
      <c r="AA1445" s="5" t="str">
        <f aca="false">IF(A1445="","",IF(H1445=0,"Parado (sem venda 90d)",IF(Z1445&gt;12,"Alto (&gt;12x/ano)",IF(Z1445&gt;=4,"Medio (4-12x/ano)","Baixo (&lt;4x/ano)"))))</f>
        <v/>
      </c>
    </row>
    <row r="1446" customFormat="false" ht="15" hidden="false" customHeight="true" outlineLevel="0" collapsed="false">
      <c r="A1446" s="6"/>
      <c r="B1446" s="6"/>
      <c r="C1446" s="6"/>
      <c r="D1446" s="6"/>
      <c r="E1446" s="6"/>
      <c r="F1446" s="6"/>
      <c r="G1446" s="6"/>
      <c r="H1446" s="6"/>
      <c r="I1446" s="6"/>
      <c r="J1446" s="6"/>
      <c r="K1446" s="18"/>
      <c r="L1446" s="19" t="str">
        <f aca="false">IF(A1446="","",G1446*K1446)</f>
        <v/>
      </c>
      <c r="M1446" s="20"/>
      <c r="N1446" s="6"/>
      <c r="O1446" s="6"/>
      <c r="P1446" s="5" t="str">
        <f aca="false">IF(A1446="","",H1446/90)</f>
        <v/>
      </c>
      <c r="Q1446" s="5" t="str">
        <f aca="false">IF(A1446="","",IFERROR(INDEX(Parâmetros!$C$6:$C$10,MATCH(F1446,Parâmetros!$B$6:$B$10,0)),""))</f>
        <v/>
      </c>
      <c r="R1446" s="5" t="str">
        <f aca="false">IF(OR(A1446="",P1446="",Q1446=""),"",P1446*Q1446)</f>
        <v/>
      </c>
      <c r="S1446" s="5" t="str">
        <f aca="false">IF(R1446="","",MAX(0,R1446-G1446))</f>
        <v/>
      </c>
      <c r="T1446" s="21" t="str">
        <f aca="false">IF(S1446="","",S1446*K1446)</f>
        <v/>
      </c>
      <c r="U1446" s="5" t="str">
        <f aca="false">IF(A1446="","",IF(J1446&gt;Parâmetros!$C$14,"SIM","NAO"))</f>
        <v/>
      </c>
      <c r="V1446" s="5" t="str">
        <f aca="false">IF(B1446="","",TRIM(LEFT(B1446,IFERROR(FIND(" ",B1446)-1,LEN(B1446)))))</f>
        <v/>
      </c>
      <c r="W1446" s="22"/>
      <c r="X1446" s="5" t="str">
        <f aca="false">IF(A1446="","",IF(W1446&lt;&gt;"",W1446,V1446))</f>
        <v/>
      </c>
      <c r="Y1446" s="5" t="str">
        <f aca="false">IF(A1446="","",IF(COUNTIFS($X$2:$X$2001,X1446,$D$2:$D$2001,"&lt;&gt;"&amp;D1446,$C$2:$C$2001,C1446)&gt;0,"SIM","NAO"))</f>
        <v/>
      </c>
      <c r="Z1446" s="5" t="str">
        <f aca="false">IF(A1446="","",IF(J1446="","",IFERROR(360/J1446,"")))</f>
        <v/>
      </c>
      <c r="AA1446" s="5" t="str">
        <f aca="false">IF(A1446="","",IF(H1446=0,"Parado (sem venda 90d)",IF(Z1446&gt;12,"Alto (&gt;12x/ano)",IF(Z1446&gt;=4,"Medio (4-12x/ano)","Baixo (&lt;4x/ano)"))))</f>
        <v/>
      </c>
    </row>
    <row r="1447" customFormat="false" ht="15" hidden="false" customHeight="true" outlineLevel="0" collapsed="false">
      <c r="A1447" s="6"/>
      <c r="B1447" s="6"/>
      <c r="C1447" s="6"/>
      <c r="D1447" s="6"/>
      <c r="E1447" s="6"/>
      <c r="F1447" s="6"/>
      <c r="G1447" s="6"/>
      <c r="H1447" s="6"/>
      <c r="I1447" s="6"/>
      <c r="J1447" s="6"/>
      <c r="K1447" s="18"/>
      <c r="L1447" s="19" t="str">
        <f aca="false">IF(A1447="","",G1447*K1447)</f>
        <v/>
      </c>
      <c r="M1447" s="20"/>
      <c r="N1447" s="6"/>
      <c r="O1447" s="6"/>
      <c r="P1447" s="5" t="str">
        <f aca="false">IF(A1447="","",H1447/90)</f>
        <v/>
      </c>
      <c r="Q1447" s="5" t="str">
        <f aca="false">IF(A1447="","",IFERROR(INDEX(Parâmetros!$C$6:$C$10,MATCH(F1447,Parâmetros!$B$6:$B$10,0)),""))</f>
        <v/>
      </c>
      <c r="R1447" s="5" t="str">
        <f aca="false">IF(OR(A1447="",P1447="",Q1447=""),"",P1447*Q1447)</f>
        <v/>
      </c>
      <c r="S1447" s="5" t="str">
        <f aca="false">IF(R1447="","",MAX(0,R1447-G1447))</f>
        <v/>
      </c>
      <c r="T1447" s="21" t="str">
        <f aca="false">IF(S1447="","",S1447*K1447)</f>
        <v/>
      </c>
      <c r="U1447" s="5" t="str">
        <f aca="false">IF(A1447="","",IF(J1447&gt;Parâmetros!$C$14,"SIM","NAO"))</f>
        <v/>
      </c>
      <c r="V1447" s="5" t="str">
        <f aca="false">IF(B1447="","",TRIM(LEFT(B1447,IFERROR(FIND(" ",B1447)-1,LEN(B1447)))))</f>
        <v/>
      </c>
      <c r="W1447" s="22"/>
      <c r="X1447" s="5" t="str">
        <f aca="false">IF(A1447="","",IF(W1447&lt;&gt;"",W1447,V1447))</f>
        <v/>
      </c>
      <c r="Y1447" s="5" t="str">
        <f aca="false">IF(A1447="","",IF(COUNTIFS($X$2:$X$2001,X1447,$D$2:$D$2001,"&lt;&gt;"&amp;D1447,$C$2:$C$2001,C1447)&gt;0,"SIM","NAO"))</f>
        <v/>
      </c>
      <c r="Z1447" s="5" t="str">
        <f aca="false">IF(A1447="","",IF(J1447="","",IFERROR(360/J1447,"")))</f>
        <v/>
      </c>
      <c r="AA1447" s="5" t="str">
        <f aca="false">IF(A1447="","",IF(H1447=0,"Parado (sem venda 90d)",IF(Z1447&gt;12,"Alto (&gt;12x/ano)",IF(Z1447&gt;=4,"Medio (4-12x/ano)","Baixo (&lt;4x/ano)"))))</f>
        <v/>
      </c>
    </row>
    <row r="1448" customFormat="false" ht="15" hidden="false" customHeight="true" outlineLevel="0" collapsed="false">
      <c r="A1448" s="6"/>
      <c r="B1448" s="6"/>
      <c r="C1448" s="6"/>
      <c r="D1448" s="6"/>
      <c r="E1448" s="6"/>
      <c r="F1448" s="6"/>
      <c r="G1448" s="6"/>
      <c r="H1448" s="6"/>
      <c r="I1448" s="6"/>
      <c r="J1448" s="6"/>
      <c r="K1448" s="18"/>
      <c r="L1448" s="19" t="str">
        <f aca="false">IF(A1448="","",G1448*K1448)</f>
        <v/>
      </c>
      <c r="M1448" s="20"/>
      <c r="N1448" s="6"/>
      <c r="O1448" s="6"/>
      <c r="P1448" s="5" t="str">
        <f aca="false">IF(A1448="","",H1448/90)</f>
        <v/>
      </c>
      <c r="Q1448" s="5" t="str">
        <f aca="false">IF(A1448="","",IFERROR(INDEX(Parâmetros!$C$6:$C$10,MATCH(F1448,Parâmetros!$B$6:$B$10,0)),""))</f>
        <v/>
      </c>
      <c r="R1448" s="5" t="str">
        <f aca="false">IF(OR(A1448="",P1448="",Q1448=""),"",P1448*Q1448)</f>
        <v/>
      </c>
      <c r="S1448" s="5" t="str">
        <f aca="false">IF(R1448="","",MAX(0,R1448-G1448))</f>
        <v/>
      </c>
      <c r="T1448" s="21" t="str">
        <f aca="false">IF(S1448="","",S1448*K1448)</f>
        <v/>
      </c>
      <c r="U1448" s="5" t="str">
        <f aca="false">IF(A1448="","",IF(J1448&gt;Parâmetros!$C$14,"SIM","NAO"))</f>
        <v/>
      </c>
      <c r="V1448" s="5" t="str">
        <f aca="false">IF(B1448="","",TRIM(LEFT(B1448,IFERROR(FIND(" ",B1448)-1,LEN(B1448)))))</f>
        <v/>
      </c>
      <c r="W1448" s="22"/>
      <c r="X1448" s="5" t="str">
        <f aca="false">IF(A1448="","",IF(W1448&lt;&gt;"",W1448,V1448))</f>
        <v/>
      </c>
      <c r="Y1448" s="5" t="str">
        <f aca="false">IF(A1448="","",IF(COUNTIFS($X$2:$X$2001,X1448,$D$2:$D$2001,"&lt;&gt;"&amp;D1448,$C$2:$C$2001,C1448)&gt;0,"SIM","NAO"))</f>
        <v/>
      </c>
      <c r="Z1448" s="5" t="str">
        <f aca="false">IF(A1448="","",IF(J1448="","",IFERROR(360/J1448,"")))</f>
        <v/>
      </c>
      <c r="AA1448" s="5" t="str">
        <f aca="false">IF(A1448="","",IF(H1448=0,"Parado (sem venda 90d)",IF(Z1448&gt;12,"Alto (&gt;12x/ano)",IF(Z1448&gt;=4,"Medio (4-12x/ano)","Baixo (&lt;4x/ano)"))))</f>
        <v/>
      </c>
    </row>
    <row r="1449" customFormat="false" ht="15" hidden="false" customHeight="true" outlineLevel="0" collapsed="false">
      <c r="A1449" s="6"/>
      <c r="B1449" s="6"/>
      <c r="C1449" s="6"/>
      <c r="D1449" s="6"/>
      <c r="E1449" s="6"/>
      <c r="F1449" s="6"/>
      <c r="G1449" s="6"/>
      <c r="H1449" s="6"/>
      <c r="I1449" s="6"/>
      <c r="J1449" s="6"/>
      <c r="K1449" s="18"/>
      <c r="L1449" s="19" t="str">
        <f aca="false">IF(A1449="","",G1449*K1449)</f>
        <v/>
      </c>
      <c r="M1449" s="20"/>
      <c r="N1449" s="6"/>
      <c r="O1449" s="6"/>
      <c r="P1449" s="5" t="str">
        <f aca="false">IF(A1449="","",H1449/90)</f>
        <v/>
      </c>
      <c r="Q1449" s="5" t="str">
        <f aca="false">IF(A1449="","",IFERROR(INDEX(Parâmetros!$C$6:$C$10,MATCH(F1449,Parâmetros!$B$6:$B$10,0)),""))</f>
        <v/>
      </c>
      <c r="R1449" s="5" t="str">
        <f aca="false">IF(OR(A1449="",P1449="",Q1449=""),"",P1449*Q1449)</f>
        <v/>
      </c>
      <c r="S1449" s="5" t="str">
        <f aca="false">IF(R1449="","",MAX(0,R1449-G1449))</f>
        <v/>
      </c>
      <c r="T1449" s="21" t="str">
        <f aca="false">IF(S1449="","",S1449*K1449)</f>
        <v/>
      </c>
      <c r="U1449" s="5" t="str">
        <f aca="false">IF(A1449="","",IF(J1449&gt;Parâmetros!$C$14,"SIM","NAO"))</f>
        <v/>
      </c>
      <c r="V1449" s="5" t="str">
        <f aca="false">IF(B1449="","",TRIM(LEFT(B1449,IFERROR(FIND(" ",B1449)-1,LEN(B1449)))))</f>
        <v/>
      </c>
      <c r="W1449" s="22"/>
      <c r="X1449" s="5" t="str">
        <f aca="false">IF(A1449="","",IF(W1449&lt;&gt;"",W1449,V1449))</f>
        <v/>
      </c>
      <c r="Y1449" s="5" t="str">
        <f aca="false">IF(A1449="","",IF(COUNTIFS($X$2:$X$2001,X1449,$D$2:$D$2001,"&lt;&gt;"&amp;D1449,$C$2:$C$2001,C1449)&gt;0,"SIM","NAO"))</f>
        <v/>
      </c>
      <c r="Z1449" s="5" t="str">
        <f aca="false">IF(A1449="","",IF(J1449="","",IFERROR(360/J1449,"")))</f>
        <v/>
      </c>
      <c r="AA1449" s="5" t="str">
        <f aca="false">IF(A1449="","",IF(H1449=0,"Parado (sem venda 90d)",IF(Z1449&gt;12,"Alto (&gt;12x/ano)",IF(Z1449&gt;=4,"Medio (4-12x/ano)","Baixo (&lt;4x/ano)"))))</f>
        <v/>
      </c>
    </row>
    <row r="1450" customFormat="false" ht="15" hidden="false" customHeight="true" outlineLevel="0" collapsed="false">
      <c r="A1450" s="6"/>
      <c r="B1450" s="6"/>
      <c r="C1450" s="6"/>
      <c r="D1450" s="6"/>
      <c r="E1450" s="6"/>
      <c r="F1450" s="6"/>
      <c r="G1450" s="6"/>
      <c r="H1450" s="6"/>
      <c r="I1450" s="6"/>
      <c r="J1450" s="6"/>
      <c r="K1450" s="18"/>
      <c r="L1450" s="19" t="str">
        <f aca="false">IF(A1450="","",G1450*K1450)</f>
        <v/>
      </c>
      <c r="M1450" s="20"/>
      <c r="N1450" s="6"/>
      <c r="O1450" s="6"/>
      <c r="P1450" s="5" t="str">
        <f aca="false">IF(A1450="","",H1450/90)</f>
        <v/>
      </c>
      <c r="Q1450" s="5" t="str">
        <f aca="false">IF(A1450="","",IFERROR(INDEX(Parâmetros!$C$6:$C$10,MATCH(F1450,Parâmetros!$B$6:$B$10,0)),""))</f>
        <v/>
      </c>
      <c r="R1450" s="5" t="str">
        <f aca="false">IF(OR(A1450="",P1450="",Q1450=""),"",P1450*Q1450)</f>
        <v/>
      </c>
      <c r="S1450" s="5" t="str">
        <f aca="false">IF(R1450="","",MAX(0,R1450-G1450))</f>
        <v/>
      </c>
      <c r="T1450" s="21" t="str">
        <f aca="false">IF(S1450="","",S1450*K1450)</f>
        <v/>
      </c>
      <c r="U1450" s="5" t="str">
        <f aca="false">IF(A1450="","",IF(J1450&gt;Parâmetros!$C$14,"SIM","NAO"))</f>
        <v/>
      </c>
      <c r="V1450" s="5" t="str">
        <f aca="false">IF(B1450="","",TRIM(LEFT(B1450,IFERROR(FIND(" ",B1450)-1,LEN(B1450)))))</f>
        <v/>
      </c>
      <c r="W1450" s="22"/>
      <c r="X1450" s="5" t="str">
        <f aca="false">IF(A1450="","",IF(W1450&lt;&gt;"",W1450,V1450))</f>
        <v/>
      </c>
      <c r="Y1450" s="5" t="str">
        <f aca="false">IF(A1450="","",IF(COUNTIFS($X$2:$X$2001,X1450,$D$2:$D$2001,"&lt;&gt;"&amp;D1450,$C$2:$C$2001,C1450)&gt;0,"SIM","NAO"))</f>
        <v/>
      </c>
      <c r="Z1450" s="5" t="str">
        <f aca="false">IF(A1450="","",IF(J1450="","",IFERROR(360/J1450,"")))</f>
        <v/>
      </c>
      <c r="AA1450" s="5" t="str">
        <f aca="false">IF(A1450="","",IF(H1450=0,"Parado (sem venda 90d)",IF(Z1450&gt;12,"Alto (&gt;12x/ano)",IF(Z1450&gt;=4,"Medio (4-12x/ano)","Baixo (&lt;4x/ano)"))))</f>
        <v/>
      </c>
    </row>
    <row r="1451" customFormat="false" ht="15" hidden="false" customHeight="true" outlineLevel="0" collapsed="false">
      <c r="A1451" s="6"/>
      <c r="B1451" s="6"/>
      <c r="C1451" s="6"/>
      <c r="D1451" s="6"/>
      <c r="E1451" s="6"/>
      <c r="F1451" s="6"/>
      <c r="G1451" s="6"/>
      <c r="H1451" s="6"/>
      <c r="I1451" s="6"/>
      <c r="J1451" s="6"/>
      <c r="K1451" s="18"/>
      <c r="L1451" s="19" t="str">
        <f aca="false">IF(A1451="","",G1451*K1451)</f>
        <v/>
      </c>
      <c r="M1451" s="20"/>
      <c r="N1451" s="6"/>
      <c r="O1451" s="6"/>
      <c r="P1451" s="5" t="str">
        <f aca="false">IF(A1451="","",H1451/90)</f>
        <v/>
      </c>
      <c r="Q1451" s="5" t="str">
        <f aca="false">IF(A1451="","",IFERROR(INDEX(Parâmetros!$C$6:$C$10,MATCH(F1451,Parâmetros!$B$6:$B$10,0)),""))</f>
        <v/>
      </c>
      <c r="R1451" s="5" t="str">
        <f aca="false">IF(OR(A1451="",P1451="",Q1451=""),"",P1451*Q1451)</f>
        <v/>
      </c>
      <c r="S1451" s="5" t="str">
        <f aca="false">IF(R1451="","",MAX(0,R1451-G1451))</f>
        <v/>
      </c>
      <c r="T1451" s="21" t="str">
        <f aca="false">IF(S1451="","",S1451*K1451)</f>
        <v/>
      </c>
      <c r="U1451" s="5" t="str">
        <f aca="false">IF(A1451="","",IF(J1451&gt;Parâmetros!$C$14,"SIM","NAO"))</f>
        <v/>
      </c>
      <c r="V1451" s="5" t="str">
        <f aca="false">IF(B1451="","",TRIM(LEFT(B1451,IFERROR(FIND(" ",B1451)-1,LEN(B1451)))))</f>
        <v/>
      </c>
      <c r="W1451" s="22"/>
      <c r="X1451" s="5" t="str">
        <f aca="false">IF(A1451="","",IF(W1451&lt;&gt;"",W1451,V1451))</f>
        <v/>
      </c>
      <c r="Y1451" s="5" t="str">
        <f aca="false">IF(A1451="","",IF(COUNTIFS($X$2:$X$2001,X1451,$D$2:$D$2001,"&lt;&gt;"&amp;D1451,$C$2:$C$2001,C1451)&gt;0,"SIM","NAO"))</f>
        <v/>
      </c>
      <c r="Z1451" s="5" t="str">
        <f aca="false">IF(A1451="","",IF(J1451="","",IFERROR(360/J1451,"")))</f>
        <v/>
      </c>
      <c r="AA1451" s="5" t="str">
        <f aca="false">IF(A1451="","",IF(H1451=0,"Parado (sem venda 90d)",IF(Z1451&gt;12,"Alto (&gt;12x/ano)",IF(Z1451&gt;=4,"Medio (4-12x/ano)","Baixo (&lt;4x/ano)"))))</f>
        <v/>
      </c>
    </row>
    <row r="1452" customFormat="false" ht="15" hidden="false" customHeight="true" outlineLevel="0" collapsed="false">
      <c r="A1452" s="6"/>
      <c r="B1452" s="6"/>
      <c r="C1452" s="6"/>
      <c r="D1452" s="6"/>
      <c r="E1452" s="6"/>
      <c r="F1452" s="6"/>
      <c r="G1452" s="6"/>
      <c r="H1452" s="6"/>
      <c r="I1452" s="6"/>
      <c r="J1452" s="6"/>
      <c r="K1452" s="18"/>
      <c r="L1452" s="19" t="str">
        <f aca="false">IF(A1452="","",G1452*K1452)</f>
        <v/>
      </c>
      <c r="M1452" s="20"/>
      <c r="N1452" s="6"/>
      <c r="O1452" s="6"/>
      <c r="P1452" s="5" t="str">
        <f aca="false">IF(A1452="","",H1452/90)</f>
        <v/>
      </c>
      <c r="Q1452" s="5" t="str">
        <f aca="false">IF(A1452="","",IFERROR(INDEX(Parâmetros!$C$6:$C$10,MATCH(F1452,Parâmetros!$B$6:$B$10,0)),""))</f>
        <v/>
      </c>
      <c r="R1452" s="5" t="str">
        <f aca="false">IF(OR(A1452="",P1452="",Q1452=""),"",P1452*Q1452)</f>
        <v/>
      </c>
      <c r="S1452" s="5" t="str">
        <f aca="false">IF(R1452="","",MAX(0,R1452-G1452))</f>
        <v/>
      </c>
      <c r="T1452" s="21" t="str">
        <f aca="false">IF(S1452="","",S1452*K1452)</f>
        <v/>
      </c>
      <c r="U1452" s="5" t="str">
        <f aca="false">IF(A1452="","",IF(J1452&gt;Parâmetros!$C$14,"SIM","NAO"))</f>
        <v/>
      </c>
      <c r="V1452" s="5" t="str">
        <f aca="false">IF(B1452="","",TRIM(LEFT(B1452,IFERROR(FIND(" ",B1452)-1,LEN(B1452)))))</f>
        <v/>
      </c>
      <c r="W1452" s="22"/>
      <c r="X1452" s="5" t="str">
        <f aca="false">IF(A1452="","",IF(W1452&lt;&gt;"",W1452,V1452))</f>
        <v/>
      </c>
      <c r="Y1452" s="5" t="str">
        <f aca="false">IF(A1452="","",IF(COUNTIFS($X$2:$X$2001,X1452,$D$2:$D$2001,"&lt;&gt;"&amp;D1452,$C$2:$C$2001,C1452)&gt;0,"SIM","NAO"))</f>
        <v/>
      </c>
      <c r="Z1452" s="5" t="str">
        <f aca="false">IF(A1452="","",IF(J1452="","",IFERROR(360/J1452,"")))</f>
        <v/>
      </c>
      <c r="AA1452" s="5" t="str">
        <f aca="false">IF(A1452="","",IF(H1452=0,"Parado (sem venda 90d)",IF(Z1452&gt;12,"Alto (&gt;12x/ano)",IF(Z1452&gt;=4,"Medio (4-12x/ano)","Baixo (&lt;4x/ano)"))))</f>
        <v/>
      </c>
    </row>
    <row r="1453" customFormat="false" ht="15" hidden="false" customHeight="true" outlineLevel="0" collapsed="false">
      <c r="A1453" s="6"/>
      <c r="B1453" s="6"/>
      <c r="C1453" s="6"/>
      <c r="D1453" s="6"/>
      <c r="E1453" s="6"/>
      <c r="F1453" s="6"/>
      <c r="G1453" s="6"/>
      <c r="H1453" s="6"/>
      <c r="I1453" s="6"/>
      <c r="J1453" s="6"/>
      <c r="K1453" s="18"/>
      <c r="L1453" s="19" t="str">
        <f aca="false">IF(A1453="","",G1453*K1453)</f>
        <v/>
      </c>
      <c r="M1453" s="20"/>
      <c r="N1453" s="6"/>
      <c r="O1453" s="6"/>
      <c r="P1453" s="5" t="str">
        <f aca="false">IF(A1453="","",H1453/90)</f>
        <v/>
      </c>
      <c r="Q1453" s="5" t="str">
        <f aca="false">IF(A1453="","",IFERROR(INDEX(Parâmetros!$C$6:$C$10,MATCH(F1453,Parâmetros!$B$6:$B$10,0)),""))</f>
        <v/>
      </c>
      <c r="R1453" s="5" t="str">
        <f aca="false">IF(OR(A1453="",P1453="",Q1453=""),"",P1453*Q1453)</f>
        <v/>
      </c>
      <c r="S1453" s="5" t="str">
        <f aca="false">IF(R1453="","",MAX(0,R1453-G1453))</f>
        <v/>
      </c>
      <c r="T1453" s="21" t="str">
        <f aca="false">IF(S1453="","",S1453*K1453)</f>
        <v/>
      </c>
      <c r="U1453" s="5" t="str">
        <f aca="false">IF(A1453="","",IF(J1453&gt;Parâmetros!$C$14,"SIM","NAO"))</f>
        <v/>
      </c>
      <c r="V1453" s="5" t="str">
        <f aca="false">IF(B1453="","",TRIM(LEFT(B1453,IFERROR(FIND(" ",B1453)-1,LEN(B1453)))))</f>
        <v/>
      </c>
      <c r="W1453" s="22"/>
      <c r="X1453" s="5" t="str">
        <f aca="false">IF(A1453="","",IF(W1453&lt;&gt;"",W1453,V1453))</f>
        <v/>
      </c>
      <c r="Y1453" s="5" t="str">
        <f aca="false">IF(A1453="","",IF(COUNTIFS($X$2:$X$2001,X1453,$D$2:$D$2001,"&lt;&gt;"&amp;D1453,$C$2:$C$2001,C1453)&gt;0,"SIM","NAO"))</f>
        <v/>
      </c>
      <c r="Z1453" s="5" t="str">
        <f aca="false">IF(A1453="","",IF(J1453="","",IFERROR(360/J1453,"")))</f>
        <v/>
      </c>
      <c r="AA1453" s="5" t="str">
        <f aca="false">IF(A1453="","",IF(H1453=0,"Parado (sem venda 90d)",IF(Z1453&gt;12,"Alto (&gt;12x/ano)",IF(Z1453&gt;=4,"Medio (4-12x/ano)","Baixo (&lt;4x/ano)"))))</f>
        <v/>
      </c>
    </row>
    <row r="1454" customFormat="false" ht="15" hidden="false" customHeight="true" outlineLevel="0" collapsed="false">
      <c r="A1454" s="6"/>
      <c r="B1454" s="6"/>
      <c r="C1454" s="6"/>
      <c r="D1454" s="6"/>
      <c r="E1454" s="6"/>
      <c r="F1454" s="6"/>
      <c r="G1454" s="6"/>
      <c r="H1454" s="6"/>
      <c r="I1454" s="6"/>
      <c r="J1454" s="6"/>
      <c r="K1454" s="18"/>
      <c r="L1454" s="19" t="str">
        <f aca="false">IF(A1454="","",G1454*K1454)</f>
        <v/>
      </c>
      <c r="M1454" s="20"/>
      <c r="N1454" s="6"/>
      <c r="O1454" s="6"/>
      <c r="P1454" s="5" t="str">
        <f aca="false">IF(A1454="","",H1454/90)</f>
        <v/>
      </c>
      <c r="Q1454" s="5" t="str">
        <f aca="false">IF(A1454="","",IFERROR(INDEX(Parâmetros!$C$6:$C$10,MATCH(F1454,Parâmetros!$B$6:$B$10,0)),""))</f>
        <v/>
      </c>
      <c r="R1454" s="5" t="str">
        <f aca="false">IF(OR(A1454="",P1454="",Q1454=""),"",P1454*Q1454)</f>
        <v/>
      </c>
      <c r="S1454" s="5" t="str">
        <f aca="false">IF(R1454="","",MAX(0,R1454-G1454))</f>
        <v/>
      </c>
      <c r="T1454" s="21" t="str">
        <f aca="false">IF(S1454="","",S1454*K1454)</f>
        <v/>
      </c>
      <c r="U1454" s="5" t="str">
        <f aca="false">IF(A1454="","",IF(J1454&gt;Parâmetros!$C$14,"SIM","NAO"))</f>
        <v/>
      </c>
      <c r="V1454" s="5" t="str">
        <f aca="false">IF(B1454="","",TRIM(LEFT(B1454,IFERROR(FIND(" ",B1454)-1,LEN(B1454)))))</f>
        <v/>
      </c>
      <c r="W1454" s="22"/>
      <c r="X1454" s="5" t="str">
        <f aca="false">IF(A1454="","",IF(W1454&lt;&gt;"",W1454,V1454))</f>
        <v/>
      </c>
      <c r="Y1454" s="5" t="str">
        <f aca="false">IF(A1454="","",IF(COUNTIFS($X$2:$X$2001,X1454,$D$2:$D$2001,"&lt;&gt;"&amp;D1454,$C$2:$C$2001,C1454)&gt;0,"SIM","NAO"))</f>
        <v/>
      </c>
      <c r="Z1454" s="5" t="str">
        <f aca="false">IF(A1454="","",IF(J1454="","",IFERROR(360/J1454,"")))</f>
        <v/>
      </c>
      <c r="AA1454" s="5" t="str">
        <f aca="false">IF(A1454="","",IF(H1454=0,"Parado (sem venda 90d)",IF(Z1454&gt;12,"Alto (&gt;12x/ano)",IF(Z1454&gt;=4,"Medio (4-12x/ano)","Baixo (&lt;4x/ano)"))))</f>
        <v/>
      </c>
    </row>
    <row r="1455" customFormat="false" ht="15" hidden="false" customHeight="true" outlineLevel="0" collapsed="false">
      <c r="A1455" s="6"/>
      <c r="B1455" s="6"/>
      <c r="C1455" s="6"/>
      <c r="D1455" s="6"/>
      <c r="E1455" s="6"/>
      <c r="F1455" s="6"/>
      <c r="G1455" s="6"/>
      <c r="H1455" s="6"/>
      <c r="I1455" s="6"/>
      <c r="J1455" s="6"/>
      <c r="K1455" s="18"/>
      <c r="L1455" s="19" t="str">
        <f aca="false">IF(A1455="","",G1455*K1455)</f>
        <v/>
      </c>
      <c r="M1455" s="20"/>
      <c r="N1455" s="6"/>
      <c r="O1455" s="6"/>
      <c r="P1455" s="5" t="str">
        <f aca="false">IF(A1455="","",H1455/90)</f>
        <v/>
      </c>
      <c r="Q1455" s="5" t="str">
        <f aca="false">IF(A1455="","",IFERROR(INDEX(Parâmetros!$C$6:$C$10,MATCH(F1455,Parâmetros!$B$6:$B$10,0)),""))</f>
        <v/>
      </c>
      <c r="R1455" s="5" t="str">
        <f aca="false">IF(OR(A1455="",P1455="",Q1455=""),"",P1455*Q1455)</f>
        <v/>
      </c>
      <c r="S1455" s="5" t="str">
        <f aca="false">IF(R1455="","",MAX(0,R1455-G1455))</f>
        <v/>
      </c>
      <c r="T1455" s="21" t="str">
        <f aca="false">IF(S1455="","",S1455*K1455)</f>
        <v/>
      </c>
      <c r="U1455" s="5" t="str">
        <f aca="false">IF(A1455="","",IF(J1455&gt;Parâmetros!$C$14,"SIM","NAO"))</f>
        <v/>
      </c>
      <c r="V1455" s="5" t="str">
        <f aca="false">IF(B1455="","",TRIM(LEFT(B1455,IFERROR(FIND(" ",B1455)-1,LEN(B1455)))))</f>
        <v/>
      </c>
      <c r="W1455" s="22"/>
      <c r="X1455" s="5" t="str">
        <f aca="false">IF(A1455="","",IF(W1455&lt;&gt;"",W1455,V1455))</f>
        <v/>
      </c>
      <c r="Y1455" s="5" t="str">
        <f aca="false">IF(A1455="","",IF(COUNTIFS($X$2:$X$2001,X1455,$D$2:$D$2001,"&lt;&gt;"&amp;D1455,$C$2:$C$2001,C1455)&gt;0,"SIM","NAO"))</f>
        <v/>
      </c>
      <c r="Z1455" s="5" t="str">
        <f aca="false">IF(A1455="","",IF(J1455="","",IFERROR(360/J1455,"")))</f>
        <v/>
      </c>
      <c r="AA1455" s="5" t="str">
        <f aca="false">IF(A1455="","",IF(H1455=0,"Parado (sem venda 90d)",IF(Z1455&gt;12,"Alto (&gt;12x/ano)",IF(Z1455&gt;=4,"Medio (4-12x/ano)","Baixo (&lt;4x/ano)"))))</f>
        <v/>
      </c>
    </row>
    <row r="1456" customFormat="false" ht="15" hidden="false" customHeight="true" outlineLevel="0" collapsed="false">
      <c r="A1456" s="6"/>
      <c r="B1456" s="6"/>
      <c r="C1456" s="6"/>
      <c r="D1456" s="6"/>
      <c r="E1456" s="6"/>
      <c r="F1456" s="6"/>
      <c r="G1456" s="6"/>
      <c r="H1456" s="6"/>
      <c r="I1456" s="6"/>
      <c r="J1456" s="6"/>
      <c r="K1456" s="18"/>
      <c r="L1456" s="19" t="str">
        <f aca="false">IF(A1456="","",G1456*K1456)</f>
        <v/>
      </c>
      <c r="M1456" s="20"/>
      <c r="N1456" s="6"/>
      <c r="O1456" s="6"/>
      <c r="P1456" s="5" t="str">
        <f aca="false">IF(A1456="","",H1456/90)</f>
        <v/>
      </c>
      <c r="Q1456" s="5" t="str">
        <f aca="false">IF(A1456="","",IFERROR(INDEX(Parâmetros!$C$6:$C$10,MATCH(F1456,Parâmetros!$B$6:$B$10,0)),""))</f>
        <v/>
      </c>
      <c r="R1456" s="5" t="str">
        <f aca="false">IF(OR(A1456="",P1456="",Q1456=""),"",P1456*Q1456)</f>
        <v/>
      </c>
      <c r="S1456" s="5" t="str">
        <f aca="false">IF(R1456="","",MAX(0,R1456-G1456))</f>
        <v/>
      </c>
      <c r="T1456" s="21" t="str">
        <f aca="false">IF(S1456="","",S1456*K1456)</f>
        <v/>
      </c>
      <c r="U1456" s="5" t="str">
        <f aca="false">IF(A1456="","",IF(J1456&gt;Parâmetros!$C$14,"SIM","NAO"))</f>
        <v/>
      </c>
      <c r="V1456" s="5" t="str">
        <f aca="false">IF(B1456="","",TRIM(LEFT(B1456,IFERROR(FIND(" ",B1456)-1,LEN(B1456)))))</f>
        <v/>
      </c>
      <c r="W1456" s="22"/>
      <c r="X1456" s="5" t="str">
        <f aca="false">IF(A1456="","",IF(W1456&lt;&gt;"",W1456,V1456))</f>
        <v/>
      </c>
      <c r="Y1456" s="5" t="str">
        <f aca="false">IF(A1456="","",IF(COUNTIFS($X$2:$X$2001,X1456,$D$2:$D$2001,"&lt;&gt;"&amp;D1456,$C$2:$C$2001,C1456)&gt;0,"SIM","NAO"))</f>
        <v/>
      </c>
      <c r="Z1456" s="5" t="str">
        <f aca="false">IF(A1456="","",IF(J1456="","",IFERROR(360/J1456,"")))</f>
        <v/>
      </c>
      <c r="AA1456" s="5" t="str">
        <f aca="false">IF(A1456="","",IF(H1456=0,"Parado (sem venda 90d)",IF(Z1456&gt;12,"Alto (&gt;12x/ano)",IF(Z1456&gt;=4,"Medio (4-12x/ano)","Baixo (&lt;4x/ano)"))))</f>
        <v/>
      </c>
    </row>
    <row r="1457" customFormat="false" ht="15" hidden="false" customHeight="true" outlineLevel="0" collapsed="false">
      <c r="A1457" s="6"/>
      <c r="B1457" s="6"/>
      <c r="C1457" s="6"/>
      <c r="D1457" s="6"/>
      <c r="E1457" s="6"/>
      <c r="F1457" s="6"/>
      <c r="G1457" s="6"/>
      <c r="H1457" s="6"/>
      <c r="I1457" s="6"/>
      <c r="J1457" s="6"/>
      <c r="K1457" s="18"/>
      <c r="L1457" s="19" t="str">
        <f aca="false">IF(A1457="","",G1457*K1457)</f>
        <v/>
      </c>
      <c r="M1457" s="20"/>
      <c r="N1457" s="6"/>
      <c r="O1457" s="6"/>
      <c r="P1457" s="5" t="str">
        <f aca="false">IF(A1457="","",H1457/90)</f>
        <v/>
      </c>
      <c r="Q1457" s="5" t="str">
        <f aca="false">IF(A1457="","",IFERROR(INDEX(Parâmetros!$C$6:$C$10,MATCH(F1457,Parâmetros!$B$6:$B$10,0)),""))</f>
        <v/>
      </c>
      <c r="R1457" s="5" t="str">
        <f aca="false">IF(OR(A1457="",P1457="",Q1457=""),"",P1457*Q1457)</f>
        <v/>
      </c>
      <c r="S1457" s="5" t="str">
        <f aca="false">IF(R1457="","",MAX(0,R1457-G1457))</f>
        <v/>
      </c>
      <c r="T1457" s="21" t="str">
        <f aca="false">IF(S1457="","",S1457*K1457)</f>
        <v/>
      </c>
      <c r="U1457" s="5" t="str">
        <f aca="false">IF(A1457="","",IF(J1457&gt;Parâmetros!$C$14,"SIM","NAO"))</f>
        <v/>
      </c>
      <c r="V1457" s="5" t="str">
        <f aca="false">IF(B1457="","",TRIM(LEFT(B1457,IFERROR(FIND(" ",B1457)-1,LEN(B1457)))))</f>
        <v/>
      </c>
      <c r="W1457" s="22"/>
      <c r="X1457" s="5" t="str">
        <f aca="false">IF(A1457="","",IF(W1457&lt;&gt;"",W1457,V1457))</f>
        <v/>
      </c>
      <c r="Y1457" s="5" t="str">
        <f aca="false">IF(A1457="","",IF(COUNTIFS($X$2:$X$2001,X1457,$D$2:$D$2001,"&lt;&gt;"&amp;D1457,$C$2:$C$2001,C1457)&gt;0,"SIM","NAO"))</f>
        <v/>
      </c>
      <c r="Z1457" s="5" t="str">
        <f aca="false">IF(A1457="","",IF(J1457="","",IFERROR(360/J1457,"")))</f>
        <v/>
      </c>
      <c r="AA1457" s="5" t="str">
        <f aca="false">IF(A1457="","",IF(H1457=0,"Parado (sem venda 90d)",IF(Z1457&gt;12,"Alto (&gt;12x/ano)",IF(Z1457&gt;=4,"Medio (4-12x/ano)","Baixo (&lt;4x/ano)"))))</f>
        <v/>
      </c>
    </row>
    <row r="1458" customFormat="false" ht="15" hidden="false" customHeight="true" outlineLevel="0" collapsed="false">
      <c r="A1458" s="6"/>
      <c r="B1458" s="6"/>
      <c r="C1458" s="6"/>
      <c r="D1458" s="6"/>
      <c r="E1458" s="6"/>
      <c r="F1458" s="6"/>
      <c r="G1458" s="6"/>
      <c r="H1458" s="6"/>
      <c r="I1458" s="6"/>
      <c r="J1458" s="6"/>
      <c r="K1458" s="18"/>
      <c r="L1458" s="19" t="str">
        <f aca="false">IF(A1458="","",G1458*K1458)</f>
        <v/>
      </c>
      <c r="M1458" s="20"/>
      <c r="N1458" s="6"/>
      <c r="O1458" s="6"/>
      <c r="P1458" s="5" t="str">
        <f aca="false">IF(A1458="","",H1458/90)</f>
        <v/>
      </c>
      <c r="Q1458" s="5" t="str">
        <f aca="false">IF(A1458="","",IFERROR(INDEX(Parâmetros!$C$6:$C$10,MATCH(F1458,Parâmetros!$B$6:$B$10,0)),""))</f>
        <v/>
      </c>
      <c r="R1458" s="5" t="str">
        <f aca="false">IF(OR(A1458="",P1458="",Q1458=""),"",P1458*Q1458)</f>
        <v/>
      </c>
      <c r="S1458" s="5" t="str">
        <f aca="false">IF(R1458="","",MAX(0,R1458-G1458))</f>
        <v/>
      </c>
      <c r="T1458" s="21" t="str">
        <f aca="false">IF(S1458="","",S1458*K1458)</f>
        <v/>
      </c>
      <c r="U1458" s="5" t="str">
        <f aca="false">IF(A1458="","",IF(J1458&gt;Parâmetros!$C$14,"SIM","NAO"))</f>
        <v/>
      </c>
      <c r="V1458" s="5" t="str">
        <f aca="false">IF(B1458="","",TRIM(LEFT(B1458,IFERROR(FIND(" ",B1458)-1,LEN(B1458)))))</f>
        <v/>
      </c>
      <c r="W1458" s="22"/>
      <c r="X1458" s="5" t="str">
        <f aca="false">IF(A1458="","",IF(W1458&lt;&gt;"",W1458,V1458))</f>
        <v/>
      </c>
      <c r="Y1458" s="5" t="str">
        <f aca="false">IF(A1458="","",IF(COUNTIFS($X$2:$X$2001,X1458,$D$2:$D$2001,"&lt;&gt;"&amp;D1458,$C$2:$C$2001,C1458)&gt;0,"SIM","NAO"))</f>
        <v/>
      </c>
      <c r="Z1458" s="5" t="str">
        <f aca="false">IF(A1458="","",IF(J1458="","",IFERROR(360/J1458,"")))</f>
        <v/>
      </c>
      <c r="AA1458" s="5" t="str">
        <f aca="false">IF(A1458="","",IF(H1458=0,"Parado (sem venda 90d)",IF(Z1458&gt;12,"Alto (&gt;12x/ano)",IF(Z1458&gt;=4,"Medio (4-12x/ano)","Baixo (&lt;4x/ano)"))))</f>
        <v/>
      </c>
    </row>
    <row r="1459" customFormat="false" ht="15" hidden="false" customHeight="true" outlineLevel="0" collapsed="false">
      <c r="A1459" s="6"/>
      <c r="B1459" s="6"/>
      <c r="C1459" s="6"/>
      <c r="D1459" s="6"/>
      <c r="E1459" s="6"/>
      <c r="F1459" s="6"/>
      <c r="G1459" s="6"/>
      <c r="H1459" s="6"/>
      <c r="I1459" s="6"/>
      <c r="J1459" s="6"/>
      <c r="K1459" s="18"/>
      <c r="L1459" s="19" t="str">
        <f aca="false">IF(A1459="","",G1459*K1459)</f>
        <v/>
      </c>
      <c r="M1459" s="20"/>
      <c r="N1459" s="6"/>
      <c r="O1459" s="6"/>
      <c r="P1459" s="5" t="str">
        <f aca="false">IF(A1459="","",H1459/90)</f>
        <v/>
      </c>
      <c r="Q1459" s="5" t="str">
        <f aca="false">IF(A1459="","",IFERROR(INDEX(Parâmetros!$C$6:$C$10,MATCH(F1459,Parâmetros!$B$6:$B$10,0)),""))</f>
        <v/>
      </c>
      <c r="R1459" s="5" t="str">
        <f aca="false">IF(OR(A1459="",P1459="",Q1459=""),"",P1459*Q1459)</f>
        <v/>
      </c>
      <c r="S1459" s="5" t="str">
        <f aca="false">IF(R1459="","",MAX(0,R1459-G1459))</f>
        <v/>
      </c>
      <c r="T1459" s="21" t="str">
        <f aca="false">IF(S1459="","",S1459*K1459)</f>
        <v/>
      </c>
      <c r="U1459" s="5" t="str">
        <f aca="false">IF(A1459="","",IF(J1459&gt;Parâmetros!$C$14,"SIM","NAO"))</f>
        <v/>
      </c>
      <c r="V1459" s="5" t="str">
        <f aca="false">IF(B1459="","",TRIM(LEFT(B1459,IFERROR(FIND(" ",B1459)-1,LEN(B1459)))))</f>
        <v/>
      </c>
      <c r="W1459" s="22"/>
      <c r="X1459" s="5" t="str">
        <f aca="false">IF(A1459="","",IF(W1459&lt;&gt;"",W1459,V1459))</f>
        <v/>
      </c>
      <c r="Y1459" s="5" t="str">
        <f aca="false">IF(A1459="","",IF(COUNTIFS($X$2:$X$2001,X1459,$D$2:$D$2001,"&lt;&gt;"&amp;D1459,$C$2:$C$2001,C1459)&gt;0,"SIM","NAO"))</f>
        <v/>
      </c>
      <c r="Z1459" s="5" t="str">
        <f aca="false">IF(A1459="","",IF(J1459="","",IFERROR(360/J1459,"")))</f>
        <v/>
      </c>
      <c r="AA1459" s="5" t="str">
        <f aca="false">IF(A1459="","",IF(H1459=0,"Parado (sem venda 90d)",IF(Z1459&gt;12,"Alto (&gt;12x/ano)",IF(Z1459&gt;=4,"Medio (4-12x/ano)","Baixo (&lt;4x/ano)"))))</f>
        <v/>
      </c>
    </row>
    <row r="1460" customFormat="false" ht="15" hidden="false" customHeight="true" outlineLevel="0" collapsed="false">
      <c r="A1460" s="6"/>
      <c r="B1460" s="6"/>
      <c r="C1460" s="6"/>
      <c r="D1460" s="6"/>
      <c r="E1460" s="6"/>
      <c r="F1460" s="6"/>
      <c r="G1460" s="6"/>
      <c r="H1460" s="6"/>
      <c r="I1460" s="6"/>
      <c r="J1460" s="6"/>
      <c r="K1460" s="18"/>
      <c r="L1460" s="19" t="str">
        <f aca="false">IF(A1460="","",G1460*K1460)</f>
        <v/>
      </c>
      <c r="M1460" s="20"/>
      <c r="N1460" s="6"/>
      <c r="O1460" s="6"/>
      <c r="P1460" s="5" t="str">
        <f aca="false">IF(A1460="","",H1460/90)</f>
        <v/>
      </c>
      <c r="Q1460" s="5" t="str">
        <f aca="false">IF(A1460="","",IFERROR(INDEX(Parâmetros!$C$6:$C$10,MATCH(F1460,Parâmetros!$B$6:$B$10,0)),""))</f>
        <v/>
      </c>
      <c r="R1460" s="5" t="str">
        <f aca="false">IF(OR(A1460="",P1460="",Q1460=""),"",P1460*Q1460)</f>
        <v/>
      </c>
      <c r="S1460" s="5" t="str">
        <f aca="false">IF(R1460="","",MAX(0,R1460-G1460))</f>
        <v/>
      </c>
      <c r="T1460" s="21" t="str">
        <f aca="false">IF(S1460="","",S1460*K1460)</f>
        <v/>
      </c>
      <c r="U1460" s="5" t="str">
        <f aca="false">IF(A1460="","",IF(J1460&gt;Parâmetros!$C$14,"SIM","NAO"))</f>
        <v/>
      </c>
      <c r="V1460" s="5" t="str">
        <f aca="false">IF(B1460="","",TRIM(LEFT(B1460,IFERROR(FIND(" ",B1460)-1,LEN(B1460)))))</f>
        <v/>
      </c>
      <c r="W1460" s="22"/>
      <c r="X1460" s="5" t="str">
        <f aca="false">IF(A1460="","",IF(W1460&lt;&gt;"",W1460,V1460))</f>
        <v/>
      </c>
      <c r="Y1460" s="5" t="str">
        <f aca="false">IF(A1460="","",IF(COUNTIFS($X$2:$X$2001,X1460,$D$2:$D$2001,"&lt;&gt;"&amp;D1460,$C$2:$C$2001,C1460)&gt;0,"SIM","NAO"))</f>
        <v/>
      </c>
      <c r="Z1460" s="5" t="str">
        <f aca="false">IF(A1460="","",IF(J1460="","",IFERROR(360/J1460,"")))</f>
        <v/>
      </c>
      <c r="AA1460" s="5" t="str">
        <f aca="false">IF(A1460="","",IF(H1460=0,"Parado (sem venda 90d)",IF(Z1460&gt;12,"Alto (&gt;12x/ano)",IF(Z1460&gt;=4,"Medio (4-12x/ano)","Baixo (&lt;4x/ano)"))))</f>
        <v/>
      </c>
    </row>
    <row r="1461" customFormat="false" ht="15" hidden="false" customHeight="true" outlineLevel="0" collapsed="false">
      <c r="A1461" s="6"/>
      <c r="B1461" s="6"/>
      <c r="C1461" s="6"/>
      <c r="D1461" s="6"/>
      <c r="E1461" s="6"/>
      <c r="F1461" s="6"/>
      <c r="G1461" s="6"/>
      <c r="H1461" s="6"/>
      <c r="I1461" s="6"/>
      <c r="J1461" s="6"/>
      <c r="K1461" s="18"/>
      <c r="L1461" s="19" t="str">
        <f aca="false">IF(A1461="","",G1461*K1461)</f>
        <v/>
      </c>
      <c r="M1461" s="20"/>
      <c r="N1461" s="6"/>
      <c r="O1461" s="6"/>
      <c r="P1461" s="5" t="str">
        <f aca="false">IF(A1461="","",H1461/90)</f>
        <v/>
      </c>
      <c r="Q1461" s="5" t="str">
        <f aca="false">IF(A1461="","",IFERROR(INDEX(Parâmetros!$C$6:$C$10,MATCH(F1461,Parâmetros!$B$6:$B$10,0)),""))</f>
        <v/>
      </c>
      <c r="R1461" s="5" t="str">
        <f aca="false">IF(OR(A1461="",P1461="",Q1461=""),"",P1461*Q1461)</f>
        <v/>
      </c>
      <c r="S1461" s="5" t="str">
        <f aca="false">IF(R1461="","",MAX(0,R1461-G1461))</f>
        <v/>
      </c>
      <c r="T1461" s="21" t="str">
        <f aca="false">IF(S1461="","",S1461*K1461)</f>
        <v/>
      </c>
      <c r="U1461" s="5" t="str">
        <f aca="false">IF(A1461="","",IF(J1461&gt;Parâmetros!$C$14,"SIM","NAO"))</f>
        <v/>
      </c>
      <c r="V1461" s="5" t="str">
        <f aca="false">IF(B1461="","",TRIM(LEFT(B1461,IFERROR(FIND(" ",B1461)-1,LEN(B1461)))))</f>
        <v/>
      </c>
      <c r="W1461" s="22"/>
      <c r="X1461" s="5" t="str">
        <f aca="false">IF(A1461="","",IF(W1461&lt;&gt;"",W1461,V1461))</f>
        <v/>
      </c>
      <c r="Y1461" s="5" t="str">
        <f aca="false">IF(A1461="","",IF(COUNTIFS($X$2:$X$2001,X1461,$D$2:$D$2001,"&lt;&gt;"&amp;D1461,$C$2:$C$2001,C1461)&gt;0,"SIM","NAO"))</f>
        <v/>
      </c>
      <c r="Z1461" s="5" t="str">
        <f aca="false">IF(A1461="","",IF(J1461="","",IFERROR(360/J1461,"")))</f>
        <v/>
      </c>
      <c r="AA1461" s="5" t="str">
        <f aca="false">IF(A1461="","",IF(H1461=0,"Parado (sem venda 90d)",IF(Z1461&gt;12,"Alto (&gt;12x/ano)",IF(Z1461&gt;=4,"Medio (4-12x/ano)","Baixo (&lt;4x/ano)"))))</f>
        <v/>
      </c>
    </row>
    <row r="1462" customFormat="false" ht="15" hidden="false" customHeight="true" outlineLevel="0" collapsed="false">
      <c r="A1462" s="6"/>
      <c r="B1462" s="6"/>
      <c r="C1462" s="6"/>
      <c r="D1462" s="6"/>
      <c r="E1462" s="6"/>
      <c r="F1462" s="6"/>
      <c r="G1462" s="6"/>
      <c r="H1462" s="6"/>
      <c r="I1462" s="6"/>
      <c r="J1462" s="6"/>
      <c r="K1462" s="18"/>
      <c r="L1462" s="19" t="str">
        <f aca="false">IF(A1462="","",G1462*K1462)</f>
        <v/>
      </c>
      <c r="M1462" s="20"/>
      <c r="N1462" s="6"/>
      <c r="O1462" s="6"/>
      <c r="P1462" s="5" t="str">
        <f aca="false">IF(A1462="","",H1462/90)</f>
        <v/>
      </c>
      <c r="Q1462" s="5" t="str">
        <f aca="false">IF(A1462="","",IFERROR(INDEX(Parâmetros!$C$6:$C$10,MATCH(F1462,Parâmetros!$B$6:$B$10,0)),""))</f>
        <v/>
      </c>
      <c r="R1462" s="5" t="str">
        <f aca="false">IF(OR(A1462="",P1462="",Q1462=""),"",P1462*Q1462)</f>
        <v/>
      </c>
      <c r="S1462" s="5" t="str">
        <f aca="false">IF(R1462="","",MAX(0,R1462-G1462))</f>
        <v/>
      </c>
      <c r="T1462" s="21" t="str">
        <f aca="false">IF(S1462="","",S1462*K1462)</f>
        <v/>
      </c>
      <c r="U1462" s="5" t="str">
        <f aca="false">IF(A1462="","",IF(J1462&gt;Parâmetros!$C$14,"SIM","NAO"))</f>
        <v/>
      </c>
      <c r="V1462" s="5" t="str">
        <f aca="false">IF(B1462="","",TRIM(LEFT(B1462,IFERROR(FIND(" ",B1462)-1,LEN(B1462)))))</f>
        <v/>
      </c>
      <c r="W1462" s="22"/>
      <c r="X1462" s="5" t="str">
        <f aca="false">IF(A1462="","",IF(W1462&lt;&gt;"",W1462,V1462))</f>
        <v/>
      </c>
      <c r="Y1462" s="5" t="str">
        <f aca="false">IF(A1462="","",IF(COUNTIFS($X$2:$X$2001,X1462,$D$2:$D$2001,"&lt;&gt;"&amp;D1462,$C$2:$C$2001,C1462)&gt;0,"SIM","NAO"))</f>
        <v/>
      </c>
      <c r="Z1462" s="5" t="str">
        <f aca="false">IF(A1462="","",IF(J1462="","",IFERROR(360/J1462,"")))</f>
        <v/>
      </c>
      <c r="AA1462" s="5" t="str">
        <f aca="false">IF(A1462="","",IF(H1462=0,"Parado (sem venda 90d)",IF(Z1462&gt;12,"Alto (&gt;12x/ano)",IF(Z1462&gt;=4,"Medio (4-12x/ano)","Baixo (&lt;4x/ano)"))))</f>
        <v/>
      </c>
    </row>
    <row r="1463" customFormat="false" ht="15" hidden="false" customHeight="true" outlineLevel="0" collapsed="false">
      <c r="A1463" s="6"/>
      <c r="B1463" s="6"/>
      <c r="C1463" s="6"/>
      <c r="D1463" s="6"/>
      <c r="E1463" s="6"/>
      <c r="F1463" s="6"/>
      <c r="G1463" s="6"/>
      <c r="H1463" s="6"/>
      <c r="I1463" s="6"/>
      <c r="J1463" s="6"/>
      <c r="K1463" s="18"/>
      <c r="L1463" s="19" t="str">
        <f aca="false">IF(A1463="","",G1463*K1463)</f>
        <v/>
      </c>
      <c r="M1463" s="20"/>
      <c r="N1463" s="6"/>
      <c r="O1463" s="6"/>
      <c r="P1463" s="5" t="str">
        <f aca="false">IF(A1463="","",H1463/90)</f>
        <v/>
      </c>
      <c r="Q1463" s="5" t="str">
        <f aca="false">IF(A1463="","",IFERROR(INDEX(Parâmetros!$C$6:$C$10,MATCH(F1463,Parâmetros!$B$6:$B$10,0)),""))</f>
        <v/>
      </c>
      <c r="R1463" s="5" t="str">
        <f aca="false">IF(OR(A1463="",P1463="",Q1463=""),"",P1463*Q1463)</f>
        <v/>
      </c>
      <c r="S1463" s="5" t="str">
        <f aca="false">IF(R1463="","",MAX(0,R1463-G1463))</f>
        <v/>
      </c>
      <c r="T1463" s="21" t="str">
        <f aca="false">IF(S1463="","",S1463*K1463)</f>
        <v/>
      </c>
      <c r="U1463" s="5" t="str">
        <f aca="false">IF(A1463="","",IF(J1463&gt;Parâmetros!$C$14,"SIM","NAO"))</f>
        <v/>
      </c>
      <c r="V1463" s="5" t="str">
        <f aca="false">IF(B1463="","",TRIM(LEFT(B1463,IFERROR(FIND(" ",B1463)-1,LEN(B1463)))))</f>
        <v/>
      </c>
      <c r="W1463" s="22"/>
      <c r="X1463" s="5" t="str">
        <f aca="false">IF(A1463="","",IF(W1463&lt;&gt;"",W1463,V1463))</f>
        <v/>
      </c>
      <c r="Y1463" s="5" t="str">
        <f aca="false">IF(A1463="","",IF(COUNTIFS($X$2:$X$2001,X1463,$D$2:$D$2001,"&lt;&gt;"&amp;D1463,$C$2:$C$2001,C1463)&gt;0,"SIM","NAO"))</f>
        <v/>
      </c>
      <c r="Z1463" s="5" t="str">
        <f aca="false">IF(A1463="","",IF(J1463="","",IFERROR(360/J1463,"")))</f>
        <v/>
      </c>
      <c r="AA1463" s="5" t="str">
        <f aca="false">IF(A1463="","",IF(H1463=0,"Parado (sem venda 90d)",IF(Z1463&gt;12,"Alto (&gt;12x/ano)",IF(Z1463&gt;=4,"Medio (4-12x/ano)","Baixo (&lt;4x/ano)"))))</f>
        <v/>
      </c>
    </row>
    <row r="1464" customFormat="false" ht="15" hidden="false" customHeight="true" outlineLevel="0" collapsed="false">
      <c r="A1464" s="6"/>
      <c r="B1464" s="6"/>
      <c r="C1464" s="6"/>
      <c r="D1464" s="6"/>
      <c r="E1464" s="6"/>
      <c r="F1464" s="6"/>
      <c r="G1464" s="6"/>
      <c r="H1464" s="6"/>
      <c r="I1464" s="6"/>
      <c r="J1464" s="6"/>
      <c r="K1464" s="18"/>
      <c r="L1464" s="19" t="str">
        <f aca="false">IF(A1464="","",G1464*K1464)</f>
        <v/>
      </c>
      <c r="M1464" s="20"/>
      <c r="N1464" s="6"/>
      <c r="O1464" s="6"/>
      <c r="P1464" s="5" t="str">
        <f aca="false">IF(A1464="","",H1464/90)</f>
        <v/>
      </c>
      <c r="Q1464" s="5" t="str">
        <f aca="false">IF(A1464="","",IFERROR(INDEX(Parâmetros!$C$6:$C$10,MATCH(F1464,Parâmetros!$B$6:$B$10,0)),""))</f>
        <v/>
      </c>
      <c r="R1464" s="5" t="str">
        <f aca="false">IF(OR(A1464="",P1464="",Q1464=""),"",P1464*Q1464)</f>
        <v/>
      </c>
      <c r="S1464" s="5" t="str">
        <f aca="false">IF(R1464="","",MAX(0,R1464-G1464))</f>
        <v/>
      </c>
      <c r="T1464" s="21" t="str">
        <f aca="false">IF(S1464="","",S1464*K1464)</f>
        <v/>
      </c>
      <c r="U1464" s="5" t="str">
        <f aca="false">IF(A1464="","",IF(J1464&gt;Parâmetros!$C$14,"SIM","NAO"))</f>
        <v/>
      </c>
      <c r="V1464" s="5" t="str">
        <f aca="false">IF(B1464="","",TRIM(LEFT(B1464,IFERROR(FIND(" ",B1464)-1,LEN(B1464)))))</f>
        <v/>
      </c>
      <c r="W1464" s="22"/>
      <c r="X1464" s="5" t="str">
        <f aca="false">IF(A1464="","",IF(W1464&lt;&gt;"",W1464,V1464))</f>
        <v/>
      </c>
      <c r="Y1464" s="5" t="str">
        <f aca="false">IF(A1464="","",IF(COUNTIFS($X$2:$X$2001,X1464,$D$2:$D$2001,"&lt;&gt;"&amp;D1464,$C$2:$C$2001,C1464)&gt;0,"SIM","NAO"))</f>
        <v/>
      </c>
      <c r="Z1464" s="5" t="str">
        <f aca="false">IF(A1464="","",IF(J1464="","",IFERROR(360/J1464,"")))</f>
        <v/>
      </c>
      <c r="AA1464" s="5" t="str">
        <f aca="false">IF(A1464="","",IF(H1464=0,"Parado (sem venda 90d)",IF(Z1464&gt;12,"Alto (&gt;12x/ano)",IF(Z1464&gt;=4,"Medio (4-12x/ano)","Baixo (&lt;4x/ano)"))))</f>
        <v/>
      </c>
    </row>
    <row r="1465" customFormat="false" ht="15" hidden="false" customHeight="true" outlineLevel="0" collapsed="false">
      <c r="A1465" s="6"/>
      <c r="B1465" s="6"/>
      <c r="C1465" s="6"/>
      <c r="D1465" s="6"/>
      <c r="E1465" s="6"/>
      <c r="F1465" s="6"/>
      <c r="G1465" s="6"/>
      <c r="H1465" s="6"/>
      <c r="I1465" s="6"/>
      <c r="J1465" s="6"/>
      <c r="K1465" s="18"/>
      <c r="L1465" s="19" t="str">
        <f aca="false">IF(A1465="","",G1465*K1465)</f>
        <v/>
      </c>
      <c r="M1465" s="20"/>
      <c r="N1465" s="6"/>
      <c r="O1465" s="6"/>
      <c r="P1465" s="5" t="str">
        <f aca="false">IF(A1465="","",H1465/90)</f>
        <v/>
      </c>
      <c r="Q1465" s="5" t="str">
        <f aca="false">IF(A1465="","",IFERROR(INDEX(Parâmetros!$C$6:$C$10,MATCH(F1465,Parâmetros!$B$6:$B$10,0)),""))</f>
        <v/>
      </c>
      <c r="R1465" s="5" t="str">
        <f aca="false">IF(OR(A1465="",P1465="",Q1465=""),"",P1465*Q1465)</f>
        <v/>
      </c>
      <c r="S1465" s="5" t="str">
        <f aca="false">IF(R1465="","",MAX(0,R1465-G1465))</f>
        <v/>
      </c>
      <c r="T1465" s="21" t="str">
        <f aca="false">IF(S1465="","",S1465*K1465)</f>
        <v/>
      </c>
      <c r="U1465" s="5" t="str">
        <f aca="false">IF(A1465="","",IF(J1465&gt;Parâmetros!$C$14,"SIM","NAO"))</f>
        <v/>
      </c>
      <c r="V1465" s="5" t="str">
        <f aca="false">IF(B1465="","",TRIM(LEFT(B1465,IFERROR(FIND(" ",B1465)-1,LEN(B1465)))))</f>
        <v/>
      </c>
      <c r="W1465" s="22"/>
      <c r="X1465" s="5" t="str">
        <f aca="false">IF(A1465="","",IF(W1465&lt;&gt;"",W1465,V1465))</f>
        <v/>
      </c>
      <c r="Y1465" s="5" t="str">
        <f aca="false">IF(A1465="","",IF(COUNTIFS($X$2:$X$2001,X1465,$D$2:$D$2001,"&lt;&gt;"&amp;D1465,$C$2:$C$2001,C1465)&gt;0,"SIM","NAO"))</f>
        <v/>
      </c>
      <c r="Z1465" s="5" t="str">
        <f aca="false">IF(A1465="","",IF(J1465="","",IFERROR(360/J1465,"")))</f>
        <v/>
      </c>
      <c r="AA1465" s="5" t="str">
        <f aca="false">IF(A1465="","",IF(H1465=0,"Parado (sem venda 90d)",IF(Z1465&gt;12,"Alto (&gt;12x/ano)",IF(Z1465&gt;=4,"Medio (4-12x/ano)","Baixo (&lt;4x/ano)"))))</f>
        <v/>
      </c>
    </row>
    <row r="1466" customFormat="false" ht="15" hidden="false" customHeight="true" outlineLevel="0" collapsed="false">
      <c r="A1466" s="6"/>
      <c r="B1466" s="6"/>
      <c r="C1466" s="6"/>
      <c r="D1466" s="6"/>
      <c r="E1466" s="6"/>
      <c r="F1466" s="6"/>
      <c r="G1466" s="6"/>
      <c r="H1466" s="6"/>
      <c r="I1466" s="6"/>
      <c r="J1466" s="6"/>
      <c r="K1466" s="18"/>
      <c r="L1466" s="19" t="str">
        <f aca="false">IF(A1466="","",G1466*K1466)</f>
        <v/>
      </c>
      <c r="M1466" s="20"/>
      <c r="N1466" s="6"/>
      <c r="O1466" s="6"/>
      <c r="P1466" s="5" t="str">
        <f aca="false">IF(A1466="","",H1466/90)</f>
        <v/>
      </c>
      <c r="Q1466" s="5" t="str">
        <f aca="false">IF(A1466="","",IFERROR(INDEX(Parâmetros!$C$6:$C$10,MATCH(F1466,Parâmetros!$B$6:$B$10,0)),""))</f>
        <v/>
      </c>
      <c r="R1466" s="5" t="str">
        <f aca="false">IF(OR(A1466="",P1466="",Q1466=""),"",P1466*Q1466)</f>
        <v/>
      </c>
      <c r="S1466" s="5" t="str">
        <f aca="false">IF(R1466="","",MAX(0,R1466-G1466))</f>
        <v/>
      </c>
      <c r="T1466" s="21" t="str">
        <f aca="false">IF(S1466="","",S1466*K1466)</f>
        <v/>
      </c>
      <c r="U1466" s="5" t="str">
        <f aca="false">IF(A1466="","",IF(J1466&gt;Parâmetros!$C$14,"SIM","NAO"))</f>
        <v/>
      </c>
      <c r="V1466" s="5" t="str">
        <f aca="false">IF(B1466="","",TRIM(LEFT(B1466,IFERROR(FIND(" ",B1466)-1,LEN(B1466)))))</f>
        <v/>
      </c>
      <c r="W1466" s="22"/>
      <c r="X1466" s="5" t="str">
        <f aca="false">IF(A1466="","",IF(W1466&lt;&gt;"",W1466,V1466))</f>
        <v/>
      </c>
      <c r="Y1466" s="5" t="str">
        <f aca="false">IF(A1466="","",IF(COUNTIFS($X$2:$X$2001,X1466,$D$2:$D$2001,"&lt;&gt;"&amp;D1466,$C$2:$C$2001,C1466)&gt;0,"SIM","NAO"))</f>
        <v/>
      </c>
      <c r="Z1466" s="5" t="str">
        <f aca="false">IF(A1466="","",IF(J1466="","",IFERROR(360/J1466,"")))</f>
        <v/>
      </c>
      <c r="AA1466" s="5" t="str">
        <f aca="false">IF(A1466="","",IF(H1466=0,"Parado (sem venda 90d)",IF(Z1466&gt;12,"Alto (&gt;12x/ano)",IF(Z1466&gt;=4,"Medio (4-12x/ano)","Baixo (&lt;4x/ano)"))))</f>
        <v/>
      </c>
    </row>
    <row r="1467" customFormat="false" ht="15" hidden="false" customHeight="true" outlineLevel="0" collapsed="false">
      <c r="A1467" s="6"/>
      <c r="B1467" s="6"/>
      <c r="C1467" s="6"/>
      <c r="D1467" s="6"/>
      <c r="E1467" s="6"/>
      <c r="F1467" s="6"/>
      <c r="G1467" s="6"/>
      <c r="H1467" s="6"/>
      <c r="I1467" s="6"/>
      <c r="J1467" s="6"/>
      <c r="K1467" s="18"/>
      <c r="L1467" s="19" t="str">
        <f aca="false">IF(A1467="","",G1467*K1467)</f>
        <v/>
      </c>
      <c r="M1467" s="20"/>
      <c r="N1467" s="6"/>
      <c r="O1467" s="6"/>
      <c r="P1467" s="5" t="str">
        <f aca="false">IF(A1467="","",H1467/90)</f>
        <v/>
      </c>
      <c r="Q1467" s="5" t="str">
        <f aca="false">IF(A1467="","",IFERROR(INDEX(Parâmetros!$C$6:$C$10,MATCH(F1467,Parâmetros!$B$6:$B$10,0)),""))</f>
        <v/>
      </c>
      <c r="R1467" s="5" t="str">
        <f aca="false">IF(OR(A1467="",P1467="",Q1467=""),"",P1467*Q1467)</f>
        <v/>
      </c>
      <c r="S1467" s="5" t="str">
        <f aca="false">IF(R1467="","",MAX(0,R1467-G1467))</f>
        <v/>
      </c>
      <c r="T1467" s="21" t="str">
        <f aca="false">IF(S1467="","",S1467*K1467)</f>
        <v/>
      </c>
      <c r="U1467" s="5" t="str">
        <f aca="false">IF(A1467="","",IF(J1467&gt;Parâmetros!$C$14,"SIM","NAO"))</f>
        <v/>
      </c>
      <c r="V1467" s="5" t="str">
        <f aca="false">IF(B1467="","",TRIM(LEFT(B1467,IFERROR(FIND(" ",B1467)-1,LEN(B1467)))))</f>
        <v/>
      </c>
      <c r="W1467" s="22"/>
      <c r="X1467" s="5" t="str">
        <f aca="false">IF(A1467="","",IF(W1467&lt;&gt;"",W1467,V1467))</f>
        <v/>
      </c>
      <c r="Y1467" s="5" t="str">
        <f aca="false">IF(A1467="","",IF(COUNTIFS($X$2:$X$2001,X1467,$D$2:$D$2001,"&lt;&gt;"&amp;D1467,$C$2:$C$2001,C1467)&gt;0,"SIM","NAO"))</f>
        <v/>
      </c>
      <c r="Z1467" s="5" t="str">
        <f aca="false">IF(A1467="","",IF(J1467="","",IFERROR(360/J1467,"")))</f>
        <v/>
      </c>
      <c r="AA1467" s="5" t="str">
        <f aca="false">IF(A1467="","",IF(H1467=0,"Parado (sem venda 90d)",IF(Z1467&gt;12,"Alto (&gt;12x/ano)",IF(Z1467&gt;=4,"Medio (4-12x/ano)","Baixo (&lt;4x/ano)"))))</f>
        <v/>
      </c>
    </row>
    <row r="1468" customFormat="false" ht="15" hidden="false" customHeight="true" outlineLevel="0" collapsed="false">
      <c r="A1468" s="6"/>
      <c r="B1468" s="6"/>
      <c r="C1468" s="6"/>
      <c r="D1468" s="6"/>
      <c r="E1468" s="6"/>
      <c r="F1468" s="6"/>
      <c r="G1468" s="6"/>
      <c r="H1468" s="6"/>
      <c r="I1468" s="6"/>
      <c r="J1468" s="6"/>
      <c r="K1468" s="18"/>
      <c r="L1468" s="19" t="str">
        <f aca="false">IF(A1468="","",G1468*K1468)</f>
        <v/>
      </c>
      <c r="M1468" s="20"/>
      <c r="N1468" s="6"/>
      <c r="O1468" s="6"/>
      <c r="P1468" s="5" t="str">
        <f aca="false">IF(A1468="","",H1468/90)</f>
        <v/>
      </c>
      <c r="Q1468" s="5" t="str">
        <f aca="false">IF(A1468="","",IFERROR(INDEX(Parâmetros!$C$6:$C$10,MATCH(F1468,Parâmetros!$B$6:$B$10,0)),""))</f>
        <v/>
      </c>
      <c r="R1468" s="5" t="str">
        <f aca="false">IF(OR(A1468="",P1468="",Q1468=""),"",P1468*Q1468)</f>
        <v/>
      </c>
      <c r="S1468" s="5" t="str">
        <f aca="false">IF(R1468="","",MAX(0,R1468-G1468))</f>
        <v/>
      </c>
      <c r="T1468" s="21" t="str">
        <f aca="false">IF(S1468="","",S1468*K1468)</f>
        <v/>
      </c>
      <c r="U1468" s="5" t="str">
        <f aca="false">IF(A1468="","",IF(J1468&gt;Parâmetros!$C$14,"SIM","NAO"))</f>
        <v/>
      </c>
      <c r="V1468" s="5" t="str">
        <f aca="false">IF(B1468="","",TRIM(LEFT(B1468,IFERROR(FIND(" ",B1468)-1,LEN(B1468)))))</f>
        <v/>
      </c>
      <c r="W1468" s="22"/>
      <c r="X1468" s="5" t="str">
        <f aca="false">IF(A1468="","",IF(W1468&lt;&gt;"",W1468,V1468))</f>
        <v/>
      </c>
      <c r="Y1468" s="5" t="str">
        <f aca="false">IF(A1468="","",IF(COUNTIFS($X$2:$X$2001,X1468,$D$2:$D$2001,"&lt;&gt;"&amp;D1468,$C$2:$C$2001,C1468)&gt;0,"SIM","NAO"))</f>
        <v/>
      </c>
      <c r="Z1468" s="5" t="str">
        <f aca="false">IF(A1468="","",IF(J1468="","",IFERROR(360/J1468,"")))</f>
        <v/>
      </c>
      <c r="AA1468" s="5" t="str">
        <f aca="false">IF(A1468="","",IF(H1468=0,"Parado (sem venda 90d)",IF(Z1468&gt;12,"Alto (&gt;12x/ano)",IF(Z1468&gt;=4,"Medio (4-12x/ano)","Baixo (&lt;4x/ano)"))))</f>
        <v/>
      </c>
    </row>
    <row r="1469" customFormat="false" ht="15" hidden="false" customHeight="true" outlineLevel="0" collapsed="false">
      <c r="A1469" s="6"/>
      <c r="B1469" s="6"/>
      <c r="C1469" s="6"/>
      <c r="D1469" s="6"/>
      <c r="E1469" s="6"/>
      <c r="F1469" s="6"/>
      <c r="G1469" s="6"/>
      <c r="H1469" s="6"/>
      <c r="I1469" s="6"/>
      <c r="J1469" s="6"/>
      <c r="K1469" s="18"/>
      <c r="L1469" s="19" t="str">
        <f aca="false">IF(A1469="","",G1469*K1469)</f>
        <v/>
      </c>
      <c r="M1469" s="20"/>
      <c r="N1469" s="6"/>
      <c r="O1469" s="6"/>
      <c r="P1469" s="5" t="str">
        <f aca="false">IF(A1469="","",H1469/90)</f>
        <v/>
      </c>
      <c r="Q1469" s="5" t="str">
        <f aca="false">IF(A1469="","",IFERROR(INDEX(Parâmetros!$C$6:$C$10,MATCH(F1469,Parâmetros!$B$6:$B$10,0)),""))</f>
        <v/>
      </c>
      <c r="R1469" s="5" t="str">
        <f aca="false">IF(OR(A1469="",P1469="",Q1469=""),"",P1469*Q1469)</f>
        <v/>
      </c>
      <c r="S1469" s="5" t="str">
        <f aca="false">IF(R1469="","",MAX(0,R1469-G1469))</f>
        <v/>
      </c>
      <c r="T1469" s="21" t="str">
        <f aca="false">IF(S1469="","",S1469*K1469)</f>
        <v/>
      </c>
      <c r="U1469" s="5" t="str">
        <f aca="false">IF(A1469="","",IF(J1469&gt;Parâmetros!$C$14,"SIM","NAO"))</f>
        <v/>
      </c>
      <c r="V1469" s="5" t="str">
        <f aca="false">IF(B1469="","",TRIM(LEFT(B1469,IFERROR(FIND(" ",B1469)-1,LEN(B1469)))))</f>
        <v/>
      </c>
      <c r="W1469" s="22"/>
      <c r="X1469" s="5" t="str">
        <f aca="false">IF(A1469="","",IF(W1469&lt;&gt;"",W1469,V1469))</f>
        <v/>
      </c>
      <c r="Y1469" s="5" t="str">
        <f aca="false">IF(A1469="","",IF(COUNTIFS($X$2:$X$2001,X1469,$D$2:$D$2001,"&lt;&gt;"&amp;D1469,$C$2:$C$2001,C1469)&gt;0,"SIM","NAO"))</f>
        <v/>
      </c>
      <c r="Z1469" s="5" t="str">
        <f aca="false">IF(A1469="","",IF(J1469="","",IFERROR(360/J1469,"")))</f>
        <v/>
      </c>
      <c r="AA1469" s="5" t="str">
        <f aca="false">IF(A1469="","",IF(H1469=0,"Parado (sem venda 90d)",IF(Z1469&gt;12,"Alto (&gt;12x/ano)",IF(Z1469&gt;=4,"Medio (4-12x/ano)","Baixo (&lt;4x/ano)"))))</f>
        <v/>
      </c>
    </row>
    <row r="1470" customFormat="false" ht="15" hidden="false" customHeight="true" outlineLevel="0" collapsed="false">
      <c r="A1470" s="6"/>
      <c r="B1470" s="6"/>
      <c r="C1470" s="6"/>
      <c r="D1470" s="6"/>
      <c r="E1470" s="6"/>
      <c r="F1470" s="6"/>
      <c r="G1470" s="6"/>
      <c r="H1470" s="6"/>
      <c r="I1470" s="6"/>
      <c r="J1470" s="6"/>
      <c r="K1470" s="18"/>
      <c r="L1470" s="19" t="str">
        <f aca="false">IF(A1470="","",G1470*K1470)</f>
        <v/>
      </c>
      <c r="M1470" s="20"/>
      <c r="N1470" s="6"/>
      <c r="O1470" s="6"/>
      <c r="P1470" s="5" t="str">
        <f aca="false">IF(A1470="","",H1470/90)</f>
        <v/>
      </c>
      <c r="Q1470" s="5" t="str">
        <f aca="false">IF(A1470="","",IFERROR(INDEX(Parâmetros!$C$6:$C$10,MATCH(F1470,Parâmetros!$B$6:$B$10,0)),""))</f>
        <v/>
      </c>
      <c r="R1470" s="5" t="str">
        <f aca="false">IF(OR(A1470="",P1470="",Q1470=""),"",P1470*Q1470)</f>
        <v/>
      </c>
      <c r="S1470" s="5" t="str">
        <f aca="false">IF(R1470="","",MAX(0,R1470-G1470))</f>
        <v/>
      </c>
      <c r="T1470" s="21" t="str">
        <f aca="false">IF(S1470="","",S1470*K1470)</f>
        <v/>
      </c>
      <c r="U1470" s="5" t="str">
        <f aca="false">IF(A1470="","",IF(J1470&gt;Parâmetros!$C$14,"SIM","NAO"))</f>
        <v/>
      </c>
      <c r="V1470" s="5" t="str">
        <f aca="false">IF(B1470="","",TRIM(LEFT(B1470,IFERROR(FIND(" ",B1470)-1,LEN(B1470)))))</f>
        <v/>
      </c>
      <c r="W1470" s="22"/>
      <c r="X1470" s="5" t="str">
        <f aca="false">IF(A1470="","",IF(W1470&lt;&gt;"",W1470,V1470))</f>
        <v/>
      </c>
      <c r="Y1470" s="5" t="str">
        <f aca="false">IF(A1470="","",IF(COUNTIFS($X$2:$X$2001,X1470,$D$2:$D$2001,"&lt;&gt;"&amp;D1470,$C$2:$C$2001,C1470)&gt;0,"SIM","NAO"))</f>
        <v/>
      </c>
      <c r="Z1470" s="5" t="str">
        <f aca="false">IF(A1470="","",IF(J1470="","",IFERROR(360/J1470,"")))</f>
        <v/>
      </c>
      <c r="AA1470" s="5" t="str">
        <f aca="false">IF(A1470="","",IF(H1470=0,"Parado (sem venda 90d)",IF(Z1470&gt;12,"Alto (&gt;12x/ano)",IF(Z1470&gt;=4,"Medio (4-12x/ano)","Baixo (&lt;4x/ano)"))))</f>
        <v/>
      </c>
    </row>
    <row r="1471" customFormat="false" ht="15" hidden="false" customHeight="true" outlineLevel="0" collapsed="false">
      <c r="A1471" s="6"/>
      <c r="B1471" s="6"/>
      <c r="C1471" s="6"/>
      <c r="D1471" s="6"/>
      <c r="E1471" s="6"/>
      <c r="F1471" s="6"/>
      <c r="G1471" s="6"/>
      <c r="H1471" s="6"/>
      <c r="I1471" s="6"/>
      <c r="J1471" s="6"/>
      <c r="K1471" s="18"/>
      <c r="L1471" s="19" t="str">
        <f aca="false">IF(A1471="","",G1471*K1471)</f>
        <v/>
      </c>
      <c r="M1471" s="20"/>
      <c r="N1471" s="6"/>
      <c r="O1471" s="6"/>
      <c r="P1471" s="5" t="str">
        <f aca="false">IF(A1471="","",H1471/90)</f>
        <v/>
      </c>
      <c r="Q1471" s="5" t="str">
        <f aca="false">IF(A1471="","",IFERROR(INDEX(Parâmetros!$C$6:$C$10,MATCH(F1471,Parâmetros!$B$6:$B$10,0)),""))</f>
        <v/>
      </c>
      <c r="R1471" s="5" t="str">
        <f aca="false">IF(OR(A1471="",P1471="",Q1471=""),"",P1471*Q1471)</f>
        <v/>
      </c>
      <c r="S1471" s="5" t="str">
        <f aca="false">IF(R1471="","",MAX(0,R1471-G1471))</f>
        <v/>
      </c>
      <c r="T1471" s="21" t="str">
        <f aca="false">IF(S1471="","",S1471*K1471)</f>
        <v/>
      </c>
      <c r="U1471" s="5" t="str">
        <f aca="false">IF(A1471="","",IF(J1471&gt;Parâmetros!$C$14,"SIM","NAO"))</f>
        <v/>
      </c>
      <c r="V1471" s="5" t="str">
        <f aca="false">IF(B1471="","",TRIM(LEFT(B1471,IFERROR(FIND(" ",B1471)-1,LEN(B1471)))))</f>
        <v/>
      </c>
      <c r="W1471" s="22"/>
      <c r="X1471" s="5" t="str">
        <f aca="false">IF(A1471="","",IF(W1471&lt;&gt;"",W1471,V1471))</f>
        <v/>
      </c>
      <c r="Y1471" s="5" t="str">
        <f aca="false">IF(A1471="","",IF(COUNTIFS($X$2:$X$2001,X1471,$D$2:$D$2001,"&lt;&gt;"&amp;D1471,$C$2:$C$2001,C1471)&gt;0,"SIM","NAO"))</f>
        <v/>
      </c>
      <c r="Z1471" s="5" t="str">
        <f aca="false">IF(A1471="","",IF(J1471="","",IFERROR(360/J1471,"")))</f>
        <v/>
      </c>
      <c r="AA1471" s="5" t="str">
        <f aca="false">IF(A1471="","",IF(H1471=0,"Parado (sem venda 90d)",IF(Z1471&gt;12,"Alto (&gt;12x/ano)",IF(Z1471&gt;=4,"Medio (4-12x/ano)","Baixo (&lt;4x/ano)"))))</f>
        <v/>
      </c>
    </row>
    <row r="1472" customFormat="false" ht="15" hidden="false" customHeight="true" outlineLevel="0" collapsed="false">
      <c r="A1472" s="6"/>
      <c r="B1472" s="6"/>
      <c r="C1472" s="6"/>
      <c r="D1472" s="6"/>
      <c r="E1472" s="6"/>
      <c r="F1472" s="6"/>
      <c r="G1472" s="6"/>
      <c r="H1472" s="6"/>
      <c r="I1472" s="6"/>
      <c r="J1472" s="6"/>
      <c r="K1472" s="18"/>
      <c r="L1472" s="19" t="str">
        <f aca="false">IF(A1472="","",G1472*K1472)</f>
        <v/>
      </c>
      <c r="M1472" s="20"/>
      <c r="N1472" s="6"/>
      <c r="O1472" s="6"/>
      <c r="P1472" s="5" t="str">
        <f aca="false">IF(A1472="","",H1472/90)</f>
        <v/>
      </c>
      <c r="Q1472" s="5" t="str">
        <f aca="false">IF(A1472="","",IFERROR(INDEX(Parâmetros!$C$6:$C$10,MATCH(F1472,Parâmetros!$B$6:$B$10,0)),""))</f>
        <v/>
      </c>
      <c r="R1472" s="5" t="str">
        <f aca="false">IF(OR(A1472="",P1472="",Q1472=""),"",P1472*Q1472)</f>
        <v/>
      </c>
      <c r="S1472" s="5" t="str">
        <f aca="false">IF(R1472="","",MAX(0,R1472-G1472))</f>
        <v/>
      </c>
      <c r="T1472" s="21" t="str">
        <f aca="false">IF(S1472="","",S1472*K1472)</f>
        <v/>
      </c>
      <c r="U1472" s="5" t="str">
        <f aca="false">IF(A1472="","",IF(J1472&gt;Parâmetros!$C$14,"SIM","NAO"))</f>
        <v/>
      </c>
      <c r="V1472" s="5" t="str">
        <f aca="false">IF(B1472="","",TRIM(LEFT(B1472,IFERROR(FIND(" ",B1472)-1,LEN(B1472)))))</f>
        <v/>
      </c>
      <c r="W1472" s="22"/>
      <c r="X1472" s="5" t="str">
        <f aca="false">IF(A1472="","",IF(W1472&lt;&gt;"",W1472,V1472))</f>
        <v/>
      </c>
      <c r="Y1472" s="5" t="str">
        <f aca="false">IF(A1472="","",IF(COUNTIFS($X$2:$X$2001,X1472,$D$2:$D$2001,"&lt;&gt;"&amp;D1472,$C$2:$C$2001,C1472)&gt;0,"SIM","NAO"))</f>
        <v/>
      </c>
      <c r="Z1472" s="5" t="str">
        <f aca="false">IF(A1472="","",IF(J1472="","",IFERROR(360/J1472,"")))</f>
        <v/>
      </c>
      <c r="AA1472" s="5" t="str">
        <f aca="false">IF(A1472="","",IF(H1472=0,"Parado (sem venda 90d)",IF(Z1472&gt;12,"Alto (&gt;12x/ano)",IF(Z1472&gt;=4,"Medio (4-12x/ano)","Baixo (&lt;4x/ano)"))))</f>
        <v/>
      </c>
    </row>
    <row r="1473" customFormat="false" ht="15" hidden="false" customHeight="true" outlineLevel="0" collapsed="false">
      <c r="A1473" s="6"/>
      <c r="B1473" s="6"/>
      <c r="C1473" s="6"/>
      <c r="D1473" s="6"/>
      <c r="E1473" s="6"/>
      <c r="F1473" s="6"/>
      <c r="G1473" s="6"/>
      <c r="H1473" s="6"/>
      <c r="I1473" s="6"/>
      <c r="J1473" s="6"/>
      <c r="K1473" s="18"/>
      <c r="L1473" s="19" t="str">
        <f aca="false">IF(A1473="","",G1473*K1473)</f>
        <v/>
      </c>
      <c r="M1473" s="20"/>
      <c r="N1473" s="6"/>
      <c r="O1473" s="6"/>
      <c r="P1473" s="5" t="str">
        <f aca="false">IF(A1473="","",H1473/90)</f>
        <v/>
      </c>
      <c r="Q1473" s="5" t="str">
        <f aca="false">IF(A1473="","",IFERROR(INDEX(Parâmetros!$C$6:$C$10,MATCH(F1473,Parâmetros!$B$6:$B$10,0)),""))</f>
        <v/>
      </c>
      <c r="R1473" s="5" t="str">
        <f aca="false">IF(OR(A1473="",P1473="",Q1473=""),"",P1473*Q1473)</f>
        <v/>
      </c>
      <c r="S1473" s="5" t="str">
        <f aca="false">IF(R1473="","",MAX(0,R1473-G1473))</f>
        <v/>
      </c>
      <c r="T1473" s="21" t="str">
        <f aca="false">IF(S1473="","",S1473*K1473)</f>
        <v/>
      </c>
      <c r="U1473" s="5" t="str">
        <f aca="false">IF(A1473="","",IF(J1473&gt;Parâmetros!$C$14,"SIM","NAO"))</f>
        <v/>
      </c>
      <c r="V1473" s="5" t="str">
        <f aca="false">IF(B1473="","",TRIM(LEFT(B1473,IFERROR(FIND(" ",B1473)-1,LEN(B1473)))))</f>
        <v/>
      </c>
      <c r="W1473" s="22"/>
      <c r="X1473" s="5" t="str">
        <f aca="false">IF(A1473="","",IF(W1473&lt;&gt;"",W1473,V1473))</f>
        <v/>
      </c>
      <c r="Y1473" s="5" t="str">
        <f aca="false">IF(A1473="","",IF(COUNTIFS($X$2:$X$2001,X1473,$D$2:$D$2001,"&lt;&gt;"&amp;D1473,$C$2:$C$2001,C1473)&gt;0,"SIM","NAO"))</f>
        <v/>
      </c>
      <c r="Z1473" s="5" t="str">
        <f aca="false">IF(A1473="","",IF(J1473="","",IFERROR(360/J1473,"")))</f>
        <v/>
      </c>
      <c r="AA1473" s="5" t="str">
        <f aca="false">IF(A1473="","",IF(H1473=0,"Parado (sem venda 90d)",IF(Z1473&gt;12,"Alto (&gt;12x/ano)",IF(Z1473&gt;=4,"Medio (4-12x/ano)","Baixo (&lt;4x/ano)"))))</f>
        <v/>
      </c>
    </row>
    <row r="1474" customFormat="false" ht="15" hidden="false" customHeight="true" outlineLevel="0" collapsed="false">
      <c r="A1474" s="6"/>
      <c r="B1474" s="6"/>
      <c r="C1474" s="6"/>
      <c r="D1474" s="6"/>
      <c r="E1474" s="6"/>
      <c r="F1474" s="6"/>
      <c r="G1474" s="6"/>
      <c r="H1474" s="6"/>
      <c r="I1474" s="6"/>
      <c r="J1474" s="6"/>
      <c r="K1474" s="18"/>
      <c r="L1474" s="19" t="str">
        <f aca="false">IF(A1474="","",G1474*K1474)</f>
        <v/>
      </c>
      <c r="M1474" s="20"/>
      <c r="N1474" s="6"/>
      <c r="O1474" s="6"/>
      <c r="P1474" s="5" t="str">
        <f aca="false">IF(A1474="","",H1474/90)</f>
        <v/>
      </c>
      <c r="Q1474" s="5" t="str">
        <f aca="false">IF(A1474="","",IFERROR(INDEX(Parâmetros!$C$6:$C$10,MATCH(F1474,Parâmetros!$B$6:$B$10,0)),""))</f>
        <v/>
      </c>
      <c r="R1474" s="5" t="str">
        <f aca="false">IF(OR(A1474="",P1474="",Q1474=""),"",P1474*Q1474)</f>
        <v/>
      </c>
      <c r="S1474" s="5" t="str">
        <f aca="false">IF(R1474="","",MAX(0,R1474-G1474))</f>
        <v/>
      </c>
      <c r="T1474" s="21" t="str">
        <f aca="false">IF(S1474="","",S1474*K1474)</f>
        <v/>
      </c>
      <c r="U1474" s="5" t="str">
        <f aca="false">IF(A1474="","",IF(J1474&gt;Parâmetros!$C$14,"SIM","NAO"))</f>
        <v/>
      </c>
      <c r="V1474" s="5" t="str">
        <f aca="false">IF(B1474="","",TRIM(LEFT(B1474,IFERROR(FIND(" ",B1474)-1,LEN(B1474)))))</f>
        <v/>
      </c>
      <c r="W1474" s="22"/>
      <c r="X1474" s="5" t="str">
        <f aca="false">IF(A1474="","",IF(W1474&lt;&gt;"",W1474,V1474))</f>
        <v/>
      </c>
      <c r="Y1474" s="5" t="str">
        <f aca="false">IF(A1474="","",IF(COUNTIFS($X$2:$X$2001,X1474,$D$2:$D$2001,"&lt;&gt;"&amp;D1474,$C$2:$C$2001,C1474)&gt;0,"SIM","NAO"))</f>
        <v/>
      </c>
      <c r="Z1474" s="5" t="str">
        <f aca="false">IF(A1474="","",IF(J1474="","",IFERROR(360/J1474,"")))</f>
        <v/>
      </c>
      <c r="AA1474" s="5" t="str">
        <f aca="false">IF(A1474="","",IF(H1474=0,"Parado (sem venda 90d)",IF(Z1474&gt;12,"Alto (&gt;12x/ano)",IF(Z1474&gt;=4,"Medio (4-12x/ano)","Baixo (&lt;4x/ano)"))))</f>
        <v/>
      </c>
    </row>
    <row r="1475" customFormat="false" ht="15" hidden="false" customHeight="true" outlineLevel="0" collapsed="false">
      <c r="A1475" s="6"/>
      <c r="B1475" s="6"/>
      <c r="C1475" s="6"/>
      <c r="D1475" s="6"/>
      <c r="E1475" s="6"/>
      <c r="F1475" s="6"/>
      <c r="G1475" s="6"/>
      <c r="H1475" s="6"/>
      <c r="I1475" s="6"/>
      <c r="J1475" s="6"/>
      <c r="K1475" s="18"/>
      <c r="L1475" s="19" t="str">
        <f aca="false">IF(A1475="","",G1475*K1475)</f>
        <v/>
      </c>
      <c r="M1475" s="20"/>
      <c r="N1475" s="6"/>
      <c r="O1475" s="6"/>
      <c r="P1475" s="5" t="str">
        <f aca="false">IF(A1475="","",H1475/90)</f>
        <v/>
      </c>
      <c r="Q1475" s="5" t="str">
        <f aca="false">IF(A1475="","",IFERROR(INDEX(Parâmetros!$C$6:$C$10,MATCH(F1475,Parâmetros!$B$6:$B$10,0)),""))</f>
        <v/>
      </c>
      <c r="R1475" s="5" t="str">
        <f aca="false">IF(OR(A1475="",P1475="",Q1475=""),"",P1475*Q1475)</f>
        <v/>
      </c>
      <c r="S1475" s="5" t="str">
        <f aca="false">IF(R1475="","",MAX(0,R1475-G1475))</f>
        <v/>
      </c>
      <c r="T1475" s="21" t="str">
        <f aca="false">IF(S1475="","",S1475*K1475)</f>
        <v/>
      </c>
      <c r="U1475" s="5" t="str">
        <f aca="false">IF(A1475="","",IF(J1475&gt;Parâmetros!$C$14,"SIM","NAO"))</f>
        <v/>
      </c>
      <c r="V1475" s="5" t="str">
        <f aca="false">IF(B1475="","",TRIM(LEFT(B1475,IFERROR(FIND(" ",B1475)-1,LEN(B1475)))))</f>
        <v/>
      </c>
      <c r="W1475" s="22"/>
      <c r="X1475" s="5" t="str">
        <f aca="false">IF(A1475="","",IF(W1475&lt;&gt;"",W1475,V1475))</f>
        <v/>
      </c>
      <c r="Y1475" s="5" t="str">
        <f aca="false">IF(A1475="","",IF(COUNTIFS($X$2:$X$2001,X1475,$D$2:$D$2001,"&lt;&gt;"&amp;D1475,$C$2:$C$2001,C1475)&gt;0,"SIM","NAO"))</f>
        <v/>
      </c>
      <c r="Z1475" s="5" t="str">
        <f aca="false">IF(A1475="","",IF(J1475="","",IFERROR(360/J1475,"")))</f>
        <v/>
      </c>
      <c r="AA1475" s="5" t="str">
        <f aca="false">IF(A1475="","",IF(H1475=0,"Parado (sem venda 90d)",IF(Z1475&gt;12,"Alto (&gt;12x/ano)",IF(Z1475&gt;=4,"Medio (4-12x/ano)","Baixo (&lt;4x/ano)"))))</f>
        <v/>
      </c>
    </row>
    <row r="1476" customFormat="false" ht="15" hidden="false" customHeight="true" outlineLevel="0" collapsed="false">
      <c r="A1476" s="6"/>
      <c r="B1476" s="6"/>
      <c r="C1476" s="6"/>
      <c r="D1476" s="6"/>
      <c r="E1476" s="6"/>
      <c r="F1476" s="6"/>
      <c r="G1476" s="6"/>
      <c r="H1476" s="6"/>
      <c r="I1476" s="6"/>
      <c r="J1476" s="6"/>
      <c r="K1476" s="18"/>
      <c r="L1476" s="19" t="str">
        <f aca="false">IF(A1476="","",G1476*K1476)</f>
        <v/>
      </c>
      <c r="M1476" s="20"/>
      <c r="N1476" s="6"/>
      <c r="O1476" s="6"/>
      <c r="P1476" s="5" t="str">
        <f aca="false">IF(A1476="","",H1476/90)</f>
        <v/>
      </c>
      <c r="Q1476" s="5" t="str">
        <f aca="false">IF(A1476="","",IFERROR(INDEX(Parâmetros!$C$6:$C$10,MATCH(F1476,Parâmetros!$B$6:$B$10,0)),""))</f>
        <v/>
      </c>
      <c r="R1476" s="5" t="str">
        <f aca="false">IF(OR(A1476="",P1476="",Q1476=""),"",P1476*Q1476)</f>
        <v/>
      </c>
      <c r="S1476" s="5" t="str">
        <f aca="false">IF(R1476="","",MAX(0,R1476-G1476))</f>
        <v/>
      </c>
      <c r="T1476" s="21" t="str">
        <f aca="false">IF(S1476="","",S1476*K1476)</f>
        <v/>
      </c>
      <c r="U1476" s="5" t="str">
        <f aca="false">IF(A1476="","",IF(J1476&gt;Parâmetros!$C$14,"SIM","NAO"))</f>
        <v/>
      </c>
      <c r="V1476" s="5" t="str">
        <f aca="false">IF(B1476="","",TRIM(LEFT(B1476,IFERROR(FIND(" ",B1476)-1,LEN(B1476)))))</f>
        <v/>
      </c>
      <c r="W1476" s="22"/>
      <c r="X1476" s="5" t="str">
        <f aca="false">IF(A1476="","",IF(W1476&lt;&gt;"",W1476,V1476))</f>
        <v/>
      </c>
      <c r="Y1476" s="5" t="str">
        <f aca="false">IF(A1476="","",IF(COUNTIFS($X$2:$X$2001,X1476,$D$2:$D$2001,"&lt;&gt;"&amp;D1476,$C$2:$C$2001,C1476)&gt;0,"SIM","NAO"))</f>
        <v/>
      </c>
      <c r="Z1476" s="5" t="str">
        <f aca="false">IF(A1476="","",IF(J1476="","",IFERROR(360/J1476,"")))</f>
        <v/>
      </c>
      <c r="AA1476" s="5" t="str">
        <f aca="false">IF(A1476="","",IF(H1476=0,"Parado (sem venda 90d)",IF(Z1476&gt;12,"Alto (&gt;12x/ano)",IF(Z1476&gt;=4,"Medio (4-12x/ano)","Baixo (&lt;4x/ano)"))))</f>
        <v/>
      </c>
    </row>
    <row r="1477" customFormat="false" ht="15" hidden="false" customHeight="true" outlineLevel="0" collapsed="false">
      <c r="A1477" s="6"/>
      <c r="B1477" s="6"/>
      <c r="C1477" s="6"/>
      <c r="D1477" s="6"/>
      <c r="E1477" s="6"/>
      <c r="F1477" s="6"/>
      <c r="G1477" s="6"/>
      <c r="H1477" s="6"/>
      <c r="I1477" s="6"/>
      <c r="J1477" s="6"/>
      <c r="K1477" s="18"/>
      <c r="L1477" s="19" t="str">
        <f aca="false">IF(A1477="","",G1477*K1477)</f>
        <v/>
      </c>
      <c r="M1477" s="20"/>
      <c r="N1477" s="6"/>
      <c r="O1477" s="6"/>
      <c r="P1477" s="5" t="str">
        <f aca="false">IF(A1477="","",H1477/90)</f>
        <v/>
      </c>
      <c r="Q1477" s="5" t="str">
        <f aca="false">IF(A1477="","",IFERROR(INDEX(Parâmetros!$C$6:$C$10,MATCH(F1477,Parâmetros!$B$6:$B$10,0)),""))</f>
        <v/>
      </c>
      <c r="R1477" s="5" t="str">
        <f aca="false">IF(OR(A1477="",P1477="",Q1477=""),"",P1477*Q1477)</f>
        <v/>
      </c>
      <c r="S1477" s="5" t="str">
        <f aca="false">IF(R1477="","",MAX(0,R1477-G1477))</f>
        <v/>
      </c>
      <c r="T1477" s="21" t="str">
        <f aca="false">IF(S1477="","",S1477*K1477)</f>
        <v/>
      </c>
      <c r="U1477" s="5" t="str">
        <f aca="false">IF(A1477="","",IF(J1477&gt;Parâmetros!$C$14,"SIM","NAO"))</f>
        <v/>
      </c>
      <c r="V1477" s="5" t="str">
        <f aca="false">IF(B1477="","",TRIM(LEFT(B1477,IFERROR(FIND(" ",B1477)-1,LEN(B1477)))))</f>
        <v/>
      </c>
      <c r="W1477" s="22"/>
      <c r="X1477" s="5" t="str">
        <f aca="false">IF(A1477="","",IF(W1477&lt;&gt;"",W1477,V1477))</f>
        <v/>
      </c>
      <c r="Y1477" s="5" t="str">
        <f aca="false">IF(A1477="","",IF(COUNTIFS($X$2:$X$2001,X1477,$D$2:$D$2001,"&lt;&gt;"&amp;D1477,$C$2:$C$2001,C1477)&gt;0,"SIM","NAO"))</f>
        <v/>
      </c>
      <c r="Z1477" s="5" t="str">
        <f aca="false">IF(A1477="","",IF(J1477="","",IFERROR(360/J1477,"")))</f>
        <v/>
      </c>
      <c r="AA1477" s="5" t="str">
        <f aca="false">IF(A1477="","",IF(H1477=0,"Parado (sem venda 90d)",IF(Z1477&gt;12,"Alto (&gt;12x/ano)",IF(Z1477&gt;=4,"Medio (4-12x/ano)","Baixo (&lt;4x/ano)"))))</f>
        <v/>
      </c>
    </row>
    <row r="1478" customFormat="false" ht="15" hidden="false" customHeight="true" outlineLevel="0" collapsed="false">
      <c r="A1478" s="6"/>
      <c r="B1478" s="6"/>
      <c r="C1478" s="6"/>
      <c r="D1478" s="6"/>
      <c r="E1478" s="6"/>
      <c r="F1478" s="6"/>
      <c r="G1478" s="6"/>
      <c r="H1478" s="6"/>
      <c r="I1478" s="6"/>
      <c r="J1478" s="6"/>
      <c r="K1478" s="18"/>
      <c r="L1478" s="19" t="str">
        <f aca="false">IF(A1478="","",G1478*K1478)</f>
        <v/>
      </c>
      <c r="M1478" s="20"/>
      <c r="N1478" s="6"/>
      <c r="O1478" s="6"/>
      <c r="P1478" s="5" t="str">
        <f aca="false">IF(A1478="","",H1478/90)</f>
        <v/>
      </c>
      <c r="Q1478" s="5" t="str">
        <f aca="false">IF(A1478="","",IFERROR(INDEX(Parâmetros!$C$6:$C$10,MATCH(F1478,Parâmetros!$B$6:$B$10,0)),""))</f>
        <v/>
      </c>
      <c r="R1478" s="5" t="str">
        <f aca="false">IF(OR(A1478="",P1478="",Q1478=""),"",P1478*Q1478)</f>
        <v/>
      </c>
      <c r="S1478" s="5" t="str">
        <f aca="false">IF(R1478="","",MAX(0,R1478-G1478))</f>
        <v/>
      </c>
      <c r="T1478" s="21" t="str">
        <f aca="false">IF(S1478="","",S1478*K1478)</f>
        <v/>
      </c>
      <c r="U1478" s="5" t="str">
        <f aca="false">IF(A1478="","",IF(J1478&gt;Parâmetros!$C$14,"SIM","NAO"))</f>
        <v/>
      </c>
      <c r="V1478" s="5" t="str">
        <f aca="false">IF(B1478="","",TRIM(LEFT(B1478,IFERROR(FIND(" ",B1478)-1,LEN(B1478)))))</f>
        <v/>
      </c>
      <c r="W1478" s="22"/>
      <c r="X1478" s="5" t="str">
        <f aca="false">IF(A1478="","",IF(W1478&lt;&gt;"",W1478,V1478))</f>
        <v/>
      </c>
      <c r="Y1478" s="5" t="str">
        <f aca="false">IF(A1478="","",IF(COUNTIFS($X$2:$X$2001,X1478,$D$2:$D$2001,"&lt;&gt;"&amp;D1478,$C$2:$C$2001,C1478)&gt;0,"SIM","NAO"))</f>
        <v/>
      </c>
      <c r="Z1478" s="5" t="str">
        <f aca="false">IF(A1478="","",IF(J1478="","",IFERROR(360/J1478,"")))</f>
        <v/>
      </c>
      <c r="AA1478" s="5" t="str">
        <f aca="false">IF(A1478="","",IF(H1478=0,"Parado (sem venda 90d)",IF(Z1478&gt;12,"Alto (&gt;12x/ano)",IF(Z1478&gt;=4,"Medio (4-12x/ano)","Baixo (&lt;4x/ano)"))))</f>
        <v/>
      </c>
    </row>
    <row r="1479" customFormat="false" ht="15" hidden="false" customHeight="true" outlineLevel="0" collapsed="false">
      <c r="A1479" s="6"/>
      <c r="B1479" s="6"/>
      <c r="C1479" s="6"/>
      <c r="D1479" s="6"/>
      <c r="E1479" s="6"/>
      <c r="F1479" s="6"/>
      <c r="G1479" s="6"/>
      <c r="H1479" s="6"/>
      <c r="I1479" s="6"/>
      <c r="J1479" s="6"/>
      <c r="K1479" s="18"/>
      <c r="L1479" s="19" t="str">
        <f aca="false">IF(A1479="","",G1479*K1479)</f>
        <v/>
      </c>
      <c r="M1479" s="20"/>
      <c r="N1479" s="6"/>
      <c r="O1479" s="6"/>
      <c r="P1479" s="5" t="str">
        <f aca="false">IF(A1479="","",H1479/90)</f>
        <v/>
      </c>
      <c r="Q1479" s="5" t="str">
        <f aca="false">IF(A1479="","",IFERROR(INDEX(Parâmetros!$C$6:$C$10,MATCH(F1479,Parâmetros!$B$6:$B$10,0)),""))</f>
        <v/>
      </c>
      <c r="R1479" s="5" t="str">
        <f aca="false">IF(OR(A1479="",P1479="",Q1479=""),"",P1479*Q1479)</f>
        <v/>
      </c>
      <c r="S1479" s="5" t="str">
        <f aca="false">IF(R1479="","",MAX(0,R1479-G1479))</f>
        <v/>
      </c>
      <c r="T1479" s="21" t="str">
        <f aca="false">IF(S1479="","",S1479*K1479)</f>
        <v/>
      </c>
      <c r="U1479" s="5" t="str">
        <f aca="false">IF(A1479="","",IF(J1479&gt;Parâmetros!$C$14,"SIM","NAO"))</f>
        <v/>
      </c>
      <c r="V1479" s="5" t="str">
        <f aca="false">IF(B1479="","",TRIM(LEFT(B1479,IFERROR(FIND(" ",B1479)-1,LEN(B1479)))))</f>
        <v/>
      </c>
      <c r="W1479" s="22"/>
      <c r="X1479" s="5" t="str">
        <f aca="false">IF(A1479="","",IF(W1479&lt;&gt;"",W1479,V1479))</f>
        <v/>
      </c>
      <c r="Y1479" s="5" t="str">
        <f aca="false">IF(A1479="","",IF(COUNTIFS($X$2:$X$2001,X1479,$D$2:$D$2001,"&lt;&gt;"&amp;D1479,$C$2:$C$2001,C1479)&gt;0,"SIM","NAO"))</f>
        <v/>
      </c>
      <c r="Z1479" s="5" t="str">
        <f aca="false">IF(A1479="","",IF(J1479="","",IFERROR(360/J1479,"")))</f>
        <v/>
      </c>
      <c r="AA1479" s="5" t="str">
        <f aca="false">IF(A1479="","",IF(H1479=0,"Parado (sem venda 90d)",IF(Z1479&gt;12,"Alto (&gt;12x/ano)",IF(Z1479&gt;=4,"Medio (4-12x/ano)","Baixo (&lt;4x/ano)"))))</f>
        <v/>
      </c>
    </row>
    <row r="1480" customFormat="false" ht="15" hidden="false" customHeight="true" outlineLevel="0" collapsed="false">
      <c r="A1480" s="6"/>
      <c r="B1480" s="6"/>
      <c r="C1480" s="6"/>
      <c r="D1480" s="6"/>
      <c r="E1480" s="6"/>
      <c r="F1480" s="6"/>
      <c r="G1480" s="6"/>
      <c r="H1480" s="6"/>
      <c r="I1480" s="6"/>
      <c r="J1480" s="6"/>
      <c r="K1480" s="18"/>
      <c r="L1480" s="19" t="str">
        <f aca="false">IF(A1480="","",G1480*K1480)</f>
        <v/>
      </c>
      <c r="M1480" s="20"/>
      <c r="N1480" s="6"/>
      <c r="O1480" s="6"/>
      <c r="P1480" s="5" t="str">
        <f aca="false">IF(A1480="","",H1480/90)</f>
        <v/>
      </c>
      <c r="Q1480" s="5" t="str">
        <f aca="false">IF(A1480="","",IFERROR(INDEX(Parâmetros!$C$6:$C$10,MATCH(F1480,Parâmetros!$B$6:$B$10,0)),""))</f>
        <v/>
      </c>
      <c r="R1480" s="5" t="str">
        <f aca="false">IF(OR(A1480="",P1480="",Q1480=""),"",P1480*Q1480)</f>
        <v/>
      </c>
      <c r="S1480" s="5" t="str">
        <f aca="false">IF(R1480="","",MAX(0,R1480-G1480))</f>
        <v/>
      </c>
      <c r="T1480" s="21" t="str">
        <f aca="false">IF(S1480="","",S1480*K1480)</f>
        <v/>
      </c>
      <c r="U1480" s="5" t="str">
        <f aca="false">IF(A1480="","",IF(J1480&gt;Parâmetros!$C$14,"SIM","NAO"))</f>
        <v/>
      </c>
      <c r="V1480" s="5" t="str">
        <f aca="false">IF(B1480="","",TRIM(LEFT(B1480,IFERROR(FIND(" ",B1480)-1,LEN(B1480)))))</f>
        <v/>
      </c>
      <c r="W1480" s="22"/>
      <c r="X1480" s="5" t="str">
        <f aca="false">IF(A1480="","",IF(W1480&lt;&gt;"",W1480,V1480))</f>
        <v/>
      </c>
      <c r="Y1480" s="5" t="str">
        <f aca="false">IF(A1480="","",IF(COUNTIFS($X$2:$X$2001,X1480,$D$2:$D$2001,"&lt;&gt;"&amp;D1480,$C$2:$C$2001,C1480)&gt;0,"SIM","NAO"))</f>
        <v/>
      </c>
      <c r="Z1480" s="5" t="str">
        <f aca="false">IF(A1480="","",IF(J1480="","",IFERROR(360/J1480,"")))</f>
        <v/>
      </c>
      <c r="AA1480" s="5" t="str">
        <f aca="false">IF(A1480="","",IF(H1480=0,"Parado (sem venda 90d)",IF(Z1480&gt;12,"Alto (&gt;12x/ano)",IF(Z1480&gt;=4,"Medio (4-12x/ano)","Baixo (&lt;4x/ano)"))))</f>
        <v/>
      </c>
    </row>
    <row r="1481" customFormat="false" ht="15" hidden="false" customHeight="true" outlineLevel="0" collapsed="false">
      <c r="A1481" s="6"/>
      <c r="B1481" s="6"/>
      <c r="C1481" s="6"/>
      <c r="D1481" s="6"/>
      <c r="E1481" s="6"/>
      <c r="F1481" s="6"/>
      <c r="G1481" s="6"/>
      <c r="H1481" s="6"/>
      <c r="I1481" s="6"/>
      <c r="J1481" s="6"/>
      <c r="K1481" s="18"/>
      <c r="L1481" s="19" t="str">
        <f aca="false">IF(A1481="","",G1481*K1481)</f>
        <v/>
      </c>
      <c r="M1481" s="20"/>
      <c r="N1481" s="6"/>
      <c r="O1481" s="6"/>
      <c r="P1481" s="5" t="str">
        <f aca="false">IF(A1481="","",H1481/90)</f>
        <v/>
      </c>
      <c r="Q1481" s="5" t="str">
        <f aca="false">IF(A1481="","",IFERROR(INDEX(Parâmetros!$C$6:$C$10,MATCH(F1481,Parâmetros!$B$6:$B$10,0)),""))</f>
        <v/>
      </c>
      <c r="R1481" s="5" t="str">
        <f aca="false">IF(OR(A1481="",P1481="",Q1481=""),"",P1481*Q1481)</f>
        <v/>
      </c>
      <c r="S1481" s="5" t="str">
        <f aca="false">IF(R1481="","",MAX(0,R1481-G1481))</f>
        <v/>
      </c>
      <c r="T1481" s="21" t="str">
        <f aca="false">IF(S1481="","",S1481*K1481)</f>
        <v/>
      </c>
      <c r="U1481" s="5" t="str">
        <f aca="false">IF(A1481="","",IF(J1481&gt;Parâmetros!$C$14,"SIM","NAO"))</f>
        <v/>
      </c>
      <c r="V1481" s="5" t="str">
        <f aca="false">IF(B1481="","",TRIM(LEFT(B1481,IFERROR(FIND(" ",B1481)-1,LEN(B1481)))))</f>
        <v/>
      </c>
      <c r="W1481" s="22"/>
      <c r="X1481" s="5" t="str">
        <f aca="false">IF(A1481="","",IF(W1481&lt;&gt;"",W1481,V1481))</f>
        <v/>
      </c>
      <c r="Y1481" s="5" t="str">
        <f aca="false">IF(A1481="","",IF(COUNTIFS($X$2:$X$2001,X1481,$D$2:$D$2001,"&lt;&gt;"&amp;D1481,$C$2:$C$2001,C1481)&gt;0,"SIM","NAO"))</f>
        <v/>
      </c>
      <c r="Z1481" s="5" t="str">
        <f aca="false">IF(A1481="","",IF(J1481="","",IFERROR(360/J1481,"")))</f>
        <v/>
      </c>
      <c r="AA1481" s="5" t="str">
        <f aca="false">IF(A1481="","",IF(H1481=0,"Parado (sem venda 90d)",IF(Z1481&gt;12,"Alto (&gt;12x/ano)",IF(Z1481&gt;=4,"Medio (4-12x/ano)","Baixo (&lt;4x/ano)"))))</f>
        <v/>
      </c>
    </row>
    <row r="1482" customFormat="false" ht="15" hidden="false" customHeight="true" outlineLevel="0" collapsed="false">
      <c r="A1482" s="6"/>
      <c r="B1482" s="6"/>
      <c r="C1482" s="6"/>
      <c r="D1482" s="6"/>
      <c r="E1482" s="6"/>
      <c r="F1482" s="6"/>
      <c r="G1482" s="6"/>
      <c r="H1482" s="6"/>
      <c r="I1482" s="6"/>
      <c r="J1482" s="6"/>
      <c r="K1482" s="18"/>
      <c r="L1482" s="19" t="str">
        <f aca="false">IF(A1482="","",G1482*K1482)</f>
        <v/>
      </c>
      <c r="M1482" s="20"/>
      <c r="N1482" s="6"/>
      <c r="O1482" s="6"/>
      <c r="P1482" s="5" t="str">
        <f aca="false">IF(A1482="","",H1482/90)</f>
        <v/>
      </c>
      <c r="Q1482" s="5" t="str">
        <f aca="false">IF(A1482="","",IFERROR(INDEX(Parâmetros!$C$6:$C$10,MATCH(F1482,Parâmetros!$B$6:$B$10,0)),""))</f>
        <v/>
      </c>
      <c r="R1482" s="5" t="str">
        <f aca="false">IF(OR(A1482="",P1482="",Q1482=""),"",P1482*Q1482)</f>
        <v/>
      </c>
      <c r="S1482" s="5" t="str">
        <f aca="false">IF(R1482="","",MAX(0,R1482-G1482))</f>
        <v/>
      </c>
      <c r="T1482" s="21" t="str">
        <f aca="false">IF(S1482="","",S1482*K1482)</f>
        <v/>
      </c>
      <c r="U1482" s="5" t="str">
        <f aca="false">IF(A1482="","",IF(J1482&gt;Parâmetros!$C$14,"SIM","NAO"))</f>
        <v/>
      </c>
      <c r="V1482" s="5" t="str">
        <f aca="false">IF(B1482="","",TRIM(LEFT(B1482,IFERROR(FIND(" ",B1482)-1,LEN(B1482)))))</f>
        <v/>
      </c>
      <c r="W1482" s="22"/>
      <c r="X1482" s="5" t="str">
        <f aca="false">IF(A1482="","",IF(W1482&lt;&gt;"",W1482,V1482))</f>
        <v/>
      </c>
      <c r="Y1482" s="5" t="str">
        <f aca="false">IF(A1482="","",IF(COUNTIFS($X$2:$X$2001,X1482,$D$2:$D$2001,"&lt;&gt;"&amp;D1482,$C$2:$C$2001,C1482)&gt;0,"SIM","NAO"))</f>
        <v/>
      </c>
      <c r="Z1482" s="5" t="str">
        <f aca="false">IF(A1482="","",IF(J1482="","",IFERROR(360/J1482,"")))</f>
        <v/>
      </c>
      <c r="AA1482" s="5" t="str">
        <f aca="false">IF(A1482="","",IF(H1482=0,"Parado (sem venda 90d)",IF(Z1482&gt;12,"Alto (&gt;12x/ano)",IF(Z1482&gt;=4,"Medio (4-12x/ano)","Baixo (&lt;4x/ano)"))))</f>
        <v/>
      </c>
    </row>
    <row r="1483" customFormat="false" ht="15" hidden="false" customHeight="true" outlineLevel="0" collapsed="false">
      <c r="A1483" s="6"/>
      <c r="B1483" s="6"/>
      <c r="C1483" s="6"/>
      <c r="D1483" s="6"/>
      <c r="E1483" s="6"/>
      <c r="F1483" s="6"/>
      <c r="G1483" s="6"/>
      <c r="H1483" s="6"/>
      <c r="I1483" s="6"/>
      <c r="J1483" s="6"/>
      <c r="K1483" s="18"/>
      <c r="L1483" s="19" t="str">
        <f aca="false">IF(A1483="","",G1483*K1483)</f>
        <v/>
      </c>
      <c r="M1483" s="20"/>
      <c r="N1483" s="6"/>
      <c r="O1483" s="6"/>
      <c r="P1483" s="5" t="str">
        <f aca="false">IF(A1483="","",H1483/90)</f>
        <v/>
      </c>
      <c r="Q1483" s="5" t="str">
        <f aca="false">IF(A1483="","",IFERROR(INDEX(Parâmetros!$C$6:$C$10,MATCH(F1483,Parâmetros!$B$6:$B$10,0)),""))</f>
        <v/>
      </c>
      <c r="R1483" s="5" t="str">
        <f aca="false">IF(OR(A1483="",P1483="",Q1483=""),"",P1483*Q1483)</f>
        <v/>
      </c>
      <c r="S1483" s="5" t="str">
        <f aca="false">IF(R1483="","",MAX(0,R1483-G1483))</f>
        <v/>
      </c>
      <c r="T1483" s="21" t="str">
        <f aca="false">IF(S1483="","",S1483*K1483)</f>
        <v/>
      </c>
      <c r="U1483" s="5" t="str">
        <f aca="false">IF(A1483="","",IF(J1483&gt;Parâmetros!$C$14,"SIM","NAO"))</f>
        <v/>
      </c>
      <c r="V1483" s="5" t="str">
        <f aca="false">IF(B1483="","",TRIM(LEFT(B1483,IFERROR(FIND(" ",B1483)-1,LEN(B1483)))))</f>
        <v/>
      </c>
      <c r="W1483" s="22"/>
      <c r="X1483" s="5" t="str">
        <f aca="false">IF(A1483="","",IF(W1483&lt;&gt;"",W1483,V1483))</f>
        <v/>
      </c>
      <c r="Y1483" s="5" t="str">
        <f aca="false">IF(A1483="","",IF(COUNTIFS($X$2:$X$2001,X1483,$D$2:$D$2001,"&lt;&gt;"&amp;D1483,$C$2:$C$2001,C1483)&gt;0,"SIM","NAO"))</f>
        <v/>
      </c>
      <c r="Z1483" s="5" t="str">
        <f aca="false">IF(A1483="","",IF(J1483="","",IFERROR(360/J1483,"")))</f>
        <v/>
      </c>
      <c r="AA1483" s="5" t="str">
        <f aca="false">IF(A1483="","",IF(H1483=0,"Parado (sem venda 90d)",IF(Z1483&gt;12,"Alto (&gt;12x/ano)",IF(Z1483&gt;=4,"Medio (4-12x/ano)","Baixo (&lt;4x/ano)"))))</f>
        <v/>
      </c>
    </row>
    <row r="1484" customFormat="false" ht="15" hidden="false" customHeight="true" outlineLevel="0" collapsed="false">
      <c r="A1484" s="6"/>
      <c r="B1484" s="6"/>
      <c r="C1484" s="6"/>
      <c r="D1484" s="6"/>
      <c r="E1484" s="6"/>
      <c r="F1484" s="6"/>
      <c r="G1484" s="6"/>
      <c r="H1484" s="6"/>
      <c r="I1484" s="6"/>
      <c r="J1484" s="6"/>
      <c r="K1484" s="18"/>
      <c r="L1484" s="19" t="str">
        <f aca="false">IF(A1484="","",G1484*K1484)</f>
        <v/>
      </c>
      <c r="M1484" s="20"/>
      <c r="N1484" s="6"/>
      <c r="O1484" s="6"/>
      <c r="P1484" s="5" t="str">
        <f aca="false">IF(A1484="","",H1484/90)</f>
        <v/>
      </c>
      <c r="Q1484" s="5" t="str">
        <f aca="false">IF(A1484="","",IFERROR(INDEX(Parâmetros!$C$6:$C$10,MATCH(F1484,Parâmetros!$B$6:$B$10,0)),""))</f>
        <v/>
      </c>
      <c r="R1484" s="5" t="str">
        <f aca="false">IF(OR(A1484="",P1484="",Q1484=""),"",P1484*Q1484)</f>
        <v/>
      </c>
      <c r="S1484" s="5" t="str">
        <f aca="false">IF(R1484="","",MAX(0,R1484-G1484))</f>
        <v/>
      </c>
      <c r="T1484" s="21" t="str">
        <f aca="false">IF(S1484="","",S1484*K1484)</f>
        <v/>
      </c>
      <c r="U1484" s="5" t="str">
        <f aca="false">IF(A1484="","",IF(J1484&gt;Parâmetros!$C$14,"SIM","NAO"))</f>
        <v/>
      </c>
      <c r="V1484" s="5" t="str">
        <f aca="false">IF(B1484="","",TRIM(LEFT(B1484,IFERROR(FIND(" ",B1484)-1,LEN(B1484)))))</f>
        <v/>
      </c>
      <c r="W1484" s="22"/>
      <c r="X1484" s="5" t="str">
        <f aca="false">IF(A1484="","",IF(W1484&lt;&gt;"",W1484,V1484))</f>
        <v/>
      </c>
      <c r="Y1484" s="5" t="str">
        <f aca="false">IF(A1484="","",IF(COUNTIFS($X$2:$X$2001,X1484,$D$2:$D$2001,"&lt;&gt;"&amp;D1484,$C$2:$C$2001,C1484)&gt;0,"SIM","NAO"))</f>
        <v/>
      </c>
      <c r="Z1484" s="5" t="str">
        <f aca="false">IF(A1484="","",IF(J1484="","",IFERROR(360/J1484,"")))</f>
        <v/>
      </c>
      <c r="AA1484" s="5" t="str">
        <f aca="false">IF(A1484="","",IF(H1484=0,"Parado (sem venda 90d)",IF(Z1484&gt;12,"Alto (&gt;12x/ano)",IF(Z1484&gt;=4,"Medio (4-12x/ano)","Baixo (&lt;4x/ano)"))))</f>
        <v/>
      </c>
    </row>
    <row r="1485" customFormat="false" ht="15" hidden="false" customHeight="true" outlineLevel="0" collapsed="false">
      <c r="A1485" s="6"/>
      <c r="B1485" s="6"/>
      <c r="C1485" s="6"/>
      <c r="D1485" s="6"/>
      <c r="E1485" s="6"/>
      <c r="F1485" s="6"/>
      <c r="G1485" s="6"/>
      <c r="H1485" s="6"/>
      <c r="I1485" s="6"/>
      <c r="J1485" s="6"/>
      <c r="K1485" s="18"/>
      <c r="L1485" s="19" t="str">
        <f aca="false">IF(A1485="","",G1485*K1485)</f>
        <v/>
      </c>
      <c r="M1485" s="20"/>
      <c r="N1485" s="6"/>
      <c r="O1485" s="6"/>
      <c r="P1485" s="5" t="str">
        <f aca="false">IF(A1485="","",H1485/90)</f>
        <v/>
      </c>
      <c r="Q1485" s="5" t="str">
        <f aca="false">IF(A1485="","",IFERROR(INDEX(Parâmetros!$C$6:$C$10,MATCH(F1485,Parâmetros!$B$6:$B$10,0)),""))</f>
        <v/>
      </c>
      <c r="R1485" s="5" t="str">
        <f aca="false">IF(OR(A1485="",P1485="",Q1485=""),"",P1485*Q1485)</f>
        <v/>
      </c>
      <c r="S1485" s="5" t="str">
        <f aca="false">IF(R1485="","",MAX(0,R1485-G1485))</f>
        <v/>
      </c>
      <c r="T1485" s="21" t="str">
        <f aca="false">IF(S1485="","",S1485*K1485)</f>
        <v/>
      </c>
      <c r="U1485" s="5" t="str">
        <f aca="false">IF(A1485="","",IF(J1485&gt;Parâmetros!$C$14,"SIM","NAO"))</f>
        <v/>
      </c>
      <c r="V1485" s="5" t="str">
        <f aca="false">IF(B1485="","",TRIM(LEFT(B1485,IFERROR(FIND(" ",B1485)-1,LEN(B1485)))))</f>
        <v/>
      </c>
      <c r="W1485" s="22"/>
      <c r="X1485" s="5" t="str">
        <f aca="false">IF(A1485="","",IF(W1485&lt;&gt;"",W1485,V1485))</f>
        <v/>
      </c>
      <c r="Y1485" s="5" t="str">
        <f aca="false">IF(A1485="","",IF(COUNTIFS($X$2:$X$2001,X1485,$D$2:$D$2001,"&lt;&gt;"&amp;D1485,$C$2:$C$2001,C1485)&gt;0,"SIM","NAO"))</f>
        <v/>
      </c>
      <c r="Z1485" s="5" t="str">
        <f aca="false">IF(A1485="","",IF(J1485="","",IFERROR(360/J1485,"")))</f>
        <v/>
      </c>
      <c r="AA1485" s="5" t="str">
        <f aca="false">IF(A1485="","",IF(H1485=0,"Parado (sem venda 90d)",IF(Z1485&gt;12,"Alto (&gt;12x/ano)",IF(Z1485&gt;=4,"Medio (4-12x/ano)","Baixo (&lt;4x/ano)"))))</f>
        <v/>
      </c>
    </row>
    <row r="1486" customFormat="false" ht="15" hidden="false" customHeight="true" outlineLevel="0" collapsed="false">
      <c r="A1486" s="6"/>
      <c r="B1486" s="6"/>
      <c r="C1486" s="6"/>
      <c r="D1486" s="6"/>
      <c r="E1486" s="6"/>
      <c r="F1486" s="6"/>
      <c r="G1486" s="6"/>
      <c r="H1486" s="6"/>
      <c r="I1486" s="6"/>
      <c r="J1486" s="6"/>
      <c r="K1486" s="18"/>
      <c r="L1486" s="19" t="str">
        <f aca="false">IF(A1486="","",G1486*K1486)</f>
        <v/>
      </c>
      <c r="M1486" s="20"/>
      <c r="N1486" s="6"/>
      <c r="O1486" s="6"/>
      <c r="P1486" s="5" t="str">
        <f aca="false">IF(A1486="","",H1486/90)</f>
        <v/>
      </c>
      <c r="Q1486" s="5" t="str">
        <f aca="false">IF(A1486="","",IFERROR(INDEX(Parâmetros!$C$6:$C$10,MATCH(F1486,Parâmetros!$B$6:$B$10,0)),""))</f>
        <v/>
      </c>
      <c r="R1486" s="5" t="str">
        <f aca="false">IF(OR(A1486="",P1486="",Q1486=""),"",P1486*Q1486)</f>
        <v/>
      </c>
      <c r="S1486" s="5" t="str">
        <f aca="false">IF(R1486="","",MAX(0,R1486-G1486))</f>
        <v/>
      </c>
      <c r="T1486" s="21" t="str">
        <f aca="false">IF(S1486="","",S1486*K1486)</f>
        <v/>
      </c>
      <c r="U1486" s="5" t="str">
        <f aca="false">IF(A1486="","",IF(J1486&gt;Parâmetros!$C$14,"SIM","NAO"))</f>
        <v/>
      </c>
      <c r="V1486" s="5" t="str">
        <f aca="false">IF(B1486="","",TRIM(LEFT(B1486,IFERROR(FIND(" ",B1486)-1,LEN(B1486)))))</f>
        <v/>
      </c>
      <c r="W1486" s="22"/>
      <c r="X1486" s="5" t="str">
        <f aca="false">IF(A1486="","",IF(W1486&lt;&gt;"",W1486,V1486))</f>
        <v/>
      </c>
      <c r="Y1486" s="5" t="str">
        <f aca="false">IF(A1486="","",IF(COUNTIFS($X$2:$X$2001,X1486,$D$2:$D$2001,"&lt;&gt;"&amp;D1486,$C$2:$C$2001,C1486)&gt;0,"SIM","NAO"))</f>
        <v/>
      </c>
      <c r="Z1486" s="5" t="str">
        <f aca="false">IF(A1486="","",IF(J1486="","",IFERROR(360/J1486,"")))</f>
        <v/>
      </c>
      <c r="AA1486" s="5" t="str">
        <f aca="false">IF(A1486="","",IF(H1486=0,"Parado (sem venda 90d)",IF(Z1486&gt;12,"Alto (&gt;12x/ano)",IF(Z1486&gt;=4,"Medio (4-12x/ano)","Baixo (&lt;4x/ano)"))))</f>
        <v/>
      </c>
    </row>
    <row r="1487" customFormat="false" ht="15" hidden="false" customHeight="true" outlineLevel="0" collapsed="false">
      <c r="A1487" s="6"/>
      <c r="B1487" s="6"/>
      <c r="C1487" s="6"/>
      <c r="D1487" s="6"/>
      <c r="E1487" s="6"/>
      <c r="F1487" s="6"/>
      <c r="G1487" s="6"/>
      <c r="H1487" s="6"/>
      <c r="I1487" s="6"/>
      <c r="J1487" s="6"/>
      <c r="K1487" s="18"/>
      <c r="L1487" s="19" t="str">
        <f aca="false">IF(A1487="","",G1487*K1487)</f>
        <v/>
      </c>
      <c r="M1487" s="20"/>
      <c r="N1487" s="6"/>
      <c r="O1487" s="6"/>
      <c r="P1487" s="5" t="str">
        <f aca="false">IF(A1487="","",H1487/90)</f>
        <v/>
      </c>
      <c r="Q1487" s="5" t="str">
        <f aca="false">IF(A1487="","",IFERROR(INDEX(Parâmetros!$C$6:$C$10,MATCH(F1487,Parâmetros!$B$6:$B$10,0)),""))</f>
        <v/>
      </c>
      <c r="R1487" s="5" t="str">
        <f aca="false">IF(OR(A1487="",P1487="",Q1487=""),"",P1487*Q1487)</f>
        <v/>
      </c>
      <c r="S1487" s="5" t="str">
        <f aca="false">IF(R1487="","",MAX(0,R1487-G1487))</f>
        <v/>
      </c>
      <c r="T1487" s="21" t="str">
        <f aca="false">IF(S1487="","",S1487*K1487)</f>
        <v/>
      </c>
      <c r="U1487" s="5" t="str">
        <f aca="false">IF(A1487="","",IF(J1487&gt;Parâmetros!$C$14,"SIM","NAO"))</f>
        <v/>
      </c>
      <c r="V1487" s="5" t="str">
        <f aca="false">IF(B1487="","",TRIM(LEFT(B1487,IFERROR(FIND(" ",B1487)-1,LEN(B1487)))))</f>
        <v/>
      </c>
      <c r="W1487" s="22"/>
      <c r="X1487" s="5" t="str">
        <f aca="false">IF(A1487="","",IF(W1487&lt;&gt;"",W1487,V1487))</f>
        <v/>
      </c>
      <c r="Y1487" s="5" t="str">
        <f aca="false">IF(A1487="","",IF(COUNTIFS($X$2:$X$2001,X1487,$D$2:$D$2001,"&lt;&gt;"&amp;D1487,$C$2:$C$2001,C1487)&gt;0,"SIM","NAO"))</f>
        <v/>
      </c>
      <c r="Z1487" s="5" t="str">
        <f aca="false">IF(A1487="","",IF(J1487="","",IFERROR(360/J1487,"")))</f>
        <v/>
      </c>
      <c r="AA1487" s="5" t="str">
        <f aca="false">IF(A1487="","",IF(H1487=0,"Parado (sem venda 90d)",IF(Z1487&gt;12,"Alto (&gt;12x/ano)",IF(Z1487&gt;=4,"Medio (4-12x/ano)","Baixo (&lt;4x/ano)"))))</f>
        <v/>
      </c>
    </row>
    <row r="1488" customFormat="false" ht="15" hidden="false" customHeight="true" outlineLevel="0" collapsed="false">
      <c r="A1488" s="6"/>
      <c r="B1488" s="6"/>
      <c r="C1488" s="6"/>
      <c r="D1488" s="6"/>
      <c r="E1488" s="6"/>
      <c r="F1488" s="6"/>
      <c r="G1488" s="6"/>
      <c r="H1488" s="6"/>
      <c r="I1488" s="6"/>
      <c r="J1488" s="6"/>
      <c r="K1488" s="18"/>
      <c r="L1488" s="19" t="str">
        <f aca="false">IF(A1488="","",G1488*K1488)</f>
        <v/>
      </c>
      <c r="M1488" s="20"/>
      <c r="N1488" s="6"/>
      <c r="O1488" s="6"/>
      <c r="P1488" s="5" t="str">
        <f aca="false">IF(A1488="","",H1488/90)</f>
        <v/>
      </c>
      <c r="Q1488" s="5" t="str">
        <f aca="false">IF(A1488="","",IFERROR(INDEX(Parâmetros!$C$6:$C$10,MATCH(F1488,Parâmetros!$B$6:$B$10,0)),""))</f>
        <v/>
      </c>
      <c r="R1488" s="5" t="str">
        <f aca="false">IF(OR(A1488="",P1488="",Q1488=""),"",P1488*Q1488)</f>
        <v/>
      </c>
      <c r="S1488" s="5" t="str">
        <f aca="false">IF(R1488="","",MAX(0,R1488-G1488))</f>
        <v/>
      </c>
      <c r="T1488" s="21" t="str">
        <f aca="false">IF(S1488="","",S1488*K1488)</f>
        <v/>
      </c>
      <c r="U1488" s="5" t="str">
        <f aca="false">IF(A1488="","",IF(J1488&gt;Parâmetros!$C$14,"SIM","NAO"))</f>
        <v/>
      </c>
      <c r="V1488" s="5" t="str">
        <f aca="false">IF(B1488="","",TRIM(LEFT(B1488,IFERROR(FIND(" ",B1488)-1,LEN(B1488)))))</f>
        <v/>
      </c>
      <c r="W1488" s="22"/>
      <c r="X1488" s="5" t="str">
        <f aca="false">IF(A1488="","",IF(W1488&lt;&gt;"",W1488,V1488))</f>
        <v/>
      </c>
      <c r="Y1488" s="5" t="str">
        <f aca="false">IF(A1488="","",IF(COUNTIFS($X$2:$X$2001,X1488,$D$2:$D$2001,"&lt;&gt;"&amp;D1488,$C$2:$C$2001,C1488)&gt;0,"SIM","NAO"))</f>
        <v/>
      </c>
      <c r="Z1488" s="5" t="str">
        <f aca="false">IF(A1488="","",IF(J1488="","",IFERROR(360/J1488,"")))</f>
        <v/>
      </c>
      <c r="AA1488" s="5" t="str">
        <f aca="false">IF(A1488="","",IF(H1488=0,"Parado (sem venda 90d)",IF(Z1488&gt;12,"Alto (&gt;12x/ano)",IF(Z1488&gt;=4,"Medio (4-12x/ano)","Baixo (&lt;4x/ano)"))))</f>
        <v/>
      </c>
    </row>
    <row r="1489" customFormat="false" ht="15" hidden="false" customHeight="true" outlineLevel="0" collapsed="false">
      <c r="A1489" s="6"/>
      <c r="B1489" s="6"/>
      <c r="C1489" s="6"/>
      <c r="D1489" s="6"/>
      <c r="E1489" s="6"/>
      <c r="F1489" s="6"/>
      <c r="G1489" s="6"/>
      <c r="H1489" s="6"/>
      <c r="I1489" s="6"/>
      <c r="J1489" s="6"/>
      <c r="K1489" s="18"/>
      <c r="L1489" s="19" t="str">
        <f aca="false">IF(A1489="","",G1489*K1489)</f>
        <v/>
      </c>
      <c r="M1489" s="20"/>
      <c r="N1489" s="6"/>
      <c r="O1489" s="6"/>
      <c r="P1489" s="5" t="str">
        <f aca="false">IF(A1489="","",H1489/90)</f>
        <v/>
      </c>
      <c r="Q1489" s="5" t="str">
        <f aca="false">IF(A1489="","",IFERROR(INDEX(Parâmetros!$C$6:$C$10,MATCH(F1489,Parâmetros!$B$6:$B$10,0)),""))</f>
        <v/>
      </c>
      <c r="R1489" s="5" t="str">
        <f aca="false">IF(OR(A1489="",P1489="",Q1489=""),"",P1489*Q1489)</f>
        <v/>
      </c>
      <c r="S1489" s="5" t="str">
        <f aca="false">IF(R1489="","",MAX(0,R1489-G1489))</f>
        <v/>
      </c>
      <c r="T1489" s="21" t="str">
        <f aca="false">IF(S1489="","",S1489*K1489)</f>
        <v/>
      </c>
      <c r="U1489" s="5" t="str">
        <f aca="false">IF(A1489="","",IF(J1489&gt;Parâmetros!$C$14,"SIM","NAO"))</f>
        <v/>
      </c>
      <c r="V1489" s="5" t="str">
        <f aca="false">IF(B1489="","",TRIM(LEFT(B1489,IFERROR(FIND(" ",B1489)-1,LEN(B1489)))))</f>
        <v/>
      </c>
      <c r="W1489" s="22"/>
      <c r="X1489" s="5" t="str">
        <f aca="false">IF(A1489="","",IF(W1489&lt;&gt;"",W1489,V1489))</f>
        <v/>
      </c>
      <c r="Y1489" s="5" t="str">
        <f aca="false">IF(A1489="","",IF(COUNTIFS($X$2:$X$2001,X1489,$D$2:$D$2001,"&lt;&gt;"&amp;D1489,$C$2:$C$2001,C1489)&gt;0,"SIM","NAO"))</f>
        <v/>
      </c>
      <c r="Z1489" s="5" t="str">
        <f aca="false">IF(A1489="","",IF(J1489="","",IFERROR(360/J1489,"")))</f>
        <v/>
      </c>
      <c r="AA1489" s="5" t="str">
        <f aca="false">IF(A1489="","",IF(H1489=0,"Parado (sem venda 90d)",IF(Z1489&gt;12,"Alto (&gt;12x/ano)",IF(Z1489&gt;=4,"Medio (4-12x/ano)","Baixo (&lt;4x/ano)"))))</f>
        <v/>
      </c>
    </row>
    <row r="1490" customFormat="false" ht="15" hidden="false" customHeight="true" outlineLevel="0" collapsed="false">
      <c r="A1490" s="6"/>
      <c r="B1490" s="6"/>
      <c r="C1490" s="6"/>
      <c r="D1490" s="6"/>
      <c r="E1490" s="6"/>
      <c r="F1490" s="6"/>
      <c r="G1490" s="6"/>
      <c r="H1490" s="6"/>
      <c r="I1490" s="6"/>
      <c r="J1490" s="6"/>
      <c r="K1490" s="18"/>
      <c r="L1490" s="19" t="str">
        <f aca="false">IF(A1490="","",G1490*K1490)</f>
        <v/>
      </c>
      <c r="M1490" s="20"/>
      <c r="N1490" s="6"/>
      <c r="O1490" s="6"/>
      <c r="P1490" s="5" t="str">
        <f aca="false">IF(A1490="","",H1490/90)</f>
        <v/>
      </c>
      <c r="Q1490" s="5" t="str">
        <f aca="false">IF(A1490="","",IFERROR(INDEX(Parâmetros!$C$6:$C$10,MATCH(F1490,Parâmetros!$B$6:$B$10,0)),""))</f>
        <v/>
      </c>
      <c r="R1490" s="5" t="str">
        <f aca="false">IF(OR(A1490="",P1490="",Q1490=""),"",P1490*Q1490)</f>
        <v/>
      </c>
      <c r="S1490" s="5" t="str">
        <f aca="false">IF(R1490="","",MAX(0,R1490-G1490))</f>
        <v/>
      </c>
      <c r="T1490" s="21" t="str">
        <f aca="false">IF(S1490="","",S1490*K1490)</f>
        <v/>
      </c>
      <c r="U1490" s="5" t="str">
        <f aca="false">IF(A1490="","",IF(J1490&gt;Parâmetros!$C$14,"SIM","NAO"))</f>
        <v/>
      </c>
      <c r="V1490" s="5" t="str">
        <f aca="false">IF(B1490="","",TRIM(LEFT(B1490,IFERROR(FIND(" ",B1490)-1,LEN(B1490)))))</f>
        <v/>
      </c>
      <c r="W1490" s="22"/>
      <c r="X1490" s="5" t="str">
        <f aca="false">IF(A1490="","",IF(W1490&lt;&gt;"",W1490,V1490))</f>
        <v/>
      </c>
      <c r="Y1490" s="5" t="str">
        <f aca="false">IF(A1490="","",IF(COUNTIFS($X$2:$X$2001,X1490,$D$2:$D$2001,"&lt;&gt;"&amp;D1490,$C$2:$C$2001,C1490)&gt;0,"SIM","NAO"))</f>
        <v/>
      </c>
      <c r="Z1490" s="5" t="str">
        <f aca="false">IF(A1490="","",IF(J1490="","",IFERROR(360/J1490,"")))</f>
        <v/>
      </c>
      <c r="AA1490" s="5" t="str">
        <f aca="false">IF(A1490="","",IF(H1490=0,"Parado (sem venda 90d)",IF(Z1490&gt;12,"Alto (&gt;12x/ano)",IF(Z1490&gt;=4,"Medio (4-12x/ano)","Baixo (&lt;4x/ano)"))))</f>
        <v/>
      </c>
    </row>
    <row r="1491" customFormat="false" ht="15" hidden="false" customHeight="true" outlineLevel="0" collapsed="false">
      <c r="A1491" s="6"/>
      <c r="B1491" s="6"/>
      <c r="C1491" s="6"/>
      <c r="D1491" s="6"/>
      <c r="E1491" s="6"/>
      <c r="F1491" s="6"/>
      <c r="G1491" s="6"/>
      <c r="H1491" s="6"/>
      <c r="I1491" s="6"/>
      <c r="J1491" s="6"/>
      <c r="K1491" s="18"/>
      <c r="L1491" s="19" t="str">
        <f aca="false">IF(A1491="","",G1491*K1491)</f>
        <v/>
      </c>
      <c r="M1491" s="20"/>
      <c r="N1491" s="6"/>
      <c r="O1491" s="6"/>
      <c r="P1491" s="5" t="str">
        <f aca="false">IF(A1491="","",H1491/90)</f>
        <v/>
      </c>
      <c r="Q1491" s="5" t="str">
        <f aca="false">IF(A1491="","",IFERROR(INDEX(Parâmetros!$C$6:$C$10,MATCH(F1491,Parâmetros!$B$6:$B$10,0)),""))</f>
        <v/>
      </c>
      <c r="R1491" s="5" t="str">
        <f aca="false">IF(OR(A1491="",P1491="",Q1491=""),"",P1491*Q1491)</f>
        <v/>
      </c>
      <c r="S1491" s="5" t="str">
        <f aca="false">IF(R1491="","",MAX(0,R1491-G1491))</f>
        <v/>
      </c>
      <c r="T1491" s="21" t="str">
        <f aca="false">IF(S1491="","",S1491*K1491)</f>
        <v/>
      </c>
      <c r="U1491" s="5" t="str">
        <f aca="false">IF(A1491="","",IF(J1491&gt;Parâmetros!$C$14,"SIM","NAO"))</f>
        <v/>
      </c>
      <c r="V1491" s="5" t="str">
        <f aca="false">IF(B1491="","",TRIM(LEFT(B1491,IFERROR(FIND(" ",B1491)-1,LEN(B1491)))))</f>
        <v/>
      </c>
      <c r="W1491" s="22"/>
      <c r="X1491" s="5" t="str">
        <f aca="false">IF(A1491="","",IF(W1491&lt;&gt;"",W1491,V1491))</f>
        <v/>
      </c>
      <c r="Y1491" s="5" t="str">
        <f aca="false">IF(A1491="","",IF(COUNTIFS($X$2:$X$2001,X1491,$D$2:$D$2001,"&lt;&gt;"&amp;D1491,$C$2:$C$2001,C1491)&gt;0,"SIM","NAO"))</f>
        <v/>
      </c>
      <c r="Z1491" s="5" t="str">
        <f aca="false">IF(A1491="","",IF(J1491="","",IFERROR(360/J1491,"")))</f>
        <v/>
      </c>
      <c r="AA1491" s="5" t="str">
        <f aca="false">IF(A1491="","",IF(H1491=0,"Parado (sem venda 90d)",IF(Z1491&gt;12,"Alto (&gt;12x/ano)",IF(Z1491&gt;=4,"Medio (4-12x/ano)","Baixo (&lt;4x/ano)"))))</f>
        <v/>
      </c>
    </row>
    <row r="1492" customFormat="false" ht="15" hidden="false" customHeight="true" outlineLevel="0" collapsed="false">
      <c r="A1492" s="6"/>
      <c r="B1492" s="6"/>
      <c r="C1492" s="6"/>
      <c r="D1492" s="6"/>
      <c r="E1492" s="6"/>
      <c r="F1492" s="6"/>
      <c r="G1492" s="6"/>
      <c r="H1492" s="6"/>
      <c r="I1492" s="6"/>
      <c r="J1492" s="6"/>
      <c r="K1492" s="18"/>
      <c r="L1492" s="19" t="str">
        <f aca="false">IF(A1492="","",G1492*K1492)</f>
        <v/>
      </c>
      <c r="M1492" s="20"/>
      <c r="N1492" s="6"/>
      <c r="O1492" s="6"/>
      <c r="P1492" s="5" t="str">
        <f aca="false">IF(A1492="","",H1492/90)</f>
        <v/>
      </c>
      <c r="Q1492" s="5" t="str">
        <f aca="false">IF(A1492="","",IFERROR(INDEX(Parâmetros!$C$6:$C$10,MATCH(F1492,Parâmetros!$B$6:$B$10,0)),""))</f>
        <v/>
      </c>
      <c r="R1492" s="5" t="str">
        <f aca="false">IF(OR(A1492="",P1492="",Q1492=""),"",P1492*Q1492)</f>
        <v/>
      </c>
      <c r="S1492" s="5" t="str">
        <f aca="false">IF(R1492="","",MAX(0,R1492-G1492))</f>
        <v/>
      </c>
      <c r="T1492" s="21" t="str">
        <f aca="false">IF(S1492="","",S1492*K1492)</f>
        <v/>
      </c>
      <c r="U1492" s="5" t="str">
        <f aca="false">IF(A1492="","",IF(J1492&gt;Parâmetros!$C$14,"SIM","NAO"))</f>
        <v/>
      </c>
      <c r="V1492" s="5" t="str">
        <f aca="false">IF(B1492="","",TRIM(LEFT(B1492,IFERROR(FIND(" ",B1492)-1,LEN(B1492)))))</f>
        <v/>
      </c>
      <c r="W1492" s="22"/>
      <c r="X1492" s="5" t="str">
        <f aca="false">IF(A1492="","",IF(W1492&lt;&gt;"",W1492,V1492))</f>
        <v/>
      </c>
      <c r="Y1492" s="5" t="str">
        <f aca="false">IF(A1492="","",IF(COUNTIFS($X$2:$X$2001,X1492,$D$2:$D$2001,"&lt;&gt;"&amp;D1492,$C$2:$C$2001,C1492)&gt;0,"SIM","NAO"))</f>
        <v/>
      </c>
      <c r="Z1492" s="5" t="str">
        <f aca="false">IF(A1492="","",IF(J1492="","",IFERROR(360/J1492,"")))</f>
        <v/>
      </c>
      <c r="AA1492" s="5" t="str">
        <f aca="false">IF(A1492="","",IF(H1492=0,"Parado (sem venda 90d)",IF(Z1492&gt;12,"Alto (&gt;12x/ano)",IF(Z1492&gt;=4,"Medio (4-12x/ano)","Baixo (&lt;4x/ano)"))))</f>
        <v/>
      </c>
    </row>
    <row r="1493" customFormat="false" ht="15" hidden="false" customHeight="true" outlineLevel="0" collapsed="false">
      <c r="A1493" s="6"/>
      <c r="B1493" s="6"/>
      <c r="C1493" s="6"/>
      <c r="D1493" s="6"/>
      <c r="E1493" s="6"/>
      <c r="F1493" s="6"/>
      <c r="G1493" s="6"/>
      <c r="H1493" s="6"/>
      <c r="I1493" s="6"/>
      <c r="J1493" s="6"/>
      <c r="K1493" s="18"/>
      <c r="L1493" s="19" t="str">
        <f aca="false">IF(A1493="","",G1493*K1493)</f>
        <v/>
      </c>
      <c r="M1493" s="20"/>
      <c r="N1493" s="6"/>
      <c r="O1493" s="6"/>
      <c r="P1493" s="5" t="str">
        <f aca="false">IF(A1493="","",H1493/90)</f>
        <v/>
      </c>
      <c r="Q1493" s="5" t="str">
        <f aca="false">IF(A1493="","",IFERROR(INDEX(Parâmetros!$C$6:$C$10,MATCH(F1493,Parâmetros!$B$6:$B$10,0)),""))</f>
        <v/>
      </c>
      <c r="R1493" s="5" t="str">
        <f aca="false">IF(OR(A1493="",P1493="",Q1493=""),"",P1493*Q1493)</f>
        <v/>
      </c>
      <c r="S1493" s="5" t="str">
        <f aca="false">IF(R1493="","",MAX(0,R1493-G1493))</f>
        <v/>
      </c>
      <c r="T1493" s="21" t="str">
        <f aca="false">IF(S1493="","",S1493*K1493)</f>
        <v/>
      </c>
      <c r="U1493" s="5" t="str">
        <f aca="false">IF(A1493="","",IF(J1493&gt;Parâmetros!$C$14,"SIM","NAO"))</f>
        <v/>
      </c>
      <c r="V1493" s="5" t="str">
        <f aca="false">IF(B1493="","",TRIM(LEFT(B1493,IFERROR(FIND(" ",B1493)-1,LEN(B1493)))))</f>
        <v/>
      </c>
      <c r="W1493" s="22"/>
      <c r="X1493" s="5" t="str">
        <f aca="false">IF(A1493="","",IF(W1493&lt;&gt;"",W1493,V1493))</f>
        <v/>
      </c>
      <c r="Y1493" s="5" t="str">
        <f aca="false">IF(A1493="","",IF(COUNTIFS($X$2:$X$2001,X1493,$D$2:$D$2001,"&lt;&gt;"&amp;D1493,$C$2:$C$2001,C1493)&gt;0,"SIM","NAO"))</f>
        <v/>
      </c>
      <c r="Z1493" s="5" t="str">
        <f aca="false">IF(A1493="","",IF(J1493="","",IFERROR(360/J1493,"")))</f>
        <v/>
      </c>
      <c r="AA1493" s="5" t="str">
        <f aca="false">IF(A1493="","",IF(H1493=0,"Parado (sem venda 90d)",IF(Z1493&gt;12,"Alto (&gt;12x/ano)",IF(Z1493&gt;=4,"Medio (4-12x/ano)","Baixo (&lt;4x/ano)"))))</f>
        <v/>
      </c>
    </row>
    <row r="1494" customFormat="false" ht="15" hidden="false" customHeight="true" outlineLevel="0" collapsed="false">
      <c r="A1494" s="6"/>
      <c r="B1494" s="6"/>
      <c r="C1494" s="6"/>
      <c r="D1494" s="6"/>
      <c r="E1494" s="6"/>
      <c r="F1494" s="6"/>
      <c r="G1494" s="6"/>
      <c r="H1494" s="6"/>
      <c r="I1494" s="6"/>
      <c r="J1494" s="6"/>
      <c r="K1494" s="18"/>
      <c r="L1494" s="19" t="str">
        <f aca="false">IF(A1494="","",G1494*K1494)</f>
        <v/>
      </c>
      <c r="M1494" s="20"/>
      <c r="N1494" s="6"/>
      <c r="O1494" s="6"/>
      <c r="P1494" s="5" t="str">
        <f aca="false">IF(A1494="","",H1494/90)</f>
        <v/>
      </c>
      <c r="Q1494" s="5" t="str">
        <f aca="false">IF(A1494="","",IFERROR(INDEX(Parâmetros!$C$6:$C$10,MATCH(F1494,Parâmetros!$B$6:$B$10,0)),""))</f>
        <v/>
      </c>
      <c r="R1494" s="5" t="str">
        <f aca="false">IF(OR(A1494="",P1494="",Q1494=""),"",P1494*Q1494)</f>
        <v/>
      </c>
      <c r="S1494" s="5" t="str">
        <f aca="false">IF(R1494="","",MAX(0,R1494-G1494))</f>
        <v/>
      </c>
      <c r="T1494" s="21" t="str">
        <f aca="false">IF(S1494="","",S1494*K1494)</f>
        <v/>
      </c>
      <c r="U1494" s="5" t="str">
        <f aca="false">IF(A1494="","",IF(J1494&gt;Parâmetros!$C$14,"SIM","NAO"))</f>
        <v/>
      </c>
      <c r="V1494" s="5" t="str">
        <f aca="false">IF(B1494="","",TRIM(LEFT(B1494,IFERROR(FIND(" ",B1494)-1,LEN(B1494)))))</f>
        <v/>
      </c>
      <c r="W1494" s="22"/>
      <c r="X1494" s="5" t="str">
        <f aca="false">IF(A1494="","",IF(W1494&lt;&gt;"",W1494,V1494))</f>
        <v/>
      </c>
      <c r="Y1494" s="5" t="str">
        <f aca="false">IF(A1494="","",IF(COUNTIFS($X$2:$X$2001,X1494,$D$2:$D$2001,"&lt;&gt;"&amp;D1494,$C$2:$C$2001,C1494)&gt;0,"SIM","NAO"))</f>
        <v/>
      </c>
      <c r="Z1494" s="5" t="str">
        <f aca="false">IF(A1494="","",IF(J1494="","",IFERROR(360/J1494,"")))</f>
        <v/>
      </c>
      <c r="AA1494" s="5" t="str">
        <f aca="false">IF(A1494="","",IF(H1494=0,"Parado (sem venda 90d)",IF(Z1494&gt;12,"Alto (&gt;12x/ano)",IF(Z1494&gt;=4,"Medio (4-12x/ano)","Baixo (&lt;4x/ano)"))))</f>
        <v/>
      </c>
    </row>
    <row r="1495" customFormat="false" ht="15" hidden="false" customHeight="true" outlineLevel="0" collapsed="false">
      <c r="A1495" s="6"/>
      <c r="B1495" s="6"/>
      <c r="C1495" s="6"/>
      <c r="D1495" s="6"/>
      <c r="E1495" s="6"/>
      <c r="F1495" s="6"/>
      <c r="G1495" s="6"/>
      <c r="H1495" s="6"/>
      <c r="I1495" s="6"/>
      <c r="J1495" s="6"/>
      <c r="K1495" s="18"/>
      <c r="L1495" s="19" t="str">
        <f aca="false">IF(A1495="","",G1495*K1495)</f>
        <v/>
      </c>
      <c r="M1495" s="20"/>
      <c r="N1495" s="6"/>
      <c r="O1495" s="6"/>
      <c r="P1495" s="5" t="str">
        <f aca="false">IF(A1495="","",H1495/90)</f>
        <v/>
      </c>
      <c r="Q1495" s="5" t="str">
        <f aca="false">IF(A1495="","",IFERROR(INDEX(Parâmetros!$C$6:$C$10,MATCH(F1495,Parâmetros!$B$6:$B$10,0)),""))</f>
        <v/>
      </c>
      <c r="R1495" s="5" t="str">
        <f aca="false">IF(OR(A1495="",P1495="",Q1495=""),"",P1495*Q1495)</f>
        <v/>
      </c>
      <c r="S1495" s="5" t="str">
        <f aca="false">IF(R1495="","",MAX(0,R1495-G1495))</f>
        <v/>
      </c>
      <c r="T1495" s="21" t="str">
        <f aca="false">IF(S1495="","",S1495*K1495)</f>
        <v/>
      </c>
      <c r="U1495" s="5" t="str">
        <f aca="false">IF(A1495="","",IF(J1495&gt;Parâmetros!$C$14,"SIM","NAO"))</f>
        <v/>
      </c>
      <c r="V1495" s="5" t="str">
        <f aca="false">IF(B1495="","",TRIM(LEFT(B1495,IFERROR(FIND(" ",B1495)-1,LEN(B1495)))))</f>
        <v/>
      </c>
      <c r="W1495" s="22"/>
      <c r="X1495" s="5" t="str">
        <f aca="false">IF(A1495="","",IF(W1495&lt;&gt;"",W1495,V1495))</f>
        <v/>
      </c>
      <c r="Y1495" s="5" t="str">
        <f aca="false">IF(A1495="","",IF(COUNTIFS($X$2:$X$2001,X1495,$D$2:$D$2001,"&lt;&gt;"&amp;D1495,$C$2:$C$2001,C1495)&gt;0,"SIM","NAO"))</f>
        <v/>
      </c>
      <c r="Z1495" s="5" t="str">
        <f aca="false">IF(A1495="","",IF(J1495="","",IFERROR(360/J1495,"")))</f>
        <v/>
      </c>
      <c r="AA1495" s="5" t="str">
        <f aca="false">IF(A1495="","",IF(H1495=0,"Parado (sem venda 90d)",IF(Z1495&gt;12,"Alto (&gt;12x/ano)",IF(Z1495&gt;=4,"Medio (4-12x/ano)","Baixo (&lt;4x/ano)"))))</f>
        <v/>
      </c>
    </row>
    <row r="1496" customFormat="false" ht="15" hidden="false" customHeight="true" outlineLevel="0" collapsed="false">
      <c r="A1496" s="6"/>
      <c r="B1496" s="6"/>
      <c r="C1496" s="6"/>
      <c r="D1496" s="6"/>
      <c r="E1496" s="6"/>
      <c r="F1496" s="6"/>
      <c r="G1496" s="6"/>
      <c r="H1496" s="6"/>
      <c r="I1496" s="6"/>
      <c r="J1496" s="6"/>
      <c r="K1496" s="18"/>
      <c r="L1496" s="19" t="str">
        <f aca="false">IF(A1496="","",G1496*K1496)</f>
        <v/>
      </c>
      <c r="M1496" s="20"/>
      <c r="N1496" s="6"/>
      <c r="O1496" s="6"/>
      <c r="P1496" s="5" t="str">
        <f aca="false">IF(A1496="","",H1496/90)</f>
        <v/>
      </c>
      <c r="Q1496" s="5" t="str">
        <f aca="false">IF(A1496="","",IFERROR(INDEX(Parâmetros!$C$6:$C$10,MATCH(F1496,Parâmetros!$B$6:$B$10,0)),""))</f>
        <v/>
      </c>
      <c r="R1496" s="5" t="str">
        <f aca="false">IF(OR(A1496="",P1496="",Q1496=""),"",P1496*Q1496)</f>
        <v/>
      </c>
      <c r="S1496" s="5" t="str">
        <f aca="false">IF(R1496="","",MAX(0,R1496-G1496))</f>
        <v/>
      </c>
      <c r="T1496" s="21" t="str">
        <f aca="false">IF(S1496="","",S1496*K1496)</f>
        <v/>
      </c>
      <c r="U1496" s="5" t="str">
        <f aca="false">IF(A1496="","",IF(J1496&gt;Parâmetros!$C$14,"SIM","NAO"))</f>
        <v/>
      </c>
      <c r="V1496" s="5" t="str">
        <f aca="false">IF(B1496="","",TRIM(LEFT(B1496,IFERROR(FIND(" ",B1496)-1,LEN(B1496)))))</f>
        <v/>
      </c>
      <c r="W1496" s="22"/>
      <c r="X1496" s="5" t="str">
        <f aca="false">IF(A1496="","",IF(W1496&lt;&gt;"",W1496,V1496))</f>
        <v/>
      </c>
      <c r="Y1496" s="5" t="str">
        <f aca="false">IF(A1496="","",IF(COUNTIFS($X$2:$X$2001,X1496,$D$2:$D$2001,"&lt;&gt;"&amp;D1496,$C$2:$C$2001,C1496)&gt;0,"SIM","NAO"))</f>
        <v/>
      </c>
      <c r="Z1496" s="5" t="str">
        <f aca="false">IF(A1496="","",IF(J1496="","",IFERROR(360/J1496,"")))</f>
        <v/>
      </c>
      <c r="AA1496" s="5" t="str">
        <f aca="false">IF(A1496="","",IF(H1496=0,"Parado (sem venda 90d)",IF(Z1496&gt;12,"Alto (&gt;12x/ano)",IF(Z1496&gt;=4,"Medio (4-12x/ano)","Baixo (&lt;4x/ano)"))))</f>
        <v/>
      </c>
    </row>
    <row r="1497" customFormat="false" ht="15" hidden="false" customHeight="true" outlineLevel="0" collapsed="false">
      <c r="A1497" s="6"/>
      <c r="B1497" s="6"/>
      <c r="C1497" s="6"/>
      <c r="D1497" s="6"/>
      <c r="E1497" s="6"/>
      <c r="F1497" s="6"/>
      <c r="G1497" s="6"/>
      <c r="H1497" s="6"/>
      <c r="I1497" s="6"/>
      <c r="J1497" s="6"/>
      <c r="K1497" s="18"/>
      <c r="L1497" s="19" t="str">
        <f aca="false">IF(A1497="","",G1497*K1497)</f>
        <v/>
      </c>
      <c r="M1497" s="20"/>
      <c r="N1497" s="6"/>
      <c r="O1497" s="6"/>
      <c r="P1497" s="5" t="str">
        <f aca="false">IF(A1497="","",H1497/90)</f>
        <v/>
      </c>
      <c r="Q1497" s="5" t="str">
        <f aca="false">IF(A1497="","",IFERROR(INDEX(Parâmetros!$C$6:$C$10,MATCH(F1497,Parâmetros!$B$6:$B$10,0)),""))</f>
        <v/>
      </c>
      <c r="R1497" s="5" t="str">
        <f aca="false">IF(OR(A1497="",P1497="",Q1497=""),"",P1497*Q1497)</f>
        <v/>
      </c>
      <c r="S1497" s="5" t="str">
        <f aca="false">IF(R1497="","",MAX(0,R1497-G1497))</f>
        <v/>
      </c>
      <c r="T1497" s="21" t="str">
        <f aca="false">IF(S1497="","",S1497*K1497)</f>
        <v/>
      </c>
      <c r="U1497" s="5" t="str">
        <f aca="false">IF(A1497="","",IF(J1497&gt;Parâmetros!$C$14,"SIM","NAO"))</f>
        <v/>
      </c>
      <c r="V1497" s="5" t="str">
        <f aca="false">IF(B1497="","",TRIM(LEFT(B1497,IFERROR(FIND(" ",B1497)-1,LEN(B1497)))))</f>
        <v/>
      </c>
      <c r="W1497" s="22"/>
      <c r="X1497" s="5" t="str">
        <f aca="false">IF(A1497="","",IF(W1497&lt;&gt;"",W1497,V1497))</f>
        <v/>
      </c>
      <c r="Y1497" s="5" t="str">
        <f aca="false">IF(A1497="","",IF(COUNTIFS($X$2:$X$2001,X1497,$D$2:$D$2001,"&lt;&gt;"&amp;D1497,$C$2:$C$2001,C1497)&gt;0,"SIM","NAO"))</f>
        <v/>
      </c>
      <c r="Z1497" s="5" t="str">
        <f aca="false">IF(A1497="","",IF(J1497="","",IFERROR(360/J1497,"")))</f>
        <v/>
      </c>
      <c r="AA1497" s="5" t="str">
        <f aca="false">IF(A1497="","",IF(H1497=0,"Parado (sem venda 90d)",IF(Z1497&gt;12,"Alto (&gt;12x/ano)",IF(Z1497&gt;=4,"Medio (4-12x/ano)","Baixo (&lt;4x/ano)"))))</f>
        <v/>
      </c>
    </row>
    <row r="1498" customFormat="false" ht="15" hidden="false" customHeight="true" outlineLevel="0" collapsed="false">
      <c r="A1498" s="6"/>
      <c r="B1498" s="6"/>
      <c r="C1498" s="6"/>
      <c r="D1498" s="6"/>
      <c r="E1498" s="6"/>
      <c r="F1498" s="6"/>
      <c r="G1498" s="6"/>
      <c r="H1498" s="6"/>
      <c r="I1498" s="6"/>
      <c r="J1498" s="6"/>
      <c r="K1498" s="18"/>
      <c r="L1498" s="19" t="str">
        <f aca="false">IF(A1498="","",G1498*K1498)</f>
        <v/>
      </c>
      <c r="M1498" s="20"/>
      <c r="N1498" s="6"/>
      <c r="O1498" s="6"/>
      <c r="P1498" s="5" t="str">
        <f aca="false">IF(A1498="","",H1498/90)</f>
        <v/>
      </c>
      <c r="Q1498" s="5" t="str">
        <f aca="false">IF(A1498="","",IFERROR(INDEX(Parâmetros!$C$6:$C$10,MATCH(F1498,Parâmetros!$B$6:$B$10,0)),""))</f>
        <v/>
      </c>
      <c r="R1498" s="5" t="str">
        <f aca="false">IF(OR(A1498="",P1498="",Q1498=""),"",P1498*Q1498)</f>
        <v/>
      </c>
      <c r="S1498" s="5" t="str">
        <f aca="false">IF(R1498="","",MAX(0,R1498-G1498))</f>
        <v/>
      </c>
      <c r="T1498" s="21" t="str">
        <f aca="false">IF(S1498="","",S1498*K1498)</f>
        <v/>
      </c>
      <c r="U1498" s="5" t="str">
        <f aca="false">IF(A1498="","",IF(J1498&gt;Parâmetros!$C$14,"SIM","NAO"))</f>
        <v/>
      </c>
      <c r="V1498" s="5" t="str">
        <f aca="false">IF(B1498="","",TRIM(LEFT(B1498,IFERROR(FIND(" ",B1498)-1,LEN(B1498)))))</f>
        <v/>
      </c>
      <c r="W1498" s="22"/>
      <c r="X1498" s="5" t="str">
        <f aca="false">IF(A1498="","",IF(W1498&lt;&gt;"",W1498,V1498))</f>
        <v/>
      </c>
      <c r="Y1498" s="5" t="str">
        <f aca="false">IF(A1498="","",IF(COUNTIFS($X$2:$X$2001,X1498,$D$2:$D$2001,"&lt;&gt;"&amp;D1498,$C$2:$C$2001,C1498)&gt;0,"SIM","NAO"))</f>
        <v/>
      </c>
      <c r="Z1498" s="5" t="str">
        <f aca="false">IF(A1498="","",IF(J1498="","",IFERROR(360/J1498,"")))</f>
        <v/>
      </c>
      <c r="AA1498" s="5" t="str">
        <f aca="false">IF(A1498="","",IF(H1498=0,"Parado (sem venda 90d)",IF(Z1498&gt;12,"Alto (&gt;12x/ano)",IF(Z1498&gt;=4,"Medio (4-12x/ano)","Baixo (&lt;4x/ano)"))))</f>
        <v/>
      </c>
    </row>
    <row r="1499" customFormat="false" ht="15" hidden="false" customHeight="true" outlineLevel="0" collapsed="false">
      <c r="A1499" s="6"/>
      <c r="B1499" s="6"/>
      <c r="C1499" s="6"/>
      <c r="D1499" s="6"/>
      <c r="E1499" s="6"/>
      <c r="F1499" s="6"/>
      <c r="G1499" s="6"/>
      <c r="H1499" s="6"/>
      <c r="I1499" s="6"/>
      <c r="J1499" s="6"/>
      <c r="K1499" s="18"/>
      <c r="L1499" s="19" t="str">
        <f aca="false">IF(A1499="","",G1499*K1499)</f>
        <v/>
      </c>
      <c r="M1499" s="20"/>
      <c r="N1499" s="6"/>
      <c r="O1499" s="6"/>
      <c r="P1499" s="5" t="str">
        <f aca="false">IF(A1499="","",H1499/90)</f>
        <v/>
      </c>
      <c r="Q1499" s="5" t="str">
        <f aca="false">IF(A1499="","",IFERROR(INDEX(Parâmetros!$C$6:$C$10,MATCH(F1499,Parâmetros!$B$6:$B$10,0)),""))</f>
        <v/>
      </c>
      <c r="R1499" s="5" t="str">
        <f aca="false">IF(OR(A1499="",P1499="",Q1499=""),"",P1499*Q1499)</f>
        <v/>
      </c>
      <c r="S1499" s="5" t="str">
        <f aca="false">IF(R1499="","",MAX(0,R1499-G1499))</f>
        <v/>
      </c>
      <c r="T1499" s="21" t="str">
        <f aca="false">IF(S1499="","",S1499*K1499)</f>
        <v/>
      </c>
      <c r="U1499" s="5" t="str">
        <f aca="false">IF(A1499="","",IF(J1499&gt;Parâmetros!$C$14,"SIM","NAO"))</f>
        <v/>
      </c>
      <c r="V1499" s="5" t="str">
        <f aca="false">IF(B1499="","",TRIM(LEFT(B1499,IFERROR(FIND(" ",B1499)-1,LEN(B1499)))))</f>
        <v/>
      </c>
      <c r="W1499" s="22"/>
      <c r="X1499" s="5" t="str">
        <f aca="false">IF(A1499="","",IF(W1499&lt;&gt;"",W1499,V1499))</f>
        <v/>
      </c>
      <c r="Y1499" s="5" t="str">
        <f aca="false">IF(A1499="","",IF(COUNTIFS($X$2:$X$2001,X1499,$D$2:$D$2001,"&lt;&gt;"&amp;D1499,$C$2:$C$2001,C1499)&gt;0,"SIM","NAO"))</f>
        <v/>
      </c>
      <c r="Z1499" s="5" t="str">
        <f aca="false">IF(A1499="","",IF(J1499="","",IFERROR(360/J1499,"")))</f>
        <v/>
      </c>
      <c r="AA1499" s="5" t="str">
        <f aca="false">IF(A1499="","",IF(H1499=0,"Parado (sem venda 90d)",IF(Z1499&gt;12,"Alto (&gt;12x/ano)",IF(Z1499&gt;=4,"Medio (4-12x/ano)","Baixo (&lt;4x/ano)"))))</f>
        <v/>
      </c>
    </row>
    <row r="1500" customFormat="false" ht="15" hidden="false" customHeight="true" outlineLevel="0" collapsed="false">
      <c r="A1500" s="6"/>
      <c r="B1500" s="6"/>
      <c r="C1500" s="6"/>
      <c r="D1500" s="6"/>
      <c r="E1500" s="6"/>
      <c r="F1500" s="6"/>
      <c r="G1500" s="6"/>
      <c r="H1500" s="6"/>
      <c r="I1500" s="6"/>
      <c r="J1500" s="6"/>
      <c r="K1500" s="18"/>
      <c r="L1500" s="19" t="str">
        <f aca="false">IF(A1500="","",G1500*K1500)</f>
        <v/>
      </c>
      <c r="M1500" s="20"/>
      <c r="N1500" s="6"/>
      <c r="O1500" s="6"/>
      <c r="P1500" s="5" t="str">
        <f aca="false">IF(A1500="","",H1500/90)</f>
        <v/>
      </c>
      <c r="Q1500" s="5" t="str">
        <f aca="false">IF(A1500="","",IFERROR(INDEX(Parâmetros!$C$6:$C$10,MATCH(F1500,Parâmetros!$B$6:$B$10,0)),""))</f>
        <v/>
      </c>
      <c r="R1500" s="5" t="str">
        <f aca="false">IF(OR(A1500="",P1500="",Q1500=""),"",P1500*Q1500)</f>
        <v/>
      </c>
      <c r="S1500" s="5" t="str">
        <f aca="false">IF(R1500="","",MAX(0,R1500-G1500))</f>
        <v/>
      </c>
      <c r="T1500" s="21" t="str">
        <f aca="false">IF(S1500="","",S1500*K1500)</f>
        <v/>
      </c>
      <c r="U1500" s="5" t="str">
        <f aca="false">IF(A1500="","",IF(J1500&gt;Parâmetros!$C$14,"SIM","NAO"))</f>
        <v/>
      </c>
      <c r="V1500" s="5" t="str">
        <f aca="false">IF(B1500="","",TRIM(LEFT(B1500,IFERROR(FIND(" ",B1500)-1,LEN(B1500)))))</f>
        <v/>
      </c>
      <c r="W1500" s="22"/>
      <c r="X1500" s="5" t="str">
        <f aca="false">IF(A1500="","",IF(W1500&lt;&gt;"",W1500,V1500))</f>
        <v/>
      </c>
      <c r="Y1500" s="5" t="str">
        <f aca="false">IF(A1500="","",IF(COUNTIFS($X$2:$X$2001,X1500,$D$2:$D$2001,"&lt;&gt;"&amp;D1500,$C$2:$C$2001,C1500)&gt;0,"SIM","NAO"))</f>
        <v/>
      </c>
      <c r="Z1500" s="5" t="str">
        <f aca="false">IF(A1500="","",IF(J1500="","",IFERROR(360/J1500,"")))</f>
        <v/>
      </c>
      <c r="AA1500" s="5" t="str">
        <f aca="false">IF(A1500="","",IF(H1500=0,"Parado (sem venda 90d)",IF(Z1500&gt;12,"Alto (&gt;12x/ano)",IF(Z1500&gt;=4,"Medio (4-12x/ano)","Baixo (&lt;4x/ano)"))))</f>
        <v/>
      </c>
    </row>
    <row r="1501" customFormat="false" ht="15" hidden="false" customHeight="true" outlineLevel="0" collapsed="false">
      <c r="A1501" s="6"/>
      <c r="B1501" s="6"/>
      <c r="C1501" s="6"/>
      <c r="D1501" s="6"/>
      <c r="E1501" s="6"/>
      <c r="F1501" s="6"/>
      <c r="G1501" s="6"/>
      <c r="H1501" s="6"/>
      <c r="I1501" s="6"/>
      <c r="J1501" s="6"/>
      <c r="K1501" s="18"/>
      <c r="L1501" s="19" t="str">
        <f aca="false">IF(A1501="","",G1501*K1501)</f>
        <v/>
      </c>
      <c r="M1501" s="20"/>
      <c r="N1501" s="6"/>
      <c r="O1501" s="6"/>
      <c r="P1501" s="5" t="str">
        <f aca="false">IF(A1501="","",H1501/90)</f>
        <v/>
      </c>
      <c r="Q1501" s="5" t="str">
        <f aca="false">IF(A1501="","",IFERROR(INDEX(Parâmetros!$C$6:$C$10,MATCH(F1501,Parâmetros!$B$6:$B$10,0)),""))</f>
        <v/>
      </c>
      <c r="R1501" s="5" t="str">
        <f aca="false">IF(OR(A1501="",P1501="",Q1501=""),"",P1501*Q1501)</f>
        <v/>
      </c>
      <c r="S1501" s="5" t="str">
        <f aca="false">IF(R1501="","",MAX(0,R1501-G1501))</f>
        <v/>
      </c>
      <c r="T1501" s="21" t="str">
        <f aca="false">IF(S1501="","",S1501*K1501)</f>
        <v/>
      </c>
      <c r="U1501" s="5" t="str">
        <f aca="false">IF(A1501="","",IF(J1501&gt;Parâmetros!$C$14,"SIM","NAO"))</f>
        <v/>
      </c>
      <c r="V1501" s="5" t="str">
        <f aca="false">IF(B1501="","",TRIM(LEFT(B1501,IFERROR(FIND(" ",B1501)-1,LEN(B1501)))))</f>
        <v/>
      </c>
      <c r="W1501" s="22"/>
      <c r="X1501" s="5" t="str">
        <f aca="false">IF(A1501="","",IF(W1501&lt;&gt;"",W1501,V1501))</f>
        <v/>
      </c>
      <c r="Y1501" s="5" t="str">
        <f aca="false">IF(A1501="","",IF(COUNTIFS($X$2:$X$2001,X1501,$D$2:$D$2001,"&lt;&gt;"&amp;D1501,$C$2:$C$2001,C1501)&gt;0,"SIM","NAO"))</f>
        <v/>
      </c>
      <c r="Z1501" s="5" t="str">
        <f aca="false">IF(A1501="","",IF(J1501="","",IFERROR(360/J1501,"")))</f>
        <v/>
      </c>
      <c r="AA1501" s="5" t="str">
        <f aca="false">IF(A1501="","",IF(H1501=0,"Parado (sem venda 90d)",IF(Z1501&gt;12,"Alto (&gt;12x/ano)",IF(Z1501&gt;=4,"Medio (4-12x/ano)","Baixo (&lt;4x/ano)"))))</f>
        <v/>
      </c>
    </row>
    <row r="1502" customFormat="false" ht="15" hidden="false" customHeight="true" outlineLevel="0" collapsed="false">
      <c r="A1502" s="6"/>
      <c r="B1502" s="6"/>
      <c r="C1502" s="6"/>
      <c r="D1502" s="6"/>
      <c r="E1502" s="6"/>
      <c r="F1502" s="6"/>
      <c r="G1502" s="6"/>
      <c r="H1502" s="6"/>
      <c r="I1502" s="6"/>
      <c r="J1502" s="6"/>
      <c r="K1502" s="18"/>
      <c r="L1502" s="19" t="str">
        <f aca="false">IF(A1502="","",G1502*K1502)</f>
        <v/>
      </c>
      <c r="M1502" s="20"/>
      <c r="N1502" s="6"/>
      <c r="O1502" s="6"/>
      <c r="P1502" s="5" t="str">
        <f aca="false">IF(A1502="","",H1502/90)</f>
        <v/>
      </c>
      <c r="Q1502" s="5" t="str">
        <f aca="false">IF(A1502="","",IFERROR(INDEX(Parâmetros!$C$6:$C$10,MATCH(F1502,Parâmetros!$B$6:$B$10,0)),""))</f>
        <v/>
      </c>
      <c r="R1502" s="5" t="str">
        <f aca="false">IF(OR(A1502="",P1502="",Q1502=""),"",P1502*Q1502)</f>
        <v/>
      </c>
      <c r="S1502" s="5" t="str">
        <f aca="false">IF(R1502="","",MAX(0,R1502-G1502))</f>
        <v/>
      </c>
      <c r="T1502" s="21" t="str">
        <f aca="false">IF(S1502="","",S1502*K1502)</f>
        <v/>
      </c>
      <c r="U1502" s="5" t="str">
        <f aca="false">IF(A1502="","",IF(J1502&gt;Parâmetros!$C$14,"SIM","NAO"))</f>
        <v/>
      </c>
      <c r="V1502" s="5" t="str">
        <f aca="false">IF(B1502="","",TRIM(LEFT(B1502,IFERROR(FIND(" ",B1502)-1,LEN(B1502)))))</f>
        <v/>
      </c>
      <c r="W1502" s="22"/>
      <c r="X1502" s="5" t="str">
        <f aca="false">IF(A1502="","",IF(W1502&lt;&gt;"",W1502,V1502))</f>
        <v/>
      </c>
      <c r="Y1502" s="5" t="str">
        <f aca="false">IF(A1502="","",IF(COUNTIFS($X$2:$X$2001,X1502,$D$2:$D$2001,"&lt;&gt;"&amp;D1502,$C$2:$C$2001,C1502)&gt;0,"SIM","NAO"))</f>
        <v/>
      </c>
      <c r="Z1502" s="5" t="str">
        <f aca="false">IF(A1502="","",IF(J1502="","",IFERROR(360/J1502,"")))</f>
        <v/>
      </c>
      <c r="AA1502" s="5" t="str">
        <f aca="false">IF(A1502="","",IF(H1502=0,"Parado (sem venda 90d)",IF(Z1502&gt;12,"Alto (&gt;12x/ano)",IF(Z1502&gt;=4,"Medio (4-12x/ano)","Baixo (&lt;4x/ano)"))))</f>
        <v/>
      </c>
    </row>
    <row r="1503" customFormat="false" ht="15" hidden="false" customHeight="true" outlineLevel="0" collapsed="false">
      <c r="A1503" s="6"/>
      <c r="B1503" s="6"/>
      <c r="C1503" s="6"/>
      <c r="D1503" s="6"/>
      <c r="E1503" s="6"/>
      <c r="F1503" s="6"/>
      <c r="G1503" s="6"/>
      <c r="H1503" s="6"/>
      <c r="I1503" s="6"/>
      <c r="J1503" s="6"/>
      <c r="K1503" s="18"/>
      <c r="L1503" s="19" t="str">
        <f aca="false">IF(A1503="","",G1503*K1503)</f>
        <v/>
      </c>
      <c r="M1503" s="20"/>
      <c r="N1503" s="6"/>
      <c r="O1503" s="6"/>
      <c r="P1503" s="5" t="str">
        <f aca="false">IF(A1503="","",H1503/90)</f>
        <v/>
      </c>
      <c r="Q1503" s="5" t="str">
        <f aca="false">IF(A1503="","",IFERROR(INDEX(Parâmetros!$C$6:$C$10,MATCH(F1503,Parâmetros!$B$6:$B$10,0)),""))</f>
        <v/>
      </c>
      <c r="R1503" s="5" t="str">
        <f aca="false">IF(OR(A1503="",P1503="",Q1503=""),"",P1503*Q1503)</f>
        <v/>
      </c>
      <c r="S1503" s="5" t="str">
        <f aca="false">IF(R1503="","",MAX(0,R1503-G1503))</f>
        <v/>
      </c>
      <c r="T1503" s="21" t="str">
        <f aca="false">IF(S1503="","",S1503*K1503)</f>
        <v/>
      </c>
      <c r="U1503" s="5" t="str">
        <f aca="false">IF(A1503="","",IF(J1503&gt;Parâmetros!$C$14,"SIM","NAO"))</f>
        <v/>
      </c>
      <c r="V1503" s="5" t="str">
        <f aca="false">IF(B1503="","",TRIM(LEFT(B1503,IFERROR(FIND(" ",B1503)-1,LEN(B1503)))))</f>
        <v/>
      </c>
      <c r="W1503" s="22"/>
      <c r="X1503" s="5" t="str">
        <f aca="false">IF(A1503="","",IF(W1503&lt;&gt;"",W1503,V1503))</f>
        <v/>
      </c>
      <c r="Y1503" s="5" t="str">
        <f aca="false">IF(A1503="","",IF(COUNTIFS($X$2:$X$2001,X1503,$D$2:$D$2001,"&lt;&gt;"&amp;D1503,$C$2:$C$2001,C1503)&gt;0,"SIM","NAO"))</f>
        <v/>
      </c>
      <c r="Z1503" s="5" t="str">
        <f aca="false">IF(A1503="","",IF(J1503="","",IFERROR(360/J1503,"")))</f>
        <v/>
      </c>
      <c r="AA1503" s="5" t="str">
        <f aca="false">IF(A1503="","",IF(H1503=0,"Parado (sem venda 90d)",IF(Z1503&gt;12,"Alto (&gt;12x/ano)",IF(Z1503&gt;=4,"Medio (4-12x/ano)","Baixo (&lt;4x/ano)"))))</f>
        <v/>
      </c>
    </row>
    <row r="1504" customFormat="false" ht="15" hidden="false" customHeight="true" outlineLevel="0" collapsed="false">
      <c r="A1504" s="6"/>
      <c r="B1504" s="6"/>
      <c r="C1504" s="6"/>
      <c r="D1504" s="6"/>
      <c r="E1504" s="6"/>
      <c r="F1504" s="6"/>
      <c r="G1504" s="6"/>
      <c r="H1504" s="6"/>
      <c r="I1504" s="6"/>
      <c r="J1504" s="6"/>
      <c r="K1504" s="18"/>
      <c r="L1504" s="19" t="str">
        <f aca="false">IF(A1504="","",G1504*K1504)</f>
        <v/>
      </c>
      <c r="M1504" s="20"/>
      <c r="N1504" s="6"/>
      <c r="O1504" s="6"/>
      <c r="P1504" s="5" t="str">
        <f aca="false">IF(A1504="","",H1504/90)</f>
        <v/>
      </c>
      <c r="Q1504" s="5" t="str">
        <f aca="false">IF(A1504="","",IFERROR(INDEX(Parâmetros!$C$6:$C$10,MATCH(F1504,Parâmetros!$B$6:$B$10,0)),""))</f>
        <v/>
      </c>
      <c r="R1504" s="5" t="str">
        <f aca="false">IF(OR(A1504="",P1504="",Q1504=""),"",P1504*Q1504)</f>
        <v/>
      </c>
      <c r="S1504" s="5" t="str">
        <f aca="false">IF(R1504="","",MAX(0,R1504-G1504))</f>
        <v/>
      </c>
      <c r="T1504" s="21" t="str">
        <f aca="false">IF(S1504="","",S1504*K1504)</f>
        <v/>
      </c>
      <c r="U1504" s="5" t="str">
        <f aca="false">IF(A1504="","",IF(J1504&gt;Parâmetros!$C$14,"SIM","NAO"))</f>
        <v/>
      </c>
      <c r="V1504" s="5" t="str">
        <f aca="false">IF(B1504="","",TRIM(LEFT(B1504,IFERROR(FIND(" ",B1504)-1,LEN(B1504)))))</f>
        <v/>
      </c>
      <c r="W1504" s="22"/>
      <c r="X1504" s="5" t="str">
        <f aca="false">IF(A1504="","",IF(W1504&lt;&gt;"",W1504,V1504))</f>
        <v/>
      </c>
      <c r="Y1504" s="5" t="str">
        <f aca="false">IF(A1504="","",IF(COUNTIFS($X$2:$X$2001,X1504,$D$2:$D$2001,"&lt;&gt;"&amp;D1504,$C$2:$C$2001,C1504)&gt;0,"SIM","NAO"))</f>
        <v/>
      </c>
      <c r="Z1504" s="5" t="str">
        <f aca="false">IF(A1504="","",IF(J1504="","",IFERROR(360/J1504,"")))</f>
        <v/>
      </c>
      <c r="AA1504" s="5" t="str">
        <f aca="false">IF(A1504="","",IF(H1504=0,"Parado (sem venda 90d)",IF(Z1504&gt;12,"Alto (&gt;12x/ano)",IF(Z1504&gt;=4,"Medio (4-12x/ano)","Baixo (&lt;4x/ano)"))))</f>
        <v/>
      </c>
    </row>
    <row r="1505" customFormat="false" ht="15" hidden="false" customHeight="true" outlineLevel="0" collapsed="false">
      <c r="A1505" s="6"/>
      <c r="B1505" s="6"/>
      <c r="C1505" s="6"/>
      <c r="D1505" s="6"/>
      <c r="E1505" s="6"/>
      <c r="F1505" s="6"/>
      <c r="G1505" s="6"/>
      <c r="H1505" s="6"/>
      <c r="I1505" s="6"/>
      <c r="J1505" s="6"/>
      <c r="K1505" s="18"/>
      <c r="L1505" s="19" t="str">
        <f aca="false">IF(A1505="","",G1505*K1505)</f>
        <v/>
      </c>
      <c r="M1505" s="20"/>
      <c r="N1505" s="6"/>
      <c r="O1505" s="6"/>
      <c r="P1505" s="5" t="str">
        <f aca="false">IF(A1505="","",H1505/90)</f>
        <v/>
      </c>
      <c r="Q1505" s="5" t="str">
        <f aca="false">IF(A1505="","",IFERROR(INDEX(Parâmetros!$C$6:$C$10,MATCH(F1505,Parâmetros!$B$6:$B$10,0)),""))</f>
        <v/>
      </c>
      <c r="R1505" s="5" t="str">
        <f aca="false">IF(OR(A1505="",P1505="",Q1505=""),"",P1505*Q1505)</f>
        <v/>
      </c>
      <c r="S1505" s="5" t="str">
        <f aca="false">IF(R1505="","",MAX(0,R1505-G1505))</f>
        <v/>
      </c>
      <c r="T1505" s="21" t="str">
        <f aca="false">IF(S1505="","",S1505*K1505)</f>
        <v/>
      </c>
      <c r="U1505" s="5" t="str">
        <f aca="false">IF(A1505="","",IF(J1505&gt;Parâmetros!$C$14,"SIM","NAO"))</f>
        <v/>
      </c>
      <c r="V1505" s="5" t="str">
        <f aca="false">IF(B1505="","",TRIM(LEFT(B1505,IFERROR(FIND(" ",B1505)-1,LEN(B1505)))))</f>
        <v/>
      </c>
      <c r="W1505" s="22"/>
      <c r="X1505" s="5" t="str">
        <f aca="false">IF(A1505="","",IF(W1505&lt;&gt;"",W1505,V1505))</f>
        <v/>
      </c>
      <c r="Y1505" s="5" t="str">
        <f aca="false">IF(A1505="","",IF(COUNTIFS($X$2:$X$2001,X1505,$D$2:$D$2001,"&lt;&gt;"&amp;D1505,$C$2:$C$2001,C1505)&gt;0,"SIM","NAO"))</f>
        <v/>
      </c>
      <c r="Z1505" s="5" t="str">
        <f aca="false">IF(A1505="","",IF(J1505="","",IFERROR(360/J1505,"")))</f>
        <v/>
      </c>
      <c r="AA1505" s="5" t="str">
        <f aca="false">IF(A1505="","",IF(H1505=0,"Parado (sem venda 90d)",IF(Z1505&gt;12,"Alto (&gt;12x/ano)",IF(Z1505&gt;=4,"Medio (4-12x/ano)","Baixo (&lt;4x/ano)"))))</f>
        <v/>
      </c>
    </row>
    <row r="1506" customFormat="false" ht="15" hidden="false" customHeight="true" outlineLevel="0" collapsed="false">
      <c r="A1506" s="6"/>
      <c r="B1506" s="6"/>
      <c r="C1506" s="6"/>
      <c r="D1506" s="6"/>
      <c r="E1506" s="6"/>
      <c r="F1506" s="6"/>
      <c r="G1506" s="6"/>
      <c r="H1506" s="6"/>
      <c r="I1506" s="6"/>
      <c r="J1506" s="6"/>
      <c r="K1506" s="18"/>
      <c r="L1506" s="19" t="str">
        <f aca="false">IF(A1506="","",G1506*K1506)</f>
        <v/>
      </c>
      <c r="M1506" s="20"/>
      <c r="N1506" s="6"/>
      <c r="O1506" s="6"/>
      <c r="P1506" s="5" t="str">
        <f aca="false">IF(A1506="","",H1506/90)</f>
        <v/>
      </c>
      <c r="Q1506" s="5" t="str">
        <f aca="false">IF(A1506="","",IFERROR(INDEX(Parâmetros!$C$6:$C$10,MATCH(F1506,Parâmetros!$B$6:$B$10,0)),""))</f>
        <v/>
      </c>
      <c r="R1506" s="5" t="str">
        <f aca="false">IF(OR(A1506="",P1506="",Q1506=""),"",P1506*Q1506)</f>
        <v/>
      </c>
      <c r="S1506" s="5" t="str">
        <f aca="false">IF(R1506="","",MAX(0,R1506-G1506))</f>
        <v/>
      </c>
      <c r="T1506" s="21" t="str">
        <f aca="false">IF(S1506="","",S1506*K1506)</f>
        <v/>
      </c>
      <c r="U1506" s="5" t="str">
        <f aca="false">IF(A1506="","",IF(J1506&gt;Parâmetros!$C$14,"SIM","NAO"))</f>
        <v/>
      </c>
      <c r="V1506" s="5" t="str">
        <f aca="false">IF(B1506="","",TRIM(LEFT(B1506,IFERROR(FIND(" ",B1506)-1,LEN(B1506)))))</f>
        <v/>
      </c>
      <c r="W1506" s="22"/>
      <c r="X1506" s="5" t="str">
        <f aca="false">IF(A1506="","",IF(W1506&lt;&gt;"",W1506,V1506))</f>
        <v/>
      </c>
      <c r="Y1506" s="5" t="str">
        <f aca="false">IF(A1506="","",IF(COUNTIFS($X$2:$X$2001,X1506,$D$2:$D$2001,"&lt;&gt;"&amp;D1506,$C$2:$C$2001,C1506)&gt;0,"SIM","NAO"))</f>
        <v/>
      </c>
      <c r="Z1506" s="5" t="str">
        <f aca="false">IF(A1506="","",IF(J1506="","",IFERROR(360/J1506,"")))</f>
        <v/>
      </c>
      <c r="AA1506" s="5" t="str">
        <f aca="false">IF(A1506="","",IF(H1506=0,"Parado (sem venda 90d)",IF(Z1506&gt;12,"Alto (&gt;12x/ano)",IF(Z1506&gt;=4,"Medio (4-12x/ano)","Baixo (&lt;4x/ano)"))))</f>
        <v/>
      </c>
    </row>
    <row r="1507" customFormat="false" ht="15" hidden="false" customHeight="true" outlineLevel="0" collapsed="false">
      <c r="A1507" s="6"/>
      <c r="B1507" s="6"/>
      <c r="C1507" s="6"/>
      <c r="D1507" s="6"/>
      <c r="E1507" s="6"/>
      <c r="F1507" s="6"/>
      <c r="G1507" s="6"/>
      <c r="H1507" s="6"/>
      <c r="I1507" s="6"/>
      <c r="J1507" s="6"/>
      <c r="K1507" s="18"/>
      <c r="L1507" s="19" t="str">
        <f aca="false">IF(A1507="","",G1507*K1507)</f>
        <v/>
      </c>
      <c r="M1507" s="20"/>
      <c r="N1507" s="6"/>
      <c r="O1507" s="6"/>
      <c r="P1507" s="5" t="str">
        <f aca="false">IF(A1507="","",H1507/90)</f>
        <v/>
      </c>
      <c r="Q1507" s="5" t="str">
        <f aca="false">IF(A1507="","",IFERROR(INDEX(Parâmetros!$C$6:$C$10,MATCH(F1507,Parâmetros!$B$6:$B$10,0)),""))</f>
        <v/>
      </c>
      <c r="R1507" s="5" t="str">
        <f aca="false">IF(OR(A1507="",P1507="",Q1507=""),"",P1507*Q1507)</f>
        <v/>
      </c>
      <c r="S1507" s="5" t="str">
        <f aca="false">IF(R1507="","",MAX(0,R1507-G1507))</f>
        <v/>
      </c>
      <c r="T1507" s="21" t="str">
        <f aca="false">IF(S1507="","",S1507*K1507)</f>
        <v/>
      </c>
      <c r="U1507" s="5" t="str">
        <f aca="false">IF(A1507="","",IF(J1507&gt;Parâmetros!$C$14,"SIM","NAO"))</f>
        <v/>
      </c>
      <c r="V1507" s="5" t="str">
        <f aca="false">IF(B1507="","",TRIM(LEFT(B1507,IFERROR(FIND(" ",B1507)-1,LEN(B1507)))))</f>
        <v/>
      </c>
      <c r="W1507" s="22"/>
      <c r="X1507" s="5" t="str">
        <f aca="false">IF(A1507="","",IF(W1507&lt;&gt;"",W1507,V1507))</f>
        <v/>
      </c>
      <c r="Y1507" s="5" t="str">
        <f aca="false">IF(A1507="","",IF(COUNTIFS($X$2:$X$2001,X1507,$D$2:$D$2001,"&lt;&gt;"&amp;D1507,$C$2:$C$2001,C1507)&gt;0,"SIM","NAO"))</f>
        <v/>
      </c>
      <c r="Z1507" s="5" t="str">
        <f aca="false">IF(A1507="","",IF(J1507="","",IFERROR(360/J1507,"")))</f>
        <v/>
      </c>
      <c r="AA1507" s="5" t="str">
        <f aca="false">IF(A1507="","",IF(H1507=0,"Parado (sem venda 90d)",IF(Z1507&gt;12,"Alto (&gt;12x/ano)",IF(Z1507&gt;=4,"Medio (4-12x/ano)","Baixo (&lt;4x/ano)"))))</f>
        <v/>
      </c>
    </row>
    <row r="1508" customFormat="false" ht="15" hidden="false" customHeight="true" outlineLevel="0" collapsed="false">
      <c r="A1508" s="6"/>
      <c r="B1508" s="6"/>
      <c r="C1508" s="6"/>
      <c r="D1508" s="6"/>
      <c r="E1508" s="6"/>
      <c r="F1508" s="6"/>
      <c r="G1508" s="6"/>
      <c r="H1508" s="6"/>
      <c r="I1508" s="6"/>
      <c r="J1508" s="6"/>
      <c r="K1508" s="18"/>
      <c r="L1508" s="19" t="str">
        <f aca="false">IF(A1508="","",G1508*K1508)</f>
        <v/>
      </c>
      <c r="M1508" s="20"/>
      <c r="N1508" s="6"/>
      <c r="O1508" s="6"/>
      <c r="P1508" s="5" t="str">
        <f aca="false">IF(A1508="","",H1508/90)</f>
        <v/>
      </c>
      <c r="Q1508" s="5" t="str">
        <f aca="false">IF(A1508="","",IFERROR(INDEX(Parâmetros!$C$6:$C$10,MATCH(F1508,Parâmetros!$B$6:$B$10,0)),""))</f>
        <v/>
      </c>
      <c r="R1508" s="5" t="str">
        <f aca="false">IF(OR(A1508="",P1508="",Q1508=""),"",P1508*Q1508)</f>
        <v/>
      </c>
      <c r="S1508" s="5" t="str">
        <f aca="false">IF(R1508="","",MAX(0,R1508-G1508))</f>
        <v/>
      </c>
      <c r="T1508" s="21" t="str">
        <f aca="false">IF(S1508="","",S1508*K1508)</f>
        <v/>
      </c>
      <c r="U1508" s="5" t="str">
        <f aca="false">IF(A1508="","",IF(J1508&gt;Parâmetros!$C$14,"SIM","NAO"))</f>
        <v/>
      </c>
      <c r="V1508" s="5" t="str">
        <f aca="false">IF(B1508="","",TRIM(LEFT(B1508,IFERROR(FIND(" ",B1508)-1,LEN(B1508)))))</f>
        <v/>
      </c>
      <c r="W1508" s="22"/>
      <c r="X1508" s="5" t="str">
        <f aca="false">IF(A1508="","",IF(W1508&lt;&gt;"",W1508,V1508))</f>
        <v/>
      </c>
      <c r="Y1508" s="5" t="str">
        <f aca="false">IF(A1508="","",IF(COUNTIFS($X$2:$X$2001,X1508,$D$2:$D$2001,"&lt;&gt;"&amp;D1508,$C$2:$C$2001,C1508)&gt;0,"SIM","NAO"))</f>
        <v/>
      </c>
      <c r="Z1508" s="5" t="str">
        <f aca="false">IF(A1508="","",IF(J1508="","",IFERROR(360/J1508,"")))</f>
        <v/>
      </c>
      <c r="AA1508" s="5" t="str">
        <f aca="false">IF(A1508="","",IF(H1508=0,"Parado (sem venda 90d)",IF(Z1508&gt;12,"Alto (&gt;12x/ano)",IF(Z1508&gt;=4,"Medio (4-12x/ano)","Baixo (&lt;4x/ano)"))))</f>
        <v/>
      </c>
    </row>
    <row r="1509" customFormat="false" ht="15" hidden="false" customHeight="true" outlineLevel="0" collapsed="false">
      <c r="A1509" s="6"/>
      <c r="B1509" s="6"/>
      <c r="C1509" s="6"/>
      <c r="D1509" s="6"/>
      <c r="E1509" s="6"/>
      <c r="F1509" s="6"/>
      <c r="G1509" s="6"/>
      <c r="H1509" s="6"/>
      <c r="I1509" s="6"/>
      <c r="J1509" s="6"/>
      <c r="K1509" s="18"/>
      <c r="L1509" s="19" t="str">
        <f aca="false">IF(A1509="","",G1509*K1509)</f>
        <v/>
      </c>
      <c r="M1509" s="20"/>
      <c r="N1509" s="6"/>
      <c r="O1509" s="6"/>
      <c r="P1509" s="5" t="str">
        <f aca="false">IF(A1509="","",H1509/90)</f>
        <v/>
      </c>
      <c r="Q1509" s="5" t="str">
        <f aca="false">IF(A1509="","",IFERROR(INDEX(Parâmetros!$C$6:$C$10,MATCH(F1509,Parâmetros!$B$6:$B$10,0)),""))</f>
        <v/>
      </c>
      <c r="R1509" s="5" t="str">
        <f aca="false">IF(OR(A1509="",P1509="",Q1509=""),"",P1509*Q1509)</f>
        <v/>
      </c>
      <c r="S1509" s="5" t="str">
        <f aca="false">IF(R1509="","",MAX(0,R1509-G1509))</f>
        <v/>
      </c>
      <c r="T1509" s="21" t="str">
        <f aca="false">IF(S1509="","",S1509*K1509)</f>
        <v/>
      </c>
      <c r="U1509" s="5" t="str">
        <f aca="false">IF(A1509="","",IF(J1509&gt;Parâmetros!$C$14,"SIM","NAO"))</f>
        <v/>
      </c>
      <c r="V1509" s="5" t="str">
        <f aca="false">IF(B1509="","",TRIM(LEFT(B1509,IFERROR(FIND(" ",B1509)-1,LEN(B1509)))))</f>
        <v/>
      </c>
      <c r="W1509" s="22"/>
      <c r="X1509" s="5" t="str">
        <f aca="false">IF(A1509="","",IF(W1509&lt;&gt;"",W1509,V1509))</f>
        <v/>
      </c>
      <c r="Y1509" s="5" t="str">
        <f aca="false">IF(A1509="","",IF(COUNTIFS($X$2:$X$2001,X1509,$D$2:$D$2001,"&lt;&gt;"&amp;D1509,$C$2:$C$2001,C1509)&gt;0,"SIM","NAO"))</f>
        <v/>
      </c>
      <c r="Z1509" s="5" t="str">
        <f aca="false">IF(A1509="","",IF(J1509="","",IFERROR(360/J1509,"")))</f>
        <v/>
      </c>
      <c r="AA1509" s="5" t="str">
        <f aca="false">IF(A1509="","",IF(H1509=0,"Parado (sem venda 90d)",IF(Z1509&gt;12,"Alto (&gt;12x/ano)",IF(Z1509&gt;=4,"Medio (4-12x/ano)","Baixo (&lt;4x/ano)"))))</f>
        <v/>
      </c>
    </row>
    <row r="1510" customFormat="false" ht="15" hidden="false" customHeight="true" outlineLevel="0" collapsed="false">
      <c r="A1510" s="6"/>
      <c r="B1510" s="6"/>
      <c r="C1510" s="6"/>
      <c r="D1510" s="6"/>
      <c r="E1510" s="6"/>
      <c r="F1510" s="6"/>
      <c r="G1510" s="6"/>
      <c r="H1510" s="6"/>
      <c r="I1510" s="6"/>
      <c r="J1510" s="6"/>
      <c r="K1510" s="18"/>
      <c r="L1510" s="19" t="str">
        <f aca="false">IF(A1510="","",G1510*K1510)</f>
        <v/>
      </c>
      <c r="M1510" s="20"/>
      <c r="N1510" s="6"/>
      <c r="O1510" s="6"/>
      <c r="P1510" s="5" t="str">
        <f aca="false">IF(A1510="","",H1510/90)</f>
        <v/>
      </c>
      <c r="Q1510" s="5" t="str">
        <f aca="false">IF(A1510="","",IFERROR(INDEX(Parâmetros!$C$6:$C$10,MATCH(F1510,Parâmetros!$B$6:$B$10,0)),""))</f>
        <v/>
      </c>
      <c r="R1510" s="5" t="str">
        <f aca="false">IF(OR(A1510="",P1510="",Q1510=""),"",P1510*Q1510)</f>
        <v/>
      </c>
      <c r="S1510" s="5" t="str">
        <f aca="false">IF(R1510="","",MAX(0,R1510-G1510))</f>
        <v/>
      </c>
      <c r="T1510" s="21" t="str">
        <f aca="false">IF(S1510="","",S1510*K1510)</f>
        <v/>
      </c>
      <c r="U1510" s="5" t="str">
        <f aca="false">IF(A1510="","",IF(J1510&gt;Parâmetros!$C$14,"SIM","NAO"))</f>
        <v/>
      </c>
      <c r="V1510" s="5" t="str">
        <f aca="false">IF(B1510="","",TRIM(LEFT(B1510,IFERROR(FIND(" ",B1510)-1,LEN(B1510)))))</f>
        <v/>
      </c>
      <c r="W1510" s="22"/>
      <c r="X1510" s="5" t="str">
        <f aca="false">IF(A1510="","",IF(W1510&lt;&gt;"",W1510,V1510))</f>
        <v/>
      </c>
      <c r="Y1510" s="5" t="str">
        <f aca="false">IF(A1510="","",IF(COUNTIFS($X$2:$X$2001,X1510,$D$2:$D$2001,"&lt;&gt;"&amp;D1510,$C$2:$C$2001,C1510)&gt;0,"SIM","NAO"))</f>
        <v/>
      </c>
      <c r="Z1510" s="5" t="str">
        <f aca="false">IF(A1510="","",IF(J1510="","",IFERROR(360/J1510,"")))</f>
        <v/>
      </c>
      <c r="AA1510" s="5" t="str">
        <f aca="false">IF(A1510="","",IF(H1510=0,"Parado (sem venda 90d)",IF(Z1510&gt;12,"Alto (&gt;12x/ano)",IF(Z1510&gt;=4,"Medio (4-12x/ano)","Baixo (&lt;4x/ano)"))))</f>
        <v/>
      </c>
    </row>
    <row r="1511" customFormat="false" ht="15" hidden="false" customHeight="true" outlineLevel="0" collapsed="false">
      <c r="A1511" s="6"/>
      <c r="B1511" s="6"/>
      <c r="C1511" s="6"/>
      <c r="D1511" s="6"/>
      <c r="E1511" s="6"/>
      <c r="F1511" s="6"/>
      <c r="G1511" s="6"/>
      <c r="H1511" s="6"/>
      <c r="I1511" s="6"/>
      <c r="J1511" s="6"/>
      <c r="K1511" s="18"/>
      <c r="L1511" s="19" t="str">
        <f aca="false">IF(A1511="","",G1511*K1511)</f>
        <v/>
      </c>
      <c r="M1511" s="20"/>
      <c r="N1511" s="6"/>
      <c r="O1511" s="6"/>
      <c r="P1511" s="5" t="str">
        <f aca="false">IF(A1511="","",H1511/90)</f>
        <v/>
      </c>
      <c r="Q1511" s="5" t="str">
        <f aca="false">IF(A1511="","",IFERROR(INDEX(Parâmetros!$C$6:$C$10,MATCH(F1511,Parâmetros!$B$6:$B$10,0)),""))</f>
        <v/>
      </c>
      <c r="R1511" s="5" t="str">
        <f aca="false">IF(OR(A1511="",P1511="",Q1511=""),"",P1511*Q1511)</f>
        <v/>
      </c>
      <c r="S1511" s="5" t="str">
        <f aca="false">IF(R1511="","",MAX(0,R1511-G1511))</f>
        <v/>
      </c>
      <c r="T1511" s="21" t="str">
        <f aca="false">IF(S1511="","",S1511*K1511)</f>
        <v/>
      </c>
      <c r="U1511" s="5" t="str">
        <f aca="false">IF(A1511="","",IF(J1511&gt;Parâmetros!$C$14,"SIM","NAO"))</f>
        <v/>
      </c>
      <c r="V1511" s="5" t="str">
        <f aca="false">IF(B1511="","",TRIM(LEFT(B1511,IFERROR(FIND(" ",B1511)-1,LEN(B1511)))))</f>
        <v/>
      </c>
      <c r="W1511" s="22"/>
      <c r="X1511" s="5" t="str">
        <f aca="false">IF(A1511="","",IF(W1511&lt;&gt;"",W1511,V1511))</f>
        <v/>
      </c>
      <c r="Y1511" s="5" t="str">
        <f aca="false">IF(A1511="","",IF(COUNTIFS($X$2:$X$2001,X1511,$D$2:$D$2001,"&lt;&gt;"&amp;D1511,$C$2:$C$2001,C1511)&gt;0,"SIM","NAO"))</f>
        <v/>
      </c>
      <c r="Z1511" s="5" t="str">
        <f aca="false">IF(A1511="","",IF(J1511="","",IFERROR(360/J1511,"")))</f>
        <v/>
      </c>
      <c r="AA1511" s="5" t="str">
        <f aca="false">IF(A1511="","",IF(H1511=0,"Parado (sem venda 90d)",IF(Z1511&gt;12,"Alto (&gt;12x/ano)",IF(Z1511&gt;=4,"Medio (4-12x/ano)","Baixo (&lt;4x/ano)"))))</f>
        <v/>
      </c>
    </row>
    <row r="1512" customFormat="false" ht="15" hidden="false" customHeight="true" outlineLevel="0" collapsed="false">
      <c r="A1512" s="6"/>
      <c r="B1512" s="6"/>
      <c r="C1512" s="6"/>
      <c r="D1512" s="6"/>
      <c r="E1512" s="6"/>
      <c r="F1512" s="6"/>
      <c r="G1512" s="6"/>
      <c r="H1512" s="6"/>
      <c r="I1512" s="6"/>
      <c r="J1512" s="6"/>
      <c r="K1512" s="18"/>
      <c r="L1512" s="19" t="str">
        <f aca="false">IF(A1512="","",G1512*K1512)</f>
        <v/>
      </c>
      <c r="M1512" s="20"/>
      <c r="N1512" s="6"/>
      <c r="O1512" s="6"/>
      <c r="P1512" s="5" t="str">
        <f aca="false">IF(A1512="","",H1512/90)</f>
        <v/>
      </c>
      <c r="Q1512" s="5" t="str">
        <f aca="false">IF(A1512="","",IFERROR(INDEX(Parâmetros!$C$6:$C$10,MATCH(F1512,Parâmetros!$B$6:$B$10,0)),""))</f>
        <v/>
      </c>
      <c r="R1512" s="5" t="str">
        <f aca="false">IF(OR(A1512="",P1512="",Q1512=""),"",P1512*Q1512)</f>
        <v/>
      </c>
      <c r="S1512" s="5" t="str">
        <f aca="false">IF(R1512="","",MAX(0,R1512-G1512))</f>
        <v/>
      </c>
      <c r="T1512" s="21" t="str">
        <f aca="false">IF(S1512="","",S1512*K1512)</f>
        <v/>
      </c>
      <c r="U1512" s="5" t="str">
        <f aca="false">IF(A1512="","",IF(J1512&gt;Parâmetros!$C$14,"SIM","NAO"))</f>
        <v/>
      </c>
      <c r="V1512" s="5" t="str">
        <f aca="false">IF(B1512="","",TRIM(LEFT(B1512,IFERROR(FIND(" ",B1512)-1,LEN(B1512)))))</f>
        <v/>
      </c>
      <c r="W1512" s="22"/>
      <c r="X1512" s="5" t="str">
        <f aca="false">IF(A1512="","",IF(W1512&lt;&gt;"",W1512,V1512))</f>
        <v/>
      </c>
      <c r="Y1512" s="5" t="str">
        <f aca="false">IF(A1512="","",IF(COUNTIFS($X$2:$X$2001,X1512,$D$2:$D$2001,"&lt;&gt;"&amp;D1512,$C$2:$C$2001,C1512)&gt;0,"SIM","NAO"))</f>
        <v/>
      </c>
      <c r="Z1512" s="5" t="str">
        <f aca="false">IF(A1512="","",IF(J1512="","",IFERROR(360/J1512,"")))</f>
        <v/>
      </c>
      <c r="AA1512" s="5" t="str">
        <f aca="false">IF(A1512="","",IF(H1512=0,"Parado (sem venda 90d)",IF(Z1512&gt;12,"Alto (&gt;12x/ano)",IF(Z1512&gt;=4,"Medio (4-12x/ano)","Baixo (&lt;4x/ano)"))))</f>
        <v/>
      </c>
    </row>
    <row r="1513" customFormat="false" ht="15" hidden="false" customHeight="true" outlineLevel="0" collapsed="false">
      <c r="A1513" s="6"/>
      <c r="B1513" s="6"/>
      <c r="C1513" s="6"/>
      <c r="D1513" s="6"/>
      <c r="E1513" s="6"/>
      <c r="F1513" s="6"/>
      <c r="G1513" s="6"/>
      <c r="H1513" s="6"/>
      <c r="I1513" s="6"/>
      <c r="J1513" s="6"/>
      <c r="K1513" s="18"/>
      <c r="L1513" s="19" t="str">
        <f aca="false">IF(A1513="","",G1513*K1513)</f>
        <v/>
      </c>
      <c r="M1513" s="20"/>
      <c r="N1513" s="6"/>
      <c r="O1513" s="6"/>
      <c r="P1513" s="5" t="str">
        <f aca="false">IF(A1513="","",H1513/90)</f>
        <v/>
      </c>
      <c r="Q1513" s="5" t="str">
        <f aca="false">IF(A1513="","",IFERROR(INDEX(Parâmetros!$C$6:$C$10,MATCH(F1513,Parâmetros!$B$6:$B$10,0)),""))</f>
        <v/>
      </c>
      <c r="R1513" s="5" t="str">
        <f aca="false">IF(OR(A1513="",P1513="",Q1513=""),"",P1513*Q1513)</f>
        <v/>
      </c>
      <c r="S1513" s="5" t="str">
        <f aca="false">IF(R1513="","",MAX(0,R1513-G1513))</f>
        <v/>
      </c>
      <c r="T1513" s="21" t="str">
        <f aca="false">IF(S1513="","",S1513*K1513)</f>
        <v/>
      </c>
      <c r="U1513" s="5" t="str">
        <f aca="false">IF(A1513="","",IF(J1513&gt;Parâmetros!$C$14,"SIM","NAO"))</f>
        <v/>
      </c>
      <c r="V1513" s="5" t="str">
        <f aca="false">IF(B1513="","",TRIM(LEFT(B1513,IFERROR(FIND(" ",B1513)-1,LEN(B1513)))))</f>
        <v/>
      </c>
      <c r="W1513" s="22"/>
      <c r="X1513" s="5" t="str">
        <f aca="false">IF(A1513="","",IF(W1513&lt;&gt;"",W1513,V1513))</f>
        <v/>
      </c>
      <c r="Y1513" s="5" t="str">
        <f aca="false">IF(A1513="","",IF(COUNTIFS($X$2:$X$2001,X1513,$D$2:$D$2001,"&lt;&gt;"&amp;D1513,$C$2:$C$2001,C1513)&gt;0,"SIM","NAO"))</f>
        <v/>
      </c>
      <c r="Z1513" s="5" t="str">
        <f aca="false">IF(A1513="","",IF(J1513="","",IFERROR(360/J1513,"")))</f>
        <v/>
      </c>
      <c r="AA1513" s="5" t="str">
        <f aca="false">IF(A1513="","",IF(H1513=0,"Parado (sem venda 90d)",IF(Z1513&gt;12,"Alto (&gt;12x/ano)",IF(Z1513&gt;=4,"Medio (4-12x/ano)","Baixo (&lt;4x/ano)"))))</f>
        <v/>
      </c>
    </row>
    <row r="1514" customFormat="false" ht="15" hidden="false" customHeight="true" outlineLevel="0" collapsed="false">
      <c r="A1514" s="6"/>
      <c r="B1514" s="6"/>
      <c r="C1514" s="6"/>
      <c r="D1514" s="6"/>
      <c r="E1514" s="6"/>
      <c r="F1514" s="6"/>
      <c r="G1514" s="6"/>
      <c r="H1514" s="6"/>
      <c r="I1514" s="6"/>
      <c r="J1514" s="6"/>
      <c r="K1514" s="18"/>
      <c r="L1514" s="19" t="str">
        <f aca="false">IF(A1514="","",G1514*K1514)</f>
        <v/>
      </c>
      <c r="M1514" s="20"/>
      <c r="N1514" s="6"/>
      <c r="O1514" s="6"/>
      <c r="P1514" s="5" t="str">
        <f aca="false">IF(A1514="","",H1514/90)</f>
        <v/>
      </c>
      <c r="Q1514" s="5" t="str">
        <f aca="false">IF(A1514="","",IFERROR(INDEX(Parâmetros!$C$6:$C$10,MATCH(F1514,Parâmetros!$B$6:$B$10,0)),""))</f>
        <v/>
      </c>
      <c r="R1514" s="5" t="str">
        <f aca="false">IF(OR(A1514="",P1514="",Q1514=""),"",P1514*Q1514)</f>
        <v/>
      </c>
      <c r="S1514" s="5" t="str">
        <f aca="false">IF(R1514="","",MAX(0,R1514-G1514))</f>
        <v/>
      </c>
      <c r="T1514" s="21" t="str">
        <f aca="false">IF(S1514="","",S1514*K1514)</f>
        <v/>
      </c>
      <c r="U1514" s="5" t="str">
        <f aca="false">IF(A1514="","",IF(J1514&gt;Parâmetros!$C$14,"SIM","NAO"))</f>
        <v/>
      </c>
      <c r="V1514" s="5" t="str">
        <f aca="false">IF(B1514="","",TRIM(LEFT(B1514,IFERROR(FIND(" ",B1514)-1,LEN(B1514)))))</f>
        <v/>
      </c>
      <c r="W1514" s="22"/>
      <c r="X1514" s="5" t="str">
        <f aca="false">IF(A1514="","",IF(W1514&lt;&gt;"",W1514,V1514))</f>
        <v/>
      </c>
      <c r="Y1514" s="5" t="str">
        <f aca="false">IF(A1514="","",IF(COUNTIFS($X$2:$X$2001,X1514,$D$2:$D$2001,"&lt;&gt;"&amp;D1514,$C$2:$C$2001,C1514)&gt;0,"SIM","NAO"))</f>
        <v/>
      </c>
      <c r="Z1514" s="5" t="str">
        <f aca="false">IF(A1514="","",IF(J1514="","",IFERROR(360/J1514,"")))</f>
        <v/>
      </c>
      <c r="AA1514" s="5" t="str">
        <f aca="false">IF(A1514="","",IF(H1514=0,"Parado (sem venda 90d)",IF(Z1514&gt;12,"Alto (&gt;12x/ano)",IF(Z1514&gt;=4,"Medio (4-12x/ano)","Baixo (&lt;4x/ano)"))))</f>
        <v/>
      </c>
    </row>
    <row r="1515" customFormat="false" ht="15" hidden="false" customHeight="true" outlineLevel="0" collapsed="false">
      <c r="A1515" s="6"/>
      <c r="B1515" s="6"/>
      <c r="C1515" s="6"/>
      <c r="D1515" s="6"/>
      <c r="E1515" s="6"/>
      <c r="F1515" s="6"/>
      <c r="G1515" s="6"/>
      <c r="H1515" s="6"/>
      <c r="I1515" s="6"/>
      <c r="J1515" s="6"/>
      <c r="K1515" s="18"/>
      <c r="L1515" s="19" t="str">
        <f aca="false">IF(A1515="","",G1515*K1515)</f>
        <v/>
      </c>
      <c r="M1515" s="20"/>
      <c r="N1515" s="6"/>
      <c r="O1515" s="6"/>
      <c r="P1515" s="5" t="str">
        <f aca="false">IF(A1515="","",H1515/90)</f>
        <v/>
      </c>
      <c r="Q1515" s="5" t="str">
        <f aca="false">IF(A1515="","",IFERROR(INDEX(Parâmetros!$C$6:$C$10,MATCH(F1515,Parâmetros!$B$6:$B$10,0)),""))</f>
        <v/>
      </c>
      <c r="R1515" s="5" t="str">
        <f aca="false">IF(OR(A1515="",P1515="",Q1515=""),"",P1515*Q1515)</f>
        <v/>
      </c>
      <c r="S1515" s="5" t="str">
        <f aca="false">IF(R1515="","",MAX(0,R1515-G1515))</f>
        <v/>
      </c>
      <c r="T1515" s="21" t="str">
        <f aca="false">IF(S1515="","",S1515*K1515)</f>
        <v/>
      </c>
      <c r="U1515" s="5" t="str">
        <f aca="false">IF(A1515="","",IF(J1515&gt;Parâmetros!$C$14,"SIM","NAO"))</f>
        <v/>
      </c>
      <c r="V1515" s="5" t="str">
        <f aca="false">IF(B1515="","",TRIM(LEFT(B1515,IFERROR(FIND(" ",B1515)-1,LEN(B1515)))))</f>
        <v/>
      </c>
      <c r="W1515" s="22"/>
      <c r="X1515" s="5" t="str">
        <f aca="false">IF(A1515="","",IF(W1515&lt;&gt;"",W1515,V1515))</f>
        <v/>
      </c>
      <c r="Y1515" s="5" t="str">
        <f aca="false">IF(A1515="","",IF(COUNTIFS($X$2:$X$2001,X1515,$D$2:$D$2001,"&lt;&gt;"&amp;D1515,$C$2:$C$2001,C1515)&gt;0,"SIM","NAO"))</f>
        <v/>
      </c>
      <c r="Z1515" s="5" t="str">
        <f aca="false">IF(A1515="","",IF(J1515="","",IFERROR(360/J1515,"")))</f>
        <v/>
      </c>
      <c r="AA1515" s="5" t="str">
        <f aca="false">IF(A1515="","",IF(H1515=0,"Parado (sem venda 90d)",IF(Z1515&gt;12,"Alto (&gt;12x/ano)",IF(Z1515&gt;=4,"Medio (4-12x/ano)","Baixo (&lt;4x/ano)"))))</f>
        <v/>
      </c>
    </row>
    <row r="1516" customFormat="false" ht="15" hidden="false" customHeight="true" outlineLevel="0" collapsed="false">
      <c r="A1516" s="6"/>
      <c r="B1516" s="6"/>
      <c r="C1516" s="6"/>
      <c r="D1516" s="6"/>
      <c r="E1516" s="6"/>
      <c r="F1516" s="6"/>
      <c r="G1516" s="6"/>
      <c r="H1516" s="6"/>
      <c r="I1516" s="6"/>
      <c r="J1516" s="6"/>
      <c r="K1516" s="18"/>
      <c r="L1516" s="19" t="str">
        <f aca="false">IF(A1516="","",G1516*K1516)</f>
        <v/>
      </c>
      <c r="M1516" s="20"/>
      <c r="N1516" s="6"/>
      <c r="O1516" s="6"/>
      <c r="P1516" s="5" t="str">
        <f aca="false">IF(A1516="","",H1516/90)</f>
        <v/>
      </c>
      <c r="Q1516" s="5" t="str">
        <f aca="false">IF(A1516="","",IFERROR(INDEX(Parâmetros!$C$6:$C$10,MATCH(F1516,Parâmetros!$B$6:$B$10,0)),""))</f>
        <v/>
      </c>
      <c r="R1516" s="5" t="str">
        <f aca="false">IF(OR(A1516="",P1516="",Q1516=""),"",P1516*Q1516)</f>
        <v/>
      </c>
      <c r="S1516" s="5" t="str">
        <f aca="false">IF(R1516="","",MAX(0,R1516-G1516))</f>
        <v/>
      </c>
      <c r="T1516" s="21" t="str">
        <f aca="false">IF(S1516="","",S1516*K1516)</f>
        <v/>
      </c>
      <c r="U1516" s="5" t="str">
        <f aca="false">IF(A1516="","",IF(J1516&gt;Parâmetros!$C$14,"SIM","NAO"))</f>
        <v/>
      </c>
      <c r="V1516" s="5" t="str">
        <f aca="false">IF(B1516="","",TRIM(LEFT(B1516,IFERROR(FIND(" ",B1516)-1,LEN(B1516)))))</f>
        <v/>
      </c>
      <c r="W1516" s="22"/>
      <c r="X1516" s="5" t="str">
        <f aca="false">IF(A1516="","",IF(W1516&lt;&gt;"",W1516,V1516))</f>
        <v/>
      </c>
      <c r="Y1516" s="5" t="str">
        <f aca="false">IF(A1516="","",IF(COUNTIFS($X$2:$X$2001,X1516,$D$2:$D$2001,"&lt;&gt;"&amp;D1516,$C$2:$C$2001,C1516)&gt;0,"SIM","NAO"))</f>
        <v/>
      </c>
      <c r="Z1516" s="5" t="str">
        <f aca="false">IF(A1516="","",IF(J1516="","",IFERROR(360/J1516,"")))</f>
        <v/>
      </c>
      <c r="AA1516" s="5" t="str">
        <f aca="false">IF(A1516="","",IF(H1516=0,"Parado (sem venda 90d)",IF(Z1516&gt;12,"Alto (&gt;12x/ano)",IF(Z1516&gt;=4,"Medio (4-12x/ano)","Baixo (&lt;4x/ano)"))))</f>
        <v/>
      </c>
    </row>
    <row r="1517" customFormat="false" ht="15" hidden="false" customHeight="true" outlineLevel="0" collapsed="false">
      <c r="A1517" s="6"/>
      <c r="B1517" s="6"/>
      <c r="C1517" s="6"/>
      <c r="D1517" s="6"/>
      <c r="E1517" s="6"/>
      <c r="F1517" s="6"/>
      <c r="G1517" s="6"/>
      <c r="H1517" s="6"/>
      <c r="I1517" s="6"/>
      <c r="J1517" s="6"/>
      <c r="K1517" s="18"/>
      <c r="L1517" s="19" t="str">
        <f aca="false">IF(A1517="","",G1517*K1517)</f>
        <v/>
      </c>
      <c r="M1517" s="20"/>
      <c r="N1517" s="6"/>
      <c r="O1517" s="6"/>
      <c r="P1517" s="5" t="str">
        <f aca="false">IF(A1517="","",H1517/90)</f>
        <v/>
      </c>
      <c r="Q1517" s="5" t="str">
        <f aca="false">IF(A1517="","",IFERROR(INDEX(Parâmetros!$C$6:$C$10,MATCH(F1517,Parâmetros!$B$6:$B$10,0)),""))</f>
        <v/>
      </c>
      <c r="R1517" s="5" t="str">
        <f aca="false">IF(OR(A1517="",P1517="",Q1517=""),"",P1517*Q1517)</f>
        <v/>
      </c>
      <c r="S1517" s="5" t="str">
        <f aca="false">IF(R1517="","",MAX(0,R1517-G1517))</f>
        <v/>
      </c>
      <c r="T1517" s="21" t="str">
        <f aca="false">IF(S1517="","",S1517*K1517)</f>
        <v/>
      </c>
      <c r="U1517" s="5" t="str">
        <f aca="false">IF(A1517="","",IF(J1517&gt;Parâmetros!$C$14,"SIM","NAO"))</f>
        <v/>
      </c>
      <c r="V1517" s="5" t="str">
        <f aca="false">IF(B1517="","",TRIM(LEFT(B1517,IFERROR(FIND(" ",B1517)-1,LEN(B1517)))))</f>
        <v/>
      </c>
      <c r="W1517" s="22"/>
      <c r="X1517" s="5" t="str">
        <f aca="false">IF(A1517="","",IF(W1517&lt;&gt;"",W1517,V1517))</f>
        <v/>
      </c>
      <c r="Y1517" s="5" t="str">
        <f aca="false">IF(A1517="","",IF(COUNTIFS($X$2:$X$2001,X1517,$D$2:$D$2001,"&lt;&gt;"&amp;D1517,$C$2:$C$2001,C1517)&gt;0,"SIM","NAO"))</f>
        <v/>
      </c>
      <c r="Z1517" s="5" t="str">
        <f aca="false">IF(A1517="","",IF(J1517="","",IFERROR(360/J1517,"")))</f>
        <v/>
      </c>
      <c r="AA1517" s="5" t="str">
        <f aca="false">IF(A1517="","",IF(H1517=0,"Parado (sem venda 90d)",IF(Z1517&gt;12,"Alto (&gt;12x/ano)",IF(Z1517&gt;=4,"Medio (4-12x/ano)","Baixo (&lt;4x/ano)"))))</f>
        <v/>
      </c>
    </row>
    <row r="1518" customFormat="false" ht="15" hidden="false" customHeight="true" outlineLevel="0" collapsed="false">
      <c r="A1518" s="6"/>
      <c r="B1518" s="6"/>
      <c r="C1518" s="6"/>
      <c r="D1518" s="6"/>
      <c r="E1518" s="6"/>
      <c r="F1518" s="6"/>
      <c r="G1518" s="6"/>
      <c r="H1518" s="6"/>
      <c r="I1518" s="6"/>
      <c r="J1518" s="6"/>
      <c r="K1518" s="18"/>
      <c r="L1518" s="19" t="str">
        <f aca="false">IF(A1518="","",G1518*K1518)</f>
        <v/>
      </c>
      <c r="M1518" s="20"/>
      <c r="N1518" s="6"/>
      <c r="O1518" s="6"/>
      <c r="P1518" s="5" t="str">
        <f aca="false">IF(A1518="","",H1518/90)</f>
        <v/>
      </c>
      <c r="Q1518" s="5" t="str">
        <f aca="false">IF(A1518="","",IFERROR(INDEX(Parâmetros!$C$6:$C$10,MATCH(F1518,Parâmetros!$B$6:$B$10,0)),""))</f>
        <v/>
      </c>
      <c r="R1518" s="5" t="str">
        <f aca="false">IF(OR(A1518="",P1518="",Q1518=""),"",P1518*Q1518)</f>
        <v/>
      </c>
      <c r="S1518" s="5" t="str">
        <f aca="false">IF(R1518="","",MAX(0,R1518-G1518))</f>
        <v/>
      </c>
      <c r="T1518" s="21" t="str">
        <f aca="false">IF(S1518="","",S1518*K1518)</f>
        <v/>
      </c>
      <c r="U1518" s="5" t="str">
        <f aca="false">IF(A1518="","",IF(J1518&gt;Parâmetros!$C$14,"SIM","NAO"))</f>
        <v/>
      </c>
      <c r="V1518" s="5" t="str">
        <f aca="false">IF(B1518="","",TRIM(LEFT(B1518,IFERROR(FIND(" ",B1518)-1,LEN(B1518)))))</f>
        <v/>
      </c>
      <c r="W1518" s="22"/>
      <c r="X1518" s="5" t="str">
        <f aca="false">IF(A1518="","",IF(W1518&lt;&gt;"",W1518,V1518))</f>
        <v/>
      </c>
      <c r="Y1518" s="5" t="str">
        <f aca="false">IF(A1518="","",IF(COUNTIFS($X$2:$X$2001,X1518,$D$2:$D$2001,"&lt;&gt;"&amp;D1518,$C$2:$C$2001,C1518)&gt;0,"SIM","NAO"))</f>
        <v/>
      </c>
      <c r="Z1518" s="5" t="str">
        <f aca="false">IF(A1518="","",IF(J1518="","",IFERROR(360/J1518,"")))</f>
        <v/>
      </c>
      <c r="AA1518" s="5" t="str">
        <f aca="false">IF(A1518="","",IF(H1518=0,"Parado (sem venda 90d)",IF(Z1518&gt;12,"Alto (&gt;12x/ano)",IF(Z1518&gt;=4,"Medio (4-12x/ano)","Baixo (&lt;4x/ano)"))))</f>
        <v/>
      </c>
    </row>
    <row r="1519" customFormat="false" ht="15" hidden="false" customHeight="true" outlineLevel="0" collapsed="false">
      <c r="A1519" s="6"/>
      <c r="B1519" s="6"/>
      <c r="C1519" s="6"/>
      <c r="D1519" s="6"/>
      <c r="E1519" s="6"/>
      <c r="F1519" s="6"/>
      <c r="G1519" s="6"/>
      <c r="H1519" s="6"/>
      <c r="I1519" s="6"/>
      <c r="J1519" s="6"/>
      <c r="K1519" s="18"/>
      <c r="L1519" s="19" t="str">
        <f aca="false">IF(A1519="","",G1519*K1519)</f>
        <v/>
      </c>
      <c r="M1519" s="20"/>
      <c r="N1519" s="6"/>
      <c r="O1519" s="6"/>
      <c r="P1519" s="5" t="str">
        <f aca="false">IF(A1519="","",H1519/90)</f>
        <v/>
      </c>
      <c r="Q1519" s="5" t="str">
        <f aca="false">IF(A1519="","",IFERROR(INDEX(Parâmetros!$C$6:$C$10,MATCH(F1519,Parâmetros!$B$6:$B$10,0)),""))</f>
        <v/>
      </c>
      <c r="R1519" s="5" t="str">
        <f aca="false">IF(OR(A1519="",P1519="",Q1519=""),"",P1519*Q1519)</f>
        <v/>
      </c>
      <c r="S1519" s="5" t="str">
        <f aca="false">IF(R1519="","",MAX(0,R1519-G1519))</f>
        <v/>
      </c>
      <c r="T1519" s="21" t="str">
        <f aca="false">IF(S1519="","",S1519*K1519)</f>
        <v/>
      </c>
      <c r="U1519" s="5" t="str">
        <f aca="false">IF(A1519="","",IF(J1519&gt;Parâmetros!$C$14,"SIM","NAO"))</f>
        <v/>
      </c>
      <c r="V1519" s="5" t="str">
        <f aca="false">IF(B1519="","",TRIM(LEFT(B1519,IFERROR(FIND(" ",B1519)-1,LEN(B1519)))))</f>
        <v/>
      </c>
      <c r="W1519" s="22"/>
      <c r="X1519" s="5" t="str">
        <f aca="false">IF(A1519="","",IF(W1519&lt;&gt;"",W1519,V1519))</f>
        <v/>
      </c>
      <c r="Y1519" s="5" t="str">
        <f aca="false">IF(A1519="","",IF(COUNTIFS($X$2:$X$2001,X1519,$D$2:$D$2001,"&lt;&gt;"&amp;D1519,$C$2:$C$2001,C1519)&gt;0,"SIM","NAO"))</f>
        <v/>
      </c>
      <c r="Z1519" s="5" t="str">
        <f aca="false">IF(A1519="","",IF(J1519="","",IFERROR(360/J1519,"")))</f>
        <v/>
      </c>
      <c r="AA1519" s="5" t="str">
        <f aca="false">IF(A1519="","",IF(H1519=0,"Parado (sem venda 90d)",IF(Z1519&gt;12,"Alto (&gt;12x/ano)",IF(Z1519&gt;=4,"Medio (4-12x/ano)","Baixo (&lt;4x/ano)"))))</f>
        <v/>
      </c>
    </row>
    <row r="1520" customFormat="false" ht="15" hidden="false" customHeight="true" outlineLevel="0" collapsed="false">
      <c r="A1520" s="6"/>
      <c r="B1520" s="6"/>
      <c r="C1520" s="6"/>
      <c r="D1520" s="6"/>
      <c r="E1520" s="6"/>
      <c r="F1520" s="6"/>
      <c r="G1520" s="6"/>
      <c r="H1520" s="6"/>
      <c r="I1520" s="6"/>
      <c r="J1520" s="6"/>
      <c r="K1520" s="18"/>
      <c r="L1520" s="19" t="str">
        <f aca="false">IF(A1520="","",G1520*K1520)</f>
        <v/>
      </c>
      <c r="M1520" s="20"/>
      <c r="N1520" s="6"/>
      <c r="O1520" s="6"/>
      <c r="P1520" s="5" t="str">
        <f aca="false">IF(A1520="","",H1520/90)</f>
        <v/>
      </c>
      <c r="Q1520" s="5" t="str">
        <f aca="false">IF(A1520="","",IFERROR(INDEX(Parâmetros!$C$6:$C$10,MATCH(F1520,Parâmetros!$B$6:$B$10,0)),""))</f>
        <v/>
      </c>
      <c r="R1520" s="5" t="str">
        <f aca="false">IF(OR(A1520="",P1520="",Q1520=""),"",P1520*Q1520)</f>
        <v/>
      </c>
      <c r="S1520" s="5" t="str">
        <f aca="false">IF(R1520="","",MAX(0,R1520-G1520))</f>
        <v/>
      </c>
      <c r="T1520" s="21" t="str">
        <f aca="false">IF(S1520="","",S1520*K1520)</f>
        <v/>
      </c>
      <c r="U1520" s="5" t="str">
        <f aca="false">IF(A1520="","",IF(J1520&gt;Parâmetros!$C$14,"SIM","NAO"))</f>
        <v/>
      </c>
      <c r="V1520" s="5" t="str">
        <f aca="false">IF(B1520="","",TRIM(LEFT(B1520,IFERROR(FIND(" ",B1520)-1,LEN(B1520)))))</f>
        <v/>
      </c>
      <c r="W1520" s="22"/>
      <c r="X1520" s="5" t="str">
        <f aca="false">IF(A1520="","",IF(W1520&lt;&gt;"",W1520,V1520))</f>
        <v/>
      </c>
      <c r="Y1520" s="5" t="str">
        <f aca="false">IF(A1520="","",IF(COUNTIFS($X$2:$X$2001,X1520,$D$2:$D$2001,"&lt;&gt;"&amp;D1520,$C$2:$C$2001,C1520)&gt;0,"SIM","NAO"))</f>
        <v/>
      </c>
      <c r="Z1520" s="5" t="str">
        <f aca="false">IF(A1520="","",IF(J1520="","",IFERROR(360/J1520,"")))</f>
        <v/>
      </c>
      <c r="AA1520" s="5" t="str">
        <f aca="false">IF(A1520="","",IF(H1520=0,"Parado (sem venda 90d)",IF(Z1520&gt;12,"Alto (&gt;12x/ano)",IF(Z1520&gt;=4,"Medio (4-12x/ano)","Baixo (&lt;4x/ano)"))))</f>
        <v/>
      </c>
    </row>
    <row r="1521" customFormat="false" ht="15" hidden="false" customHeight="true" outlineLevel="0" collapsed="false">
      <c r="A1521" s="6"/>
      <c r="B1521" s="6"/>
      <c r="C1521" s="6"/>
      <c r="D1521" s="6"/>
      <c r="E1521" s="6"/>
      <c r="F1521" s="6"/>
      <c r="G1521" s="6"/>
      <c r="H1521" s="6"/>
      <c r="I1521" s="6"/>
      <c r="J1521" s="6"/>
      <c r="K1521" s="18"/>
      <c r="L1521" s="19" t="str">
        <f aca="false">IF(A1521="","",G1521*K1521)</f>
        <v/>
      </c>
      <c r="M1521" s="20"/>
      <c r="N1521" s="6"/>
      <c r="O1521" s="6"/>
      <c r="P1521" s="5" t="str">
        <f aca="false">IF(A1521="","",H1521/90)</f>
        <v/>
      </c>
      <c r="Q1521" s="5" t="str">
        <f aca="false">IF(A1521="","",IFERROR(INDEX(Parâmetros!$C$6:$C$10,MATCH(F1521,Parâmetros!$B$6:$B$10,0)),""))</f>
        <v/>
      </c>
      <c r="R1521" s="5" t="str">
        <f aca="false">IF(OR(A1521="",P1521="",Q1521=""),"",P1521*Q1521)</f>
        <v/>
      </c>
      <c r="S1521" s="5" t="str">
        <f aca="false">IF(R1521="","",MAX(0,R1521-G1521))</f>
        <v/>
      </c>
      <c r="T1521" s="21" t="str">
        <f aca="false">IF(S1521="","",S1521*K1521)</f>
        <v/>
      </c>
      <c r="U1521" s="5" t="str">
        <f aca="false">IF(A1521="","",IF(J1521&gt;Parâmetros!$C$14,"SIM","NAO"))</f>
        <v/>
      </c>
      <c r="V1521" s="5" t="str">
        <f aca="false">IF(B1521="","",TRIM(LEFT(B1521,IFERROR(FIND(" ",B1521)-1,LEN(B1521)))))</f>
        <v/>
      </c>
      <c r="W1521" s="22"/>
      <c r="X1521" s="5" t="str">
        <f aca="false">IF(A1521="","",IF(W1521&lt;&gt;"",W1521,V1521))</f>
        <v/>
      </c>
      <c r="Y1521" s="5" t="str">
        <f aca="false">IF(A1521="","",IF(COUNTIFS($X$2:$X$2001,X1521,$D$2:$D$2001,"&lt;&gt;"&amp;D1521,$C$2:$C$2001,C1521)&gt;0,"SIM","NAO"))</f>
        <v/>
      </c>
      <c r="Z1521" s="5" t="str">
        <f aca="false">IF(A1521="","",IF(J1521="","",IFERROR(360/J1521,"")))</f>
        <v/>
      </c>
      <c r="AA1521" s="5" t="str">
        <f aca="false">IF(A1521="","",IF(H1521=0,"Parado (sem venda 90d)",IF(Z1521&gt;12,"Alto (&gt;12x/ano)",IF(Z1521&gt;=4,"Medio (4-12x/ano)","Baixo (&lt;4x/ano)"))))</f>
        <v/>
      </c>
    </row>
    <row r="1522" customFormat="false" ht="15" hidden="false" customHeight="true" outlineLevel="0" collapsed="false">
      <c r="A1522" s="6"/>
      <c r="B1522" s="6"/>
      <c r="C1522" s="6"/>
      <c r="D1522" s="6"/>
      <c r="E1522" s="6"/>
      <c r="F1522" s="6"/>
      <c r="G1522" s="6"/>
      <c r="H1522" s="6"/>
      <c r="I1522" s="6"/>
      <c r="J1522" s="6"/>
      <c r="K1522" s="18"/>
      <c r="L1522" s="19" t="str">
        <f aca="false">IF(A1522="","",G1522*K1522)</f>
        <v/>
      </c>
      <c r="M1522" s="20"/>
      <c r="N1522" s="6"/>
      <c r="O1522" s="6"/>
      <c r="P1522" s="5" t="str">
        <f aca="false">IF(A1522="","",H1522/90)</f>
        <v/>
      </c>
      <c r="Q1522" s="5" t="str">
        <f aca="false">IF(A1522="","",IFERROR(INDEX(Parâmetros!$C$6:$C$10,MATCH(F1522,Parâmetros!$B$6:$B$10,0)),""))</f>
        <v/>
      </c>
      <c r="R1522" s="5" t="str">
        <f aca="false">IF(OR(A1522="",P1522="",Q1522=""),"",P1522*Q1522)</f>
        <v/>
      </c>
      <c r="S1522" s="5" t="str">
        <f aca="false">IF(R1522="","",MAX(0,R1522-G1522))</f>
        <v/>
      </c>
      <c r="T1522" s="21" t="str">
        <f aca="false">IF(S1522="","",S1522*K1522)</f>
        <v/>
      </c>
      <c r="U1522" s="5" t="str">
        <f aca="false">IF(A1522="","",IF(J1522&gt;Parâmetros!$C$14,"SIM","NAO"))</f>
        <v/>
      </c>
      <c r="V1522" s="5" t="str">
        <f aca="false">IF(B1522="","",TRIM(LEFT(B1522,IFERROR(FIND(" ",B1522)-1,LEN(B1522)))))</f>
        <v/>
      </c>
      <c r="W1522" s="22"/>
      <c r="X1522" s="5" t="str">
        <f aca="false">IF(A1522="","",IF(W1522&lt;&gt;"",W1522,V1522))</f>
        <v/>
      </c>
      <c r="Y1522" s="5" t="str">
        <f aca="false">IF(A1522="","",IF(COUNTIFS($X$2:$X$2001,X1522,$D$2:$D$2001,"&lt;&gt;"&amp;D1522,$C$2:$C$2001,C1522)&gt;0,"SIM","NAO"))</f>
        <v/>
      </c>
      <c r="Z1522" s="5" t="str">
        <f aca="false">IF(A1522="","",IF(J1522="","",IFERROR(360/J1522,"")))</f>
        <v/>
      </c>
      <c r="AA1522" s="5" t="str">
        <f aca="false">IF(A1522="","",IF(H1522=0,"Parado (sem venda 90d)",IF(Z1522&gt;12,"Alto (&gt;12x/ano)",IF(Z1522&gt;=4,"Medio (4-12x/ano)","Baixo (&lt;4x/ano)"))))</f>
        <v/>
      </c>
    </row>
    <row r="1523" customFormat="false" ht="15" hidden="false" customHeight="true" outlineLevel="0" collapsed="false">
      <c r="A1523" s="6"/>
      <c r="B1523" s="6"/>
      <c r="C1523" s="6"/>
      <c r="D1523" s="6"/>
      <c r="E1523" s="6"/>
      <c r="F1523" s="6"/>
      <c r="G1523" s="6"/>
      <c r="H1523" s="6"/>
      <c r="I1523" s="6"/>
      <c r="J1523" s="6"/>
      <c r="K1523" s="18"/>
      <c r="L1523" s="19" t="str">
        <f aca="false">IF(A1523="","",G1523*K1523)</f>
        <v/>
      </c>
      <c r="M1523" s="20"/>
      <c r="N1523" s="6"/>
      <c r="O1523" s="6"/>
      <c r="P1523" s="5" t="str">
        <f aca="false">IF(A1523="","",H1523/90)</f>
        <v/>
      </c>
      <c r="Q1523" s="5" t="str">
        <f aca="false">IF(A1523="","",IFERROR(INDEX(Parâmetros!$C$6:$C$10,MATCH(F1523,Parâmetros!$B$6:$B$10,0)),""))</f>
        <v/>
      </c>
      <c r="R1523" s="5" t="str">
        <f aca="false">IF(OR(A1523="",P1523="",Q1523=""),"",P1523*Q1523)</f>
        <v/>
      </c>
      <c r="S1523" s="5" t="str">
        <f aca="false">IF(R1523="","",MAX(0,R1523-G1523))</f>
        <v/>
      </c>
      <c r="T1523" s="21" t="str">
        <f aca="false">IF(S1523="","",S1523*K1523)</f>
        <v/>
      </c>
      <c r="U1523" s="5" t="str">
        <f aca="false">IF(A1523="","",IF(J1523&gt;Parâmetros!$C$14,"SIM","NAO"))</f>
        <v/>
      </c>
      <c r="V1523" s="5" t="str">
        <f aca="false">IF(B1523="","",TRIM(LEFT(B1523,IFERROR(FIND(" ",B1523)-1,LEN(B1523)))))</f>
        <v/>
      </c>
      <c r="W1523" s="22"/>
      <c r="X1523" s="5" t="str">
        <f aca="false">IF(A1523="","",IF(W1523&lt;&gt;"",W1523,V1523))</f>
        <v/>
      </c>
      <c r="Y1523" s="5" t="str">
        <f aca="false">IF(A1523="","",IF(COUNTIFS($X$2:$X$2001,X1523,$D$2:$D$2001,"&lt;&gt;"&amp;D1523,$C$2:$C$2001,C1523)&gt;0,"SIM","NAO"))</f>
        <v/>
      </c>
      <c r="Z1523" s="5" t="str">
        <f aca="false">IF(A1523="","",IF(J1523="","",IFERROR(360/J1523,"")))</f>
        <v/>
      </c>
      <c r="AA1523" s="5" t="str">
        <f aca="false">IF(A1523="","",IF(H1523=0,"Parado (sem venda 90d)",IF(Z1523&gt;12,"Alto (&gt;12x/ano)",IF(Z1523&gt;=4,"Medio (4-12x/ano)","Baixo (&lt;4x/ano)"))))</f>
        <v/>
      </c>
    </row>
    <row r="1524" customFormat="false" ht="15" hidden="false" customHeight="true" outlineLevel="0" collapsed="false">
      <c r="A1524" s="6"/>
      <c r="B1524" s="6"/>
      <c r="C1524" s="6"/>
      <c r="D1524" s="6"/>
      <c r="E1524" s="6"/>
      <c r="F1524" s="6"/>
      <c r="G1524" s="6"/>
      <c r="H1524" s="6"/>
      <c r="I1524" s="6"/>
      <c r="J1524" s="6"/>
      <c r="K1524" s="18"/>
      <c r="L1524" s="19" t="str">
        <f aca="false">IF(A1524="","",G1524*K1524)</f>
        <v/>
      </c>
      <c r="M1524" s="20"/>
      <c r="N1524" s="6"/>
      <c r="O1524" s="6"/>
      <c r="P1524" s="5" t="str">
        <f aca="false">IF(A1524="","",H1524/90)</f>
        <v/>
      </c>
      <c r="Q1524" s="5" t="str">
        <f aca="false">IF(A1524="","",IFERROR(INDEX(Parâmetros!$C$6:$C$10,MATCH(F1524,Parâmetros!$B$6:$B$10,0)),""))</f>
        <v/>
      </c>
      <c r="R1524" s="5" t="str">
        <f aca="false">IF(OR(A1524="",P1524="",Q1524=""),"",P1524*Q1524)</f>
        <v/>
      </c>
      <c r="S1524" s="5" t="str">
        <f aca="false">IF(R1524="","",MAX(0,R1524-G1524))</f>
        <v/>
      </c>
      <c r="T1524" s="21" t="str">
        <f aca="false">IF(S1524="","",S1524*K1524)</f>
        <v/>
      </c>
      <c r="U1524" s="5" t="str">
        <f aca="false">IF(A1524="","",IF(J1524&gt;Parâmetros!$C$14,"SIM","NAO"))</f>
        <v/>
      </c>
      <c r="V1524" s="5" t="str">
        <f aca="false">IF(B1524="","",TRIM(LEFT(B1524,IFERROR(FIND(" ",B1524)-1,LEN(B1524)))))</f>
        <v/>
      </c>
      <c r="W1524" s="22"/>
      <c r="X1524" s="5" t="str">
        <f aca="false">IF(A1524="","",IF(W1524&lt;&gt;"",W1524,V1524))</f>
        <v/>
      </c>
      <c r="Y1524" s="5" t="str">
        <f aca="false">IF(A1524="","",IF(COUNTIFS($X$2:$X$2001,X1524,$D$2:$D$2001,"&lt;&gt;"&amp;D1524,$C$2:$C$2001,C1524)&gt;0,"SIM","NAO"))</f>
        <v/>
      </c>
      <c r="Z1524" s="5" t="str">
        <f aca="false">IF(A1524="","",IF(J1524="","",IFERROR(360/J1524,"")))</f>
        <v/>
      </c>
      <c r="AA1524" s="5" t="str">
        <f aca="false">IF(A1524="","",IF(H1524=0,"Parado (sem venda 90d)",IF(Z1524&gt;12,"Alto (&gt;12x/ano)",IF(Z1524&gt;=4,"Medio (4-12x/ano)","Baixo (&lt;4x/ano)"))))</f>
        <v/>
      </c>
    </row>
    <row r="1525" customFormat="false" ht="15" hidden="false" customHeight="true" outlineLevel="0" collapsed="false">
      <c r="A1525" s="6"/>
      <c r="B1525" s="6"/>
      <c r="C1525" s="6"/>
      <c r="D1525" s="6"/>
      <c r="E1525" s="6"/>
      <c r="F1525" s="6"/>
      <c r="G1525" s="6"/>
      <c r="H1525" s="6"/>
      <c r="I1525" s="6"/>
      <c r="J1525" s="6"/>
      <c r="K1525" s="18"/>
      <c r="L1525" s="19" t="str">
        <f aca="false">IF(A1525="","",G1525*K1525)</f>
        <v/>
      </c>
      <c r="M1525" s="20"/>
      <c r="N1525" s="6"/>
      <c r="O1525" s="6"/>
      <c r="P1525" s="5" t="str">
        <f aca="false">IF(A1525="","",H1525/90)</f>
        <v/>
      </c>
      <c r="Q1525" s="5" t="str">
        <f aca="false">IF(A1525="","",IFERROR(INDEX(Parâmetros!$C$6:$C$10,MATCH(F1525,Parâmetros!$B$6:$B$10,0)),""))</f>
        <v/>
      </c>
      <c r="R1525" s="5" t="str">
        <f aca="false">IF(OR(A1525="",P1525="",Q1525=""),"",P1525*Q1525)</f>
        <v/>
      </c>
      <c r="S1525" s="5" t="str">
        <f aca="false">IF(R1525="","",MAX(0,R1525-G1525))</f>
        <v/>
      </c>
      <c r="T1525" s="21" t="str">
        <f aca="false">IF(S1525="","",S1525*K1525)</f>
        <v/>
      </c>
      <c r="U1525" s="5" t="str">
        <f aca="false">IF(A1525="","",IF(J1525&gt;Parâmetros!$C$14,"SIM","NAO"))</f>
        <v/>
      </c>
      <c r="V1525" s="5" t="str">
        <f aca="false">IF(B1525="","",TRIM(LEFT(B1525,IFERROR(FIND(" ",B1525)-1,LEN(B1525)))))</f>
        <v/>
      </c>
      <c r="W1525" s="22"/>
      <c r="X1525" s="5" t="str">
        <f aca="false">IF(A1525="","",IF(W1525&lt;&gt;"",W1525,V1525))</f>
        <v/>
      </c>
      <c r="Y1525" s="5" t="str">
        <f aca="false">IF(A1525="","",IF(COUNTIFS($X$2:$X$2001,X1525,$D$2:$D$2001,"&lt;&gt;"&amp;D1525,$C$2:$C$2001,C1525)&gt;0,"SIM","NAO"))</f>
        <v/>
      </c>
      <c r="Z1525" s="5" t="str">
        <f aca="false">IF(A1525="","",IF(J1525="","",IFERROR(360/J1525,"")))</f>
        <v/>
      </c>
      <c r="AA1525" s="5" t="str">
        <f aca="false">IF(A1525="","",IF(H1525=0,"Parado (sem venda 90d)",IF(Z1525&gt;12,"Alto (&gt;12x/ano)",IF(Z1525&gt;=4,"Medio (4-12x/ano)","Baixo (&lt;4x/ano)"))))</f>
        <v/>
      </c>
    </row>
    <row r="1526" customFormat="false" ht="15" hidden="false" customHeight="true" outlineLevel="0" collapsed="false">
      <c r="A1526" s="6"/>
      <c r="B1526" s="6"/>
      <c r="C1526" s="6"/>
      <c r="D1526" s="6"/>
      <c r="E1526" s="6"/>
      <c r="F1526" s="6"/>
      <c r="G1526" s="6"/>
      <c r="H1526" s="6"/>
      <c r="I1526" s="6"/>
      <c r="J1526" s="6"/>
      <c r="K1526" s="18"/>
      <c r="L1526" s="19" t="str">
        <f aca="false">IF(A1526="","",G1526*K1526)</f>
        <v/>
      </c>
      <c r="M1526" s="20"/>
      <c r="N1526" s="6"/>
      <c r="O1526" s="6"/>
      <c r="P1526" s="5" t="str">
        <f aca="false">IF(A1526="","",H1526/90)</f>
        <v/>
      </c>
      <c r="Q1526" s="5" t="str">
        <f aca="false">IF(A1526="","",IFERROR(INDEX(Parâmetros!$C$6:$C$10,MATCH(F1526,Parâmetros!$B$6:$B$10,0)),""))</f>
        <v/>
      </c>
      <c r="R1526" s="5" t="str">
        <f aca="false">IF(OR(A1526="",P1526="",Q1526=""),"",P1526*Q1526)</f>
        <v/>
      </c>
      <c r="S1526" s="5" t="str">
        <f aca="false">IF(R1526="","",MAX(0,R1526-G1526))</f>
        <v/>
      </c>
      <c r="T1526" s="21" t="str">
        <f aca="false">IF(S1526="","",S1526*K1526)</f>
        <v/>
      </c>
      <c r="U1526" s="5" t="str">
        <f aca="false">IF(A1526="","",IF(J1526&gt;Parâmetros!$C$14,"SIM","NAO"))</f>
        <v/>
      </c>
      <c r="V1526" s="5" t="str">
        <f aca="false">IF(B1526="","",TRIM(LEFT(B1526,IFERROR(FIND(" ",B1526)-1,LEN(B1526)))))</f>
        <v/>
      </c>
      <c r="W1526" s="22"/>
      <c r="X1526" s="5" t="str">
        <f aca="false">IF(A1526="","",IF(W1526&lt;&gt;"",W1526,V1526))</f>
        <v/>
      </c>
      <c r="Y1526" s="5" t="str">
        <f aca="false">IF(A1526="","",IF(COUNTIFS($X$2:$X$2001,X1526,$D$2:$D$2001,"&lt;&gt;"&amp;D1526,$C$2:$C$2001,C1526)&gt;0,"SIM","NAO"))</f>
        <v/>
      </c>
      <c r="Z1526" s="5" t="str">
        <f aca="false">IF(A1526="","",IF(J1526="","",IFERROR(360/J1526,"")))</f>
        <v/>
      </c>
      <c r="AA1526" s="5" t="str">
        <f aca="false">IF(A1526="","",IF(H1526=0,"Parado (sem venda 90d)",IF(Z1526&gt;12,"Alto (&gt;12x/ano)",IF(Z1526&gt;=4,"Medio (4-12x/ano)","Baixo (&lt;4x/ano)"))))</f>
        <v/>
      </c>
    </row>
    <row r="1527" customFormat="false" ht="15" hidden="false" customHeight="true" outlineLevel="0" collapsed="false">
      <c r="A1527" s="6"/>
      <c r="B1527" s="6"/>
      <c r="C1527" s="6"/>
      <c r="D1527" s="6"/>
      <c r="E1527" s="6"/>
      <c r="F1527" s="6"/>
      <c r="G1527" s="6"/>
      <c r="H1527" s="6"/>
      <c r="I1527" s="6"/>
      <c r="J1527" s="6"/>
      <c r="K1527" s="18"/>
      <c r="L1527" s="19" t="str">
        <f aca="false">IF(A1527="","",G1527*K1527)</f>
        <v/>
      </c>
      <c r="M1527" s="20"/>
      <c r="N1527" s="6"/>
      <c r="O1527" s="6"/>
      <c r="P1527" s="5" t="str">
        <f aca="false">IF(A1527="","",H1527/90)</f>
        <v/>
      </c>
      <c r="Q1527" s="5" t="str">
        <f aca="false">IF(A1527="","",IFERROR(INDEX(Parâmetros!$C$6:$C$10,MATCH(F1527,Parâmetros!$B$6:$B$10,0)),""))</f>
        <v/>
      </c>
      <c r="R1527" s="5" t="str">
        <f aca="false">IF(OR(A1527="",P1527="",Q1527=""),"",P1527*Q1527)</f>
        <v/>
      </c>
      <c r="S1527" s="5" t="str">
        <f aca="false">IF(R1527="","",MAX(0,R1527-G1527))</f>
        <v/>
      </c>
      <c r="T1527" s="21" t="str">
        <f aca="false">IF(S1527="","",S1527*K1527)</f>
        <v/>
      </c>
      <c r="U1527" s="5" t="str">
        <f aca="false">IF(A1527="","",IF(J1527&gt;Parâmetros!$C$14,"SIM","NAO"))</f>
        <v/>
      </c>
      <c r="V1527" s="5" t="str">
        <f aca="false">IF(B1527="","",TRIM(LEFT(B1527,IFERROR(FIND(" ",B1527)-1,LEN(B1527)))))</f>
        <v/>
      </c>
      <c r="W1527" s="22"/>
      <c r="X1527" s="5" t="str">
        <f aca="false">IF(A1527="","",IF(W1527&lt;&gt;"",W1527,V1527))</f>
        <v/>
      </c>
      <c r="Y1527" s="5" t="str">
        <f aca="false">IF(A1527="","",IF(COUNTIFS($X$2:$X$2001,X1527,$D$2:$D$2001,"&lt;&gt;"&amp;D1527,$C$2:$C$2001,C1527)&gt;0,"SIM","NAO"))</f>
        <v/>
      </c>
      <c r="Z1527" s="5" t="str">
        <f aca="false">IF(A1527="","",IF(J1527="","",IFERROR(360/J1527,"")))</f>
        <v/>
      </c>
      <c r="AA1527" s="5" t="str">
        <f aca="false">IF(A1527="","",IF(H1527=0,"Parado (sem venda 90d)",IF(Z1527&gt;12,"Alto (&gt;12x/ano)",IF(Z1527&gt;=4,"Medio (4-12x/ano)","Baixo (&lt;4x/ano)"))))</f>
        <v/>
      </c>
    </row>
    <row r="1528" customFormat="false" ht="15" hidden="false" customHeight="true" outlineLevel="0" collapsed="false">
      <c r="A1528" s="6"/>
      <c r="B1528" s="6"/>
      <c r="C1528" s="6"/>
      <c r="D1528" s="6"/>
      <c r="E1528" s="6"/>
      <c r="F1528" s="6"/>
      <c r="G1528" s="6"/>
      <c r="H1528" s="6"/>
      <c r="I1528" s="6"/>
      <c r="J1528" s="6"/>
      <c r="K1528" s="18"/>
      <c r="L1528" s="19" t="str">
        <f aca="false">IF(A1528="","",G1528*K1528)</f>
        <v/>
      </c>
      <c r="M1528" s="20"/>
      <c r="N1528" s="6"/>
      <c r="O1528" s="6"/>
      <c r="P1528" s="5" t="str">
        <f aca="false">IF(A1528="","",H1528/90)</f>
        <v/>
      </c>
      <c r="Q1528" s="5" t="str">
        <f aca="false">IF(A1528="","",IFERROR(INDEX(Parâmetros!$C$6:$C$10,MATCH(F1528,Parâmetros!$B$6:$B$10,0)),""))</f>
        <v/>
      </c>
      <c r="R1528" s="5" t="str">
        <f aca="false">IF(OR(A1528="",P1528="",Q1528=""),"",P1528*Q1528)</f>
        <v/>
      </c>
      <c r="S1528" s="5" t="str">
        <f aca="false">IF(R1528="","",MAX(0,R1528-G1528))</f>
        <v/>
      </c>
      <c r="T1528" s="21" t="str">
        <f aca="false">IF(S1528="","",S1528*K1528)</f>
        <v/>
      </c>
      <c r="U1528" s="5" t="str">
        <f aca="false">IF(A1528="","",IF(J1528&gt;Parâmetros!$C$14,"SIM","NAO"))</f>
        <v/>
      </c>
      <c r="V1528" s="5" t="str">
        <f aca="false">IF(B1528="","",TRIM(LEFT(B1528,IFERROR(FIND(" ",B1528)-1,LEN(B1528)))))</f>
        <v/>
      </c>
      <c r="W1528" s="22"/>
      <c r="X1528" s="5" t="str">
        <f aca="false">IF(A1528="","",IF(W1528&lt;&gt;"",W1528,V1528))</f>
        <v/>
      </c>
      <c r="Y1528" s="5" t="str">
        <f aca="false">IF(A1528="","",IF(COUNTIFS($X$2:$X$2001,X1528,$D$2:$D$2001,"&lt;&gt;"&amp;D1528,$C$2:$C$2001,C1528)&gt;0,"SIM","NAO"))</f>
        <v/>
      </c>
      <c r="Z1528" s="5" t="str">
        <f aca="false">IF(A1528="","",IF(J1528="","",IFERROR(360/J1528,"")))</f>
        <v/>
      </c>
      <c r="AA1528" s="5" t="str">
        <f aca="false">IF(A1528="","",IF(H1528=0,"Parado (sem venda 90d)",IF(Z1528&gt;12,"Alto (&gt;12x/ano)",IF(Z1528&gt;=4,"Medio (4-12x/ano)","Baixo (&lt;4x/ano)"))))</f>
        <v/>
      </c>
    </row>
    <row r="1529" customFormat="false" ht="15" hidden="false" customHeight="true" outlineLevel="0" collapsed="false">
      <c r="A1529" s="6"/>
      <c r="B1529" s="6"/>
      <c r="C1529" s="6"/>
      <c r="D1529" s="6"/>
      <c r="E1529" s="6"/>
      <c r="F1529" s="6"/>
      <c r="G1529" s="6"/>
      <c r="H1529" s="6"/>
      <c r="I1529" s="6"/>
      <c r="J1529" s="6"/>
      <c r="K1529" s="18"/>
      <c r="L1529" s="19" t="str">
        <f aca="false">IF(A1529="","",G1529*K1529)</f>
        <v/>
      </c>
      <c r="M1529" s="20"/>
      <c r="N1529" s="6"/>
      <c r="O1529" s="6"/>
      <c r="P1529" s="5" t="str">
        <f aca="false">IF(A1529="","",H1529/90)</f>
        <v/>
      </c>
      <c r="Q1529" s="5" t="str">
        <f aca="false">IF(A1529="","",IFERROR(INDEX(Parâmetros!$C$6:$C$10,MATCH(F1529,Parâmetros!$B$6:$B$10,0)),""))</f>
        <v/>
      </c>
      <c r="R1529" s="5" t="str">
        <f aca="false">IF(OR(A1529="",P1529="",Q1529=""),"",P1529*Q1529)</f>
        <v/>
      </c>
      <c r="S1529" s="5" t="str">
        <f aca="false">IF(R1529="","",MAX(0,R1529-G1529))</f>
        <v/>
      </c>
      <c r="T1529" s="21" t="str">
        <f aca="false">IF(S1529="","",S1529*K1529)</f>
        <v/>
      </c>
      <c r="U1529" s="5" t="str">
        <f aca="false">IF(A1529="","",IF(J1529&gt;Parâmetros!$C$14,"SIM","NAO"))</f>
        <v/>
      </c>
      <c r="V1529" s="5" t="str">
        <f aca="false">IF(B1529="","",TRIM(LEFT(B1529,IFERROR(FIND(" ",B1529)-1,LEN(B1529)))))</f>
        <v/>
      </c>
      <c r="W1529" s="22"/>
      <c r="X1529" s="5" t="str">
        <f aca="false">IF(A1529="","",IF(W1529&lt;&gt;"",W1529,V1529))</f>
        <v/>
      </c>
      <c r="Y1529" s="5" t="str">
        <f aca="false">IF(A1529="","",IF(COUNTIFS($X$2:$X$2001,X1529,$D$2:$D$2001,"&lt;&gt;"&amp;D1529,$C$2:$C$2001,C1529)&gt;0,"SIM","NAO"))</f>
        <v/>
      </c>
      <c r="Z1529" s="5" t="str">
        <f aca="false">IF(A1529="","",IF(J1529="","",IFERROR(360/J1529,"")))</f>
        <v/>
      </c>
      <c r="AA1529" s="5" t="str">
        <f aca="false">IF(A1529="","",IF(H1529=0,"Parado (sem venda 90d)",IF(Z1529&gt;12,"Alto (&gt;12x/ano)",IF(Z1529&gt;=4,"Medio (4-12x/ano)","Baixo (&lt;4x/ano)"))))</f>
        <v/>
      </c>
    </row>
    <row r="1530" customFormat="false" ht="15" hidden="false" customHeight="true" outlineLevel="0" collapsed="false">
      <c r="A1530" s="6"/>
      <c r="B1530" s="6"/>
      <c r="C1530" s="6"/>
      <c r="D1530" s="6"/>
      <c r="E1530" s="6"/>
      <c r="F1530" s="6"/>
      <c r="G1530" s="6"/>
      <c r="H1530" s="6"/>
      <c r="I1530" s="6"/>
      <c r="J1530" s="6"/>
      <c r="K1530" s="18"/>
      <c r="L1530" s="19" t="str">
        <f aca="false">IF(A1530="","",G1530*K1530)</f>
        <v/>
      </c>
      <c r="M1530" s="20"/>
      <c r="N1530" s="6"/>
      <c r="O1530" s="6"/>
      <c r="P1530" s="5" t="str">
        <f aca="false">IF(A1530="","",H1530/90)</f>
        <v/>
      </c>
      <c r="Q1530" s="5" t="str">
        <f aca="false">IF(A1530="","",IFERROR(INDEX(Parâmetros!$C$6:$C$10,MATCH(F1530,Parâmetros!$B$6:$B$10,0)),""))</f>
        <v/>
      </c>
      <c r="R1530" s="5" t="str">
        <f aca="false">IF(OR(A1530="",P1530="",Q1530=""),"",P1530*Q1530)</f>
        <v/>
      </c>
      <c r="S1530" s="5" t="str">
        <f aca="false">IF(R1530="","",MAX(0,R1530-G1530))</f>
        <v/>
      </c>
      <c r="T1530" s="21" t="str">
        <f aca="false">IF(S1530="","",S1530*K1530)</f>
        <v/>
      </c>
      <c r="U1530" s="5" t="str">
        <f aca="false">IF(A1530="","",IF(J1530&gt;Parâmetros!$C$14,"SIM","NAO"))</f>
        <v/>
      </c>
      <c r="V1530" s="5" t="str">
        <f aca="false">IF(B1530="","",TRIM(LEFT(B1530,IFERROR(FIND(" ",B1530)-1,LEN(B1530)))))</f>
        <v/>
      </c>
      <c r="W1530" s="22"/>
      <c r="X1530" s="5" t="str">
        <f aca="false">IF(A1530="","",IF(W1530&lt;&gt;"",W1530,V1530))</f>
        <v/>
      </c>
      <c r="Y1530" s="5" t="str">
        <f aca="false">IF(A1530="","",IF(COUNTIFS($X$2:$X$2001,X1530,$D$2:$D$2001,"&lt;&gt;"&amp;D1530,$C$2:$C$2001,C1530)&gt;0,"SIM","NAO"))</f>
        <v/>
      </c>
      <c r="Z1530" s="5" t="str">
        <f aca="false">IF(A1530="","",IF(J1530="","",IFERROR(360/J1530,"")))</f>
        <v/>
      </c>
      <c r="AA1530" s="5" t="str">
        <f aca="false">IF(A1530="","",IF(H1530=0,"Parado (sem venda 90d)",IF(Z1530&gt;12,"Alto (&gt;12x/ano)",IF(Z1530&gt;=4,"Medio (4-12x/ano)","Baixo (&lt;4x/ano)"))))</f>
        <v/>
      </c>
    </row>
    <row r="1531" customFormat="false" ht="15" hidden="false" customHeight="true" outlineLevel="0" collapsed="false">
      <c r="A1531" s="6"/>
      <c r="B1531" s="6"/>
      <c r="C1531" s="6"/>
      <c r="D1531" s="6"/>
      <c r="E1531" s="6"/>
      <c r="F1531" s="6"/>
      <c r="G1531" s="6"/>
      <c r="H1531" s="6"/>
      <c r="I1531" s="6"/>
      <c r="J1531" s="6"/>
      <c r="K1531" s="18"/>
      <c r="L1531" s="19" t="str">
        <f aca="false">IF(A1531="","",G1531*K1531)</f>
        <v/>
      </c>
      <c r="M1531" s="20"/>
      <c r="N1531" s="6"/>
      <c r="O1531" s="6"/>
      <c r="P1531" s="5" t="str">
        <f aca="false">IF(A1531="","",H1531/90)</f>
        <v/>
      </c>
      <c r="Q1531" s="5" t="str">
        <f aca="false">IF(A1531="","",IFERROR(INDEX(Parâmetros!$C$6:$C$10,MATCH(F1531,Parâmetros!$B$6:$B$10,0)),""))</f>
        <v/>
      </c>
      <c r="R1531" s="5" t="str">
        <f aca="false">IF(OR(A1531="",P1531="",Q1531=""),"",P1531*Q1531)</f>
        <v/>
      </c>
      <c r="S1531" s="5" t="str">
        <f aca="false">IF(R1531="","",MAX(0,R1531-G1531))</f>
        <v/>
      </c>
      <c r="T1531" s="21" t="str">
        <f aca="false">IF(S1531="","",S1531*K1531)</f>
        <v/>
      </c>
      <c r="U1531" s="5" t="str">
        <f aca="false">IF(A1531="","",IF(J1531&gt;Parâmetros!$C$14,"SIM","NAO"))</f>
        <v/>
      </c>
      <c r="V1531" s="5" t="str">
        <f aca="false">IF(B1531="","",TRIM(LEFT(B1531,IFERROR(FIND(" ",B1531)-1,LEN(B1531)))))</f>
        <v/>
      </c>
      <c r="W1531" s="22"/>
      <c r="X1531" s="5" t="str">
        <f aca="false">IF(A1531="","",IF(W1531&lt;&gt;"",W1531,V1531))</f>
        <v/>
      </c>
      <c r="Y1531" s="5" t="str">
        <f aca="false">IF(A1531="","",IF(COUNTIFS($X$2:$X$2001,X1531,$D$2:$D$2001,"&lt;&gt;"&amp;D1531,$C$2:$C$2001,C1531)&gt;0,"SIM","NAO"))</f>
        <v/>
      </c>
      <c r="Z1531" s="5" t="str">
        <f aca="false">IF(A1531="","",IF(J1531="","",IFERROR(360/J1531,"")))</f>
        <v/>
      </c>
      <c r="AA1531" s="5" t="str">
        <f aca="false">IF(A1531="","",IF(H1531=0,"Parado (sem venda 90d)",IF(Z1531&gt;12,"Alto (&gt;12x/ano)",IF(Z1531&gt;=4,"Medio (4-12x/ano)","Baixo (&lt;4x/ano)"))))</f>
        <v/>
      </c>
    </row>
    <row r="1532" customFormat="false" ht="15" hidden="false" customHeight="true" outlineLevel="0" collapsed="false">
      <c r="A1532" s="6"/>
      <c r="B1532" s="6"/>
      <c r="C1532" s="6"/>
      <c r="D1532" s="6"/>
      <c r="E1532" s="6"/>
      <c r="F1532" s="6"/>
      <c r="G1532" s="6"/>
      <c r="H1532" s="6"/>
      <c r="I1532" s="6"/>
      <c r="J1532" s="6"/>
      <c r="K1532" s="18"/>
      <c r="L1532" s="19" t="str">
        <f aca="false">IF(A1532="","",G1532*K1532)</f>
        <v/>
      </c>
      <c r="M1532" s="20"/>
      <c r="N1532" s="6"/>
      <c r="O1532" s="6"/>
      <c r="P1532" s="5" t="str">
        <f aca="false">IF(A1532="","",H1532/90)</f>
        <v/>
      </c>
      <c r="Q1532" s="5" t="str">
        <f aca="false">IF(A1532="","",IFERROR(INDEX(Parâmetros!$C$6:$C$10,MATCH(F1532,Parâmetros!$B$6:$B$10,0)),""))</f>
        <v/>
      </c>
      <c r="R1532" s="5" t="str">
        <f aca="false">IF(OR(A1532="",P1532="",Q1532=""),"",P1532*Q1532)</f>
        <v/>
      </c>
      <c r="S1532" s="5" t="str">
        <f aca="false">IF(R1532="","",MAX(0,R1532-G1532))</f>
        <v/>
      </c>
      <c r="T1532" s="21" t="str">
        <f aca="false">IF(S1532="","",S1532*K1532)</f>
        <v/>
      </c>
      <c r="U1532" s="5" t="str">
        <f aca="false">IF(A1532="","",IF(J1532&gt;Parâmetros!$C$14,"SIM","NAO"))</f>
        <v/>
      </c>
      <c r="V1532" s="5" t="str">
        <f aca="false">IF(B1532="","",TRIM(LEFT(B1532,IFERROR(FIND(" ",B1532)-1,LEN(B1532)))))</f>
        <v/>
      </c>
      <c r="W1532" s="22"/>
      <c r="X1532" s="5" t="str">
        <f aca="false">IF(A1532="","",IF(W1532&lt;&gt;"",W1532,V1532))</f>
        <v/>
      </c>
      <c r="Y1532" s="5" t="str">
        <f aca="false">IF(A1532="","",IF(COUNTIFS($X$2:$X$2001,X1532,$D$2:$D$2001,"&lt;&gt;"&amp;D1532,$C$2:$C$2001,C1532)&gt;0,"SIM","NAO"))</f>
        <v/>
      </c>
      <c r="Z1532" s="5" t="str">
        <f aca="false">IF(A1532="","",IF(J1532="","",IFERROR(360/J1532,"")))</f>
        <v/>
      </c>
      <c r="AA1532" s="5" t="str">
        <f aca="false">IF(A1532="","",IF(H1532=0,"Parado (sem venda 90d)",IF(Z1532&gt;12,"Alto (&gt;12x/ano)",IF(Z1532&gt;=4,"Medio (4-12x/ano)","Baixo (&lt;4x/ano)"))))</f>
        <v/>
      </c>
    </row>
    <row r="1533" customFormat="false" ht="15" hidden="false" customHeight="true" outlineLevel="0" collapsed="false">
      <c r="A1533" s="6"/>
      <c r="B1533" s="6"/>
      <c r="C1533" s="6"/>
      <c r="D1533" s="6"/>
      <c r="E1533" s="6"/>
      <c r="F1533" s="6"/>
      <c r="G1533" s="6"/>
      <c r="H1533" s="6"/>
      <c r="I1533" s="6"/>
      <c r="J1533" s="6"/>
      <c r="K1533" s="18"/>
      <c r="L1533" s="19" t="str">
        <f aca="false">IF(A1533="","",G1533*K1533)</f>
        <v/>
      </c>
      <c r="M1533" s="20"/>
      <c r="N1533" s="6"/>
      <c r="O1533" s="6"/>
      <c r="P1533" s="5" t="str">
        <f aca="false">IF(A1533="","",H1533/90)</f>
        <v/>
      </c>
      <c r="Q1533" s="5" t="str">
        <f aca="false">IF(A1533="","",IFERROR(INDEX(Parâmetros!$C$6:$C$10,MATCH(F1533,Parâmetros!$B$6:$B$10,0)),""))</f>
        <v/>
      </c>
      <c r="R1533" s="5" t="str">
        <f aca="false">IF(OR(A1533="",P1533="",Q1533=""),"",P1533*Q1533)</f>
        <v/>
      </c>
      <c r="S1533" s="5" t="str">
        <f aca="false">IF(R1533="","",MAX(0,R1533-G1533))</f>
        <v/>
      </c>
      <c r="T1533" s="21" t="str">
        <f aca="false">IF(S1533="","",S1533*K1533)</f>
        <v/>
      </c>
      <c r="U1533" s="5" t="str">
        <f aca="false">IF(A1533="","",IF(J1533&gt;Parâmetros!$C$14,"SIM","NAO"))</f>
        <v/>
      </c>
      <c r="V1533" s="5" t="str">
        <f aca="false">IF(B1533="","",TRIM(LEFT(B1533,IFERROR(FIND(" ",B1533)-1,LEN(B1533)))))</f>
        <v/>
      </c>
      <c r="W1533" s="22"/>
      <c r="X1533" s="5" t="str">
        <f aca="false">IF(A1533="","",IF(W1533&lt;&gt;"",W1533,V1533))</f>
        <v/>
      </c>
      <c r="Y1533" s="5" t="str">
        <f aca="false">IF(A1533="","",IF(COUNTIFS($X$2:$X$2001,X1533,$D$2:$D$2001,"&lt;&gt;"&amp;D1533,$C$2:$C$2001,C1533)&gt;0,"SIM","NAO"))</f>
        <v/>
      </c>
      <c r="Z1533" s="5" t="str">
        <f aca="false">IF(A1533="","",IF(J1533="","",IFERROR(360/J1533,"")))</f>
        <v/>
      </c>
      <c r="AA1533" s="5" t="str">
        <f aca="false">IF(A1533="","",IF(H1533=0,"Parado (sem venda 90d)",IF(Z1533&gt;12,"Alto (&gt;12x/ano)",IF(Z1533&gt;=4,"Medio (4-12x/ano)","Baixo (&lt;4x/ano)"))))</f>
        <v/>
      </c>
    </row>
    <row r="1534" customFormat="false" ht="15" hidden="false" customHeight="true" outlineLevel="0" collapsed="false">
      <c r="A1534" s="6"/>
      <c r="B1534" s="6"/>
      <c r="C1534" s="6"/>
      <c r="D1534" s="6"/>
      <c r="E1534" s="6"/>
      <c r="F1534" s="6"/>
      <c r="G1534" s="6"/>
      <c r="H1534" s="6"/>
      <c r="I1534" s="6"/>
      <c r="J1534" s="6"/>
      <c r="K1534" s="18"/>
      <c r="L1534" s="19" t="str">
        <f aca="false">IF(A1534="","",G1534*K1534)</f>
        <v/>
      </c>
      <c r="M1534" s="20"/>
      <c r="N1534" s="6"/>
      <c r="O1534" s="6"/>
      <c r="P1534" s="5" t="str">
        <f aca="false">IF(A1534="","",H1534/90)</f>
        <v/>
      </c>
      <c r="Q1534" s="5" t="str">
        <f aca="false">IF(A1534="","",IFERROR(INDEX(Parâmetros!$C$6:$C$10,MATCH(F1534,Parâmetros!$B$6:$B$10,0)),""))</f>
        <v/>
      </c>
      <c r="R1534" s="5" t="str">
        <f aca="false">IF(OR(A1534="",P1534="",Q1534=""),"",P1534*Q1534)</f>
        <v/>
      </c>
      <c r="S1534" s="5" t="str">
        <f aca="false">IF(R1534="","",MAX(0,R1534-G1534))</f>
        <v/>
      </c>
      <c r="T1534" s="21" t="str">
        <f aca="false">IF(S1534="","",S1534*K1534)</f>
        <v/>
      </c>
      <c r="U1534" s="5" t="str">
        <f aca="false">IF(A1534="","",IF(J1534&gt;Parâmetros!$C$14,"SIM","NAO"))</f>
        <v/>
      </c>
      <c r="V1534" s="5" t="str">
        <f aca="false">IF(B1534="","",TRIM(LEFT(B1534,IFERROR(FIND(" ",B1534)-1,LEN(B1534)))))</f>
        <v/>
      </c>
      <c r="W1534" s="22"/>
      <c r="X1534" s="5" t="str">
        <f aca="false">IF(A1534="","",IF(W1534&lt;&gt;"",W1534,V1534))</f>
        <v/>
      </c>
      <c r="Y1534" s="5" t="str">
        <f aca="false">IF(A1534="","",IF(COUNTIFS($X$2:$X$2001,X1534,$D$2:$D$2001,"&lt;&gt;"&amp;D1534,$C$2:$C$2001,C1534)&gt;0,"SIM","NAO"))</f>
        <v/>
      </c>
      <c r="Z1534" s="5" t="str">
        <f aca="false">IF(A1534="","",IF(J1534="","",IFERROR(360/J1534,"")))</f>
        <v/>
      </c>
      <c r="AA1534" s="5" t="str">
        <f aca="false">IF(A1534="","",IF(H1534=0,"Parado (sem venda 90d)",IF(Z1534&gt;12,"Alto (&gt;12x/ano)",IF(Z1534&gt;=4,"Medio (4-12x/ano)","Baixo (&lt;4x/ano)"))))</f>
        <v/>
      </c>
    </row>
    <row r="1535" customFormat="false" ht="15" hidden="false" customHeight="true" outlineLevel="0" collapsed="false">
      <c r="A1535" s="6"/>
      <c r="B1535" s="6"/>
      <c r="C1535" s="6"/>
      <c r="D1535" s="6"/>
      <c r="E1535" s="6"/>
      <c r="F1535" s="6"/>
      <c r="G1535" s="6"/>
      <c r="H1535" s="6"/>
      <c r="I1535" s="6"/>
      <c r="J1535" s="6"/>
      <c r="K1535" s="18"/>
      <c r="L1535" s="19" t="str">
        <f aca="false">IF(A1535="","",G1535*K1535)</f>
        <v/>
      </c>
      <c r="M1535" s="20"/>
      <c r="N1535" s="6"/>
      <c r="O1535" s="6"/>
      <c r="P1535" s="5" t="str">
        <f aca="false">IF(A1535="","",H1535/90)</f>
        <v/>
      </c>
      <c r="Q1535" s="5" t="str">
        <f aca="false">IF(A1535="","",IFERROR(INDEX(Parâmetros!$C$6:$C$10,MATCH(F1535,Parâmetros!$B$6:$B$10,0)),""))</f>
        <v/>
      </c>
      <c r="R1535" s="5" t="str">
        <f aca="false">IF(OR(A1535="",P1535="",Q1535=""),"",P1535*Q1535)</f>
        <v/>
      </c>
      <c r="S1535" s="5" t="str">
        <f aca="false">IF(R1535="","",MAX(0,R1535-G1535))</f>
        <v/>
      </c>
      <c r="T1535" s="21" t="str">
        <f aca="false">IF(S1535="","",S1535*K1535)</f>
        <v/>
      </c>
      <c r="U1535" s="5" t="str">
        <f aca="false">IF(A1535="","",IF(J1535&gt;Parâmetros!$C$14,"SIM","NAO"))</f>
        <v/>
      </c>
      <c r="V1535" s="5" t="str">
        <f aca="false">IF(B1535="","",TRIM(LEFT(B1535,IFERROR(FIND(" ",B1535)-1,LEN(B1535)))))</f>
        <v/>
      </c>
      <c r="W1535" s="22"/>
      <c r="X1535" s="5" t="str">
        <f aca="false">IF(A1535="","",IF(W1535&lt;&gt;"",W1535,V1535))</f>
        <v/>
      </c>
      <c r="Y1535" s="5" t="str">
        <f aca="false">IF(A1535="","",IF(COUNTIFS($X$2:$X$2001,X1535,$D$2:$D$2001,"&lt;&gt;"&amp;D1535,$C$2:$C$2001,C1535)&gt;0,"SIM","NAO"))</f>
        <v/>
      </c>
      <c r="Z1535" s="5" t="str">
        <f aca="false">IF(A1535="","",IF(J1535="","",IFERROR(360/J1535,"")))</f>
        <v/>
      </c>
      <c r="AA1535" s="5" t="str">
        <f aca="false">IF(A1535="","",IF(H1535=0,"Parado (sem venda 90d)",IF(Z1535&gt;12,"Alto (&gt;12x/ano)",IF(Z1535&gt;=4,"Medio (4-12x/ano)","Baixo (&lt;4x/ano)"))))</f>
        <v/>
      </c>
    </row>
    <row r="1536" customFormat="false" ht="15" hidden="false" customHeight="true" outlineLevel="0" collapsed="false">
      <c r="A1536" s="6"/>
      <c r="B1536" s="6"/>
      <c r="C1536" s="6"/>
      <c r="D1536" s="6"/>
      <c r="E1536" s="6"/>
      <c r="F1536" s="6"/>
      <c r="G1536" s="6"/>
      <c r="H1536" s="6"/>
      <c r="I1536" s="6"/>
      <c r="J1536" s="6"/>
      <c r="K1536" s="18"/>
      <c r="L1536" s="19" t="str">
        <f aca="false">IF(A1536="","",G1536*K1536)</f>
        <v/>
      </c>
      <c r="M1536" s="20"/>
      <c r="N1536" s="6"/>
      <c r="O1536" s="6"/>
      <c r="P1536" s="5" t="str">
        <f aca="false">IF(A1536="","",H1536/90)</f>
        <v/>
      </c>
      <c r="Q1536" s="5" t="str">
        <f aca="false">IF(A1536="","",IFERROR(INDEX(Parâmetros!$C$6:$C$10,MATCH(F1536,Parâmetros!$B$6:$B$10,0)),""))</f>
        <v/>
      </c>
      <c r="R1536" s="5" t="str">
        <f aca="false">IF(OR(A1536="",P1536="",Q1536=""),"",P1536*Q1536)</f>
        <v/>
      </c>
      <c r="S1536" s="5" t="str">
        <f aca="false">IF(R1536="","",MAX(0,R1536-G1536))</f>
        <v/>
      </c>
      <c r="T1536" s="21" t="str">
        <f aca="false">IF(S1536="","",S1536*K1536)</f>
        <v/>
      </c>
      <c r="U1536" s="5" t="str">
        <f aca="false">IF(A1536="","",IF(J1536&gt;Parâmetros!$C$14,"SIM","NAO"))</f>
        <v/>
      </c>
      <c r="V1536" s="5" t="str">
        <f aca="false">IF(B1536="","",TRIM(LEFT(B1536,IFERROR(FIND(" ",B1536)-1,LEN(B1536)))))</f>
        <v/>
      </c>
      <c r="W1536" s="22"/>
      <c r="X1536" s="5" t="str">
        <f aca="false">IF(A1536="","",IF(W1536&lt;&gt;"",W1536,V1536))</f>
        <v/>
      </c>
      <c r="Y1536" s="5" t="str">
        <f aca="false">IF(A1536="","",IF(COUNTIFS($X$2:$X$2001,X1536,$D$2:$D$2001,"&lt;&gt;"&amp;D1536,$C$2:$C$2001,C1536)&gt;0,"SIM","NAO"))</f>
        <v/>
      </c>
      <c r="Z1536" s="5" t="str">
        <f aca="false">IF(A1536="","",IF(J1536="","",IFERROR(360/J1536,"")))</f>
        <v/>
      </c>
      <c r="AA1536" s="5" t="str">
        <f aca="false">IF(A1536="","",IF(H1536=0,"Parado (sem venda 90d)",IF(Z1536&gt;12,"Alto (&gt;12x/ano)",IF(Z1536&gt;=4,"Medio (4-12x/ano)","Baixo (&lt;4x/ano)"))))</f>
        <v/>
      </c>
    </row>
    <row r="1537" customFormat="false" ht="15" hidden="false" customHeight="true" outlineLevel="0" collapsed="false">
      <c r="A1537" s="6"/>
      <c r="B1537" s="6"/>
      <c r="C1537" s="6"/>
      <c r="D1537" s="6"/>
      <c r="E1537" s="6"/>
      <c r="F1537" s="6"/>
      <c r="G1537" s="6"/>
      <c r="H1537" s="6"/>
      <c r="I1537" s="6"/>
      <c r="J1537" s="6"/>
      <c r="K1537" s="18"/>
      <c r="L1537" s="19" t="str">
        <f aca="false">IF(A1537="","",G1537*K1537)</f>
        <v/>
      </c>
      <c r="M1537" s="20"/>
      <c r="N1537" s="6"/>
      <c r="O1537" s="6"/>
      <c r="P1537" s="5" t="str">
        <f aca="false">IF(A1537="","",H1537/90)</f>
        <v/>
      </c>
      <c r="Q1537" s="5" t="str">
        <f aca="false">IF(A1537="","",IFERROR(INDEX(Parâmetros!$C$6:$C$10,MATCH(F1537,Parâmetros!$B$6:$B$10,0)),""))</f>
        <v/>
      </c>
      <c r="R1537" s="5" t="str">
        <f aca="false">IF(OR(A1537="",P1537="",Q1537=""),"",P1537*Q1537)</f>
        <v/>
      </c>
      <c r="S1537" s="5" t="str">
        <f aca="false">IF(R1537="","",MAX(0,R1537-G1537))</f>
        <v/>
      </c>
      <c r="T1537" s="21" t="str">
        <f aca="false">IF(S1537="","",S1537*K1537)</f>
        <v/>
      </c>
      <c r="U1537" s="5" t="str">
        <f aca="false">IF(A1537="","",IF(J1537&gt;Parâmetros!$C$14,"SIM","NAO"))</f>
        <v/>
      </c>
      <c r="V1537" s="5" t="str">
        <f aca="false">IF(B1537="","",TRIM(LEFT(B1537,IFERROR(FIND(" ",B1537)-1,LEN(B1537)))))</f>
        <v/>
      </c>
      <c r="W1537" s="22"/>
      <c r="X1537" s="5" t="str">
        <f aca="false">IF(A1537="","",IF(W1537&lt;&gt;"",W1537,V1537))</f>
        <v/>
      </c>
      <c r="Y1537" s="5" t="str">
        <f aca="false">IF(A1537="","",IF(COUNTIFS($X$2:$X$2001,X1537,$D$2:$D$2001,"&lt;&gt;"&amp;D1537,$C$2:$C$2001,C1537)&gt;0,"SIM","NAO"))</f>
        <v/>
      </c>
      <c r="Z1537" s="5" t="str">
        <f aca="false">IF(A1537="","",IF(J1537="","",IFERROR(360/J1537,"")))</f>
        <v/>
      </c>
      <c r="AA1537" s="5" t="str">
        <f aca="false">IF(A1537="","",IF(H1537=0,"Parado (sem venda 90d)",IF(Z1537&gt;12,"Alto (&gt;12x/ano)",IF(Z1537&gt;=4,"Medio (4-12x/ano)","Baixo (&lt;4x/ano)"))))</f>
        <v/>
      </c>
    </row>
    <row r="1538" customFormat="false" ht="15" hidden="false" customHeight="true" outlineLevel="0" collapsed="false">
      <c r="A1538" s="6"/>
      <c r="B1538" s="6"/>
      <c r="C1538" s="6"/>
      <c r="D1538" s="6"/>
      <c r="E1538" s="6"/>
      <c r="F1538" s="6"/>
      <c r="G1538" s="6"/>
      <c r="H1538" s="6"/>
      <c r="I1538" s="6"/>
      <c r="J1538" s="6"/>
      <c r="K1538" s="18"/>
      <c r="L1538" s="19" t="str">
        <f aca="false">IF(A1538="","",G1538*K1538)</f>
        <v/>
      </c>
      <c r="M1538" s="20"/>
      <c r="N1538" s="6"/>
      <c r="O1538" s="6"/>
      <c r="P1538" s="5" t="str">
        <f aca="false">IF(A1538="","",H1538/90)</f>
        <v/>
      </c>
      <c r="Q1538" s="5" t="str">
        <f aca="false">IF(A1538="","",IFERROR(INDEX(Parâmetros!$C$6:$C$10,MATCH(F1538,Parâmetros!$B$6:$B$10,0)),""))</f>
        <v/>
      </c>
      <c r="R1538" s="5" t="str">
        <f aca="false">IF(OR(A1538="",P1538="",Q1538=""),"",P1538*Q1538)</f>
        <v/>
      </c>
      <c r="S1538" s="5" t="str">
        <f aca="false">IF(R1538="","",MAX(0,R1538-G1538))</f>
        <v/>
      </c>
      <c r="T1538" s="21" t="str">
        <f aca="false">IF(S1538="","",S1538*K1538)</f>
        <v/>
      </c>
      <c r="U1538" s="5" t="str">
        <f aca="false">IF(A1538="","",IF(J1538&gt;Parâmetros!$C$14,"SIM","NAO"))</f>
        <v/>
      </c>
      <c r="V1538" s="5" t="str">
        <f aca="false">IF(B1538="","",TRIM(LEFT(B1538,IFERROR(FIND(" ",B1538)-1,LEN(B1538)))))</f>
        <v/>
      </c>
      <c r="W1538" s="22"/>
      <c r="X1538" s="5" t="str">
        <f aca="false">IF(A1538="","",IF(W1538&lt;&gt;"",W1538,V1538))</f>
        <v/>
      </c>
      <c r="Y1538" s="5" t="str">
        <f aca="false">IF(A1538="","",IF(COUNTIFS($X$2:$X$2001,X1538,$D$2:$D$2001,"&lt;&gt;"&amp;D1538,$C$2:$C$2001,C1538)&gt;0,"SIM","NAO"))</f>
        <v/>
      </c>
      <c r="Z1538" s="5" t="str">
        <f aca="false">IF(A1538="","",IF(J1538="","",IFERROR(360/J1538,"")))</f>
        <v/>
      </c>
      <c r="AA1538" s="5" t="str">
        <f aca="false">IF(A1538="","",IF(H1538=0,"Parado (sem venda 90d)",IF(Z1538&gt;12,"Alto (&gt;12x/ano)",IF(Z1538&gt;=4,"Medio (4-12x/ano)","Baixo (&lt;4x/ano)"))))</f>
        <v/>
      </c>
    </row>
    <row r="1539" customFormat="false" ht="15" hidden="false" customHeight="true" outlineLevel="0" collapsed="false">
      <c r="A1539" s="6"/>
      <c r="B1539" s="6"/>
      <c r="C1539" s="6"/>
      <c r="D1539" s="6"/>
      <c r="E1539" s="6"/>
      <c r="F1539" s="6"/>
      <c r="G1539" s="6"/>
      <c r="H1539" s="6"/>
      <c r="I1539" s="6"/>
      <c r="J1539" s="6"/>
      <c r="K1539" s="18"/>
      <c r="L1539" s="19" t="str">
        <f aca="false">IF(A1539="","",G1539*K1539)</f>
        <v/>
      </c>
      <c r="M1539" s="20"/>
      <c r="N1539" s="6"/>
      <c r="O1539" s="6"/>
      <c r="P1539" s="5" t="str">
        <f aca="false">IF(A1539="","",H1539/90)</f>
        <v/>
      </c>
      <c r="Q1539" s="5" t="str">
        <f aca="false">IF(A1539="","",IFERROR(INDEX(Parâmetros!$C$6:$C$10,MATCH(F1539,Parâmetros!$B$6:$B$10,0)),""))</f>
        <v/>
      </c>
      <c r="R1539" s="5" t="str">
        <f aca="false">IF(OR(A1539="",P1539="",Q1539=""),"",P1539*Q1539)</f>
        <v/>
      </c>
      <c r="S1539" s="5" t="str">
        <f aca="false">IF(R1539="","",MAX(0,R1539-G1539))</f>
        <v/>
      </c>
      <c r="T1539" s="21" t="str">
        <f aca="false">IF(S1539="","",S1539*K1539)</f>
        <v/>
      </c>
      <c r="U1539" s="5" t="str">
        <f aca="false">IF(A1539="","",IF(J1539&gt;Parâmetros!$C$14,"SIM","NAO"))</f>
        <v/>
      </c>
      <c r="V1539" s="5" t="str">
        <f aca="false">IF(B1539="","",TRIM(LEFT(B1539,IFERROR(FIND(" ",B1539)-1,LEN(B1539)))))</f>
        <v/>
      </c>
      <c r="W1539" s="22"/>
      <c r="X1539" s="5" t="str">
        <f aca="false">IF(A1539="","",IF(W1539&lt;&gt;"",W1539,V1539))</f>
        <v/>
      </c>
      <c r="Y1539" s="5" t="str">
        <f aca="false">IF(A1539="","",IF(COUNTIFS($X$2:$X$2001,X1539,$D$2:$D$2001,"&lt;&gt;"&amp;D1539,$C$2:$C$2001,C1539)&gt;0,"SIM","NAO"))</f>
        <v/>
      </c>
      <c r="Z1539" s="5" t="str">
        <f aca="false">IF(A1539="","",IF(J1539="","",IFERROR(360/J1539,"")))</f>
        <v/>
      </c>
      <c r="AA1539" s="5" t="str">
        <f aca="false">IF(A1539="","",IF(H1539=0,"Parado (sem venda 90d)",IF(Z1539&gt;12,"Alto (&gt;12x/ano)",IF(Z1539&gt;=4,"Medio (4-12x/ano)","Baixo (&lt;4x/ano)"))))</f>
        <v/>
      </c>
    </row>
    <row r="1540" customFormat="false" ht="15" hidden="false" customHeight="true" outlineLevel="0" collapsed="false">
      <c r="A1540" s="6"/>
      <c r="B1540" s="6"/>
      <c r="C1540" s="6"/>
      <c r="D1540" s="6"/>
      <c r="E1540" s="6"/>
      <c r="F1540" s="6"/>
      <c r="G1540" s="6"/>
      <c r="H1540" s="6"/>
      <c r="I1540" s="6"/>
      <c r="J1540" s="6"/>
      <c r="K1540" s="18"/>
      <c r="L1540" s="19" t="str">
        <f aca="false">IF(A1540="","",G1540*K1540)</f>
        <v/>
      </c>
      <c r="M1540" s="20"/>
      <c r="N1540" s="6"/>
      <c r="O1540" s="6"/>
      <c r="P1540" s="5" t="str">
        <f aca="false">IF(A1540="","",H1540/90)</f>
        <v/>
      </c>
      <c r="Q1540" s="5" t="str">
        <f aca="false">IF(A1540="","",IFERROR(INDEX(Parâmetros!$C$6:$C$10,MATCH(F1540,Parâmetros!$B$6:$B$10,0)),""))</f>
        <v/>
      </c>
      <c r="R1540" s="5" t="str">
        <f aca="false">IF(OR(A1540="",P1540="",Q1540=""),"",P1540*Q1540)</f>
        <v/>
      </c>
      <c r="S1540" s="5" t="str">
        <f aca="false">IF(R1540="","",MAX(0,R1540-G1540))</f>
        <v/>
      </c>
      <c r="T1540" s="21" t="str">
        <f aca="false">IF(S1540="","",S1540*K1540)</f>
        <v/>
      </c>
      <c r="U1540" s="5" t="str">
        <f aca="false">IF(A1540="","",IF(J1540&gt;Parâmetros!$C$14,"SIM","NAO"))</f>
        <v/>
      </c>
      <c r="V1540" s="5" t="str">
        <f aca="false">IF(B1540="","",TRIM(LEFT(B1540,IFERROR(FIND(" ",B1540)-1,LEN(B1540)))))</f>
        <v/>
      </c>
      <c r="W1540" s="22"/>
      <c r="X1540" s="5" t="str">
        <f aca="false">IF(A1540="","",IF(W1540&lt;&gt;"",W1540,V1540))</f>
        <v/>
      </c>
      <c r="Y1540" s="5" t="str">
        <f aca="false">IF(A1540="","",IF(COUNTIFS($X$2:$X$2001,X1540,$D$2:$D$2001,"&lt;&gt;"&amp;D1540,$C$2:$C$2001,C1540)&gt;0,"SIM","NAO"))</f>
        <v/>
      </c>
      <c r="Z1540" s="5" t="str">
        <f aca="false">IF(A1540="","",IF(J1540="","",IFERROR(360/J1540,"")))</f>
        <v/>
      </c>
      <c r="AA1540" s="5" t="str">
        <f aca="false">IF(A1540="","",IF(H1540=0,"Parado (sem venda 90d)",IF(Z1540&gt;12,"Alto (&gt;12x/ano)",IF(Z1540&gt;=4,"Medio (4-12x/ano)","Baixo (&lt;4x/ano)"))))</f>
        <v/>
      </c>
    </row>
    <row r="1541" customFormat="false" ht="15" hidden="false" customHeight="true" outlineLevel="0" collapsed="false">
      <c r="A1541" s="6"/>
      <c r="B1541" s="6"/>
      <c r="C1541" s="6"/>
      <c r="D1541" s="6"/>
      <c r="E1541" s="6"/>
      <c r="F1541" s="6"/>
      <c r="G1541" s="6"/>
      <c r="H1541" s="6"/>
      <c r="I1541" s="6"/>
      <c r="J1541" s="6"/>
      <c r="K1541" s="18"/>
      <c r="L1541" s="19" t="str">
        <f aca="false">IF(A1541="","",G1541*K1541)</f>
        <v/>
      </c>
      <c r="M1541" s="20"/>
      <c r="N1541" s="6"/>
      <c r="O1541" s="6"/>
      <c r="P1541" s="5" t="str">
        <f aca="false">IF(A1541="","",H1541/90)</f>
        <v/>
      </c>
      <c r="Q1541" s="5" t="str">
        <f aca="false">IF(A1541="","",IFERROR(INDEX(Parâmetros!$C$6:$C$10,MATCH(F1541,Parâmetros!$B$6:$B$10,0)),""))</f>
        <v/>
      </c>
      <c r="R1541" s="5" t="str">
        <f aca="false">IF(OR(A1541="",P1541="",Q1541=""),"",P1541*Q1541)</f>
        <v/>
      </c>
      <c r="S1541" s="5" t="str">
        <f aca="false">IF(R1541="","",MAX(0,R1541-G1541))</f>
        <v/>
      </c>
      <c r="T1541" s="21" t="str">
        <f aca="false">IF(S1541="","",S1541*K1541)</f>
        <v/>
      </c>
      <c r="U1541" s="5" t="str">
        <f aca="false">IF(A1541="","",IF(J1541&gt;Parâmetros!$C$14,"SIM","NAO"))</f>
        <v/>
      </c>
      <c r="V1541" s="5" t="str">
        <f aca="false">IF(B1541="","",TRIM(LEFT(B1541,IFERROR(FIND(" ",B1541)-1,LEN(B1541)))))</f>
        <v/>
      </c>
      <c r="W1541" s="22"/>
      <c r="X1541" s="5" t="str">
        <f aca="false">IF(A1541="","",IF(W1541&lt;&gt;"",W1541,V1541))</f>
        <v/>
      </c>
      <c r="Y1541" s="5" t="str">
        <f aca="false">IF(A1541="","",IF(COUNTIFS($X$2:$X$2001,X1541,$D$2:$D$2001,"&lt;&gt;"&amp;D1541,$C$2:$C$2001,C1541)&gt;0,"SIM","NAO"))</f>
        <v/>
      </c>
      <c r="Z1541" s="5" t="str">
        <f aca="false">IF(A1541="","",IF(J1541="","",IFERROR(360/J1541,"")))</f>
        <v/>
      </c>
      <c r="AA1541" s="5" t="str">
        <f aca="false">IF(A1541="","",IF(H1541=0,"Parado (sem venda 90d)",IF(Z1541&gt;12,"Alto (&gt;12x/ano)",IF(Z1541&gt;=4,"Medio (4-12x/ano)","Baixo (&lt;4x/ano)"))))</f>
        <v/>
      </c>
    </row>
    <row r="1542" customFormat="false" ht="15" hidden="false" customHeight="true" outlineLevel="0" collapsed="false">
      <c r="A1542" s="6"/>
      <c r="B1542" s="6"/>
      <c r="C1542" s="6"/>
      <c r="D1542" s="6"/>
      <c r="E1542" s="6"/>
      <c r="F1542" s="6"/>
      <c r="G1542" s="6"/>
      <c r="H1542" s="6"/>
      <c r="I1542" s="6"/>
      <c r="J1542" s="6"/>
      <c r="K1542" s="18"/>
      <c r="L1542" s="19" t="str">
        <f aca="false">IF(A1542="","",G1542*K1542)</f>
        <v/>
      </c>
      <c r="M1542" s="20"/>
      <c r="N1542" s="6"/>
      <c r="O1542" s="6"/>
      <c r="P1542" s="5" t="str">
        <f aca="false">IF(A1542="","",H1542/90)</f>
        <v/>
      </c>
      <c r="Q1542" s="5" t="str">
        <f aca="false">IF(A1542="","",IFERROR(INDEX(Parâmetros!$C$6:$C$10,MATCH(F1542,Parâmetros!$B$6:$B$10,0)),""))</f>
        <v/>
      </c>
      <c r="R1542" s="5" t="str">
        <f aca="false">IF(OR(A1542="",P1542="",Q1542=""),"",P1542*Q1542)</f>
        <v/>
      </c>
      <c r="S1542" s="5" t="str">
        <f aca="false">IF(R1542="","",MAX(0,R1542-G1542))</f>
        <v/>
      </c>
      <c r="T1542" s="21" t="str">
        <f aca="false">IF(S1542="","",S1542*K1542)</f>
        <v/>
      </c>
      <c r="U1542" s="5" t="str">
        <f aca="false">IF(A1542="","",IF(J1542&gt;Parâmetros!$C$14,"SIM","NAO"))</f>
        <v/>
      </c>
      <c r="V1542" s="5" t="str">
        <f aca="false">IF(B1542="","",TRIM(LEFT(B1542,IFERROR(FIND(" ",B1542)-1,LEN(B1542)))))</f>
        <v/>
      </c>
      <c r="W1542" s="22"/>
      <c r="X1542" s="5" t="str">
        <f aca="false">IF(A1542="","",IF(W1542&lt;&gt;"",W1542,V1542))</f>
        <v/>
      </c>
      <c r="Y1542" s="5" t="str">
        <f aca="false">IF(A1542="","",IF(COUNTIFS($X$2:$X$2001,X1542,$D$2:$D$2001,"&lt;&gt;"&amp;D1542,$C$2:$C$2001,C1542)&gt;0,"SIM","NAO"))</f>
        <v/>
      </c>
      <c r="Z1542" s="5" t="str">
        <f aca="false">IF(A1542="","",IF(J1542="","",IFERROR(360/J1542,"")))</f>
        <v/>
      </c>
      <c r="AA1542" s="5" t="str">
        <f aca="false">IF(A1542="","",IF(H1542=0,"Parado (sem venda 90d)",IF(Z1542&gt;12,"Alto (&gt;12x/ano)",IF(Z1542&gt;=4,"Medio (4-12x/ano)","Baixo (&lt;4x/ano)"))))</f>
        <v/>
      </c>
    </row>
    <row r="1543" customFormat="false" ht="15" hidden="false" customHeight="true" outlineLevel="0" collapsed="false">
      <c r="A1543" s="6"/>
      <c r="B1543" s="6"/>
      <c r="C1543" s="6"/>
      <c r="D1543" s="6"/>
      <c r="E1543" s="6"/>
      <c r="F1543" s="6"/>
      <c r="G1543" s="6"/>
      <c r="H1543" s="6"/>
      <c r="I1543" s="6"/>
      <c r="J1543" s="6"/>
      <c r="K1543" s="18"/>
      <c r="L1543" s="19" t="str">
        <f aca="false">IF(A1543="","",G1543*K1543)</f>
        <v/>
      </c>
      <c r="M1543" s="20"/>
      <c r="N1543" s="6"/>
      <c r="O1543" s="6"/>
      <c r="P1543" s="5" t="str">
        <f aca="false">IF(A1543="","",H1543/90)</f>
        <v/>
      </c>
      <c r="Q1543" s="5" t="str">
        <f aca="false">IF(A1543="","",IFERROR(INDEX(Parâmetros!$C$6:$C$10,MATCH(F1543,Parâmetros!$B$6:$B$10,0)),""))</f>
        <v/>
      </c>
      <c r="R1543" s="5" t="str">
        <f aca="false">IF(OR(A1543="",P1543="",Q1543=""),"",P1543*Q1543)</f>
        <v/>
      </c>
      <c r="S1543" s="5" t="str">
        <f aca="false">IF(R1543="","",MAX(0,R1543-G1543))</f>
        <v/>
      </c>
      <c r="T1543" s="21" t="str">
        <f aca="false">IF(S1543="","",S1543*K1543)</f>
        <v/>
      </c>
      <c r="U1543" s="5" t="str">
        <f aca="false">IF(A1543="","",IF(J1543&gt;Parâmetros!$C$14,"SIM","NAO"))</f>
        <v/>
      </c>
      <c r="V1543" s="5" t="str">
        <f aca="false">IF(B1543="","",TRIM(LEFT(B1543,IFERROR(FIND(" ",B1543)-1,LEN(B1543)))))</f>
        <v/>
      </c>
      <c r="W1543" s="22"/>
      <c r="X1543" s="5" t="str">
        <f aca="false">IF(A1543="","",IF(W1543&lt;&gt;"",W1543,V1543))</f>
        <v/>
      </c>
      <c r="Y1543" s="5" t="str">
        <f aca="false">IF(A1543="","",IF(COUNTIFS($X$2:$X$2001,X1543,$D$2:$D$2001,"&lt;&gt;"&amp;D1543,$C$2:$C$2001,C1543)&gt;0,"SIM","NAO"))</f>
        <v/>
      </c>
      <c r="Z1543" s="5" t="str">
        <f aca="false">IF(A1543="","",IF(J1543="","",IFERROR(360/J1543,"")))</f>
        <v/>
      </c>
      <c r="AA1543" s="5" t="str">
        <f aca="false">IF(A1543="","",IF(H1543=0,"Parado (sem venda 90d)",IF(Z1543&gt;12,"Alto (&gt;12x/ano)",IF(Z1543&gt;=4,"Medio (4-12x/ano)","Baixo (&lt;4x/ano)"))))</f>
        <v/>
      </c>
    </row>
    <row r="1544" customFormat="false" ht="15" hidden="false" customHeight="true" outlineLevel="0" collapsed="false">
      <c r="A1544" s="6"/>
      <c r="B1544" s="6"/>
      <c r="C1544" s="6"/>
      <c r="D1544" s="6"/>
      <c r="E1544" s="6"/>
      <c r="F1544" s="6"/>
      <c r="G1544" s="6"/>
      <c r="H1544" s="6"/>
      <c r="I1544" s="6"/>
      <c r="J1544" s="6"/>
      <c r="K1544" s="18"/>
      <c r="L1544" s="19" t="str">
        <f aca="false">IF(A1544="","",G1544*K1544)</f>
        <v/>
      </c>
      <c r="M1544" s="20"/>
      <c r="N1544" s="6"/>
      <c r="O1544" s="6"/>
      <c r="P1544" s="5" t="str">
        <f aca="false">IF(A1544="","",H1544/90)</f>
        <v/>
      </c>
      <c r="Q1544" s="5" t="str">
        <f aca="false">IF(A1544="","",IFERROR(INDEX(Parâmetros!$C$6:$C$10,MATCH(F1544,Parâmetros!$B$6:$B$10,0)),""))</f>
        <v/>
      </c>
      <c r="R1544" s="5" t="str">
        <f aca="false">IF(OR(A1544="",P1544="",Q1544=""),"",P1544*Q1544)</f>
        <v/>
      </c>
      <c r="S1544" s="5" t="str">
        <f aca="false">IF(R1544="","",MAX(0,R1544-G1544))</f>
        <v/>
      </c>
      <c r="T1544" s="21" t="str">
        <f aca="false">IF(S1544="","",S1544*K1544)</f>
        <v/>
      </c>
      <c r="U1544" s="5" t="str">
        <f aca="false">IF(A1544="","",IF(J1544&gt;Parâmetros!$C$14,"SIM","NAO"))</f>
        <v/>
      </c>
      <c r="V1544" s="5" t="str">
        <f aca="false">IF(B1544="","",TRIM(LEFT(B1544,IFERROR(FIND(" ",B1544)-1,LEN(B1544)))))</f>
        <v/>
      </c>
      <c r="W1544" s="22"/>
      <c r="X1544" s="5" t="str">
        <f aca="false">IF(A1544="","",IF(W1544&lt;&gt;"",W1544,V1544))</f>
        <v/>
      </c>
      <c r="Y1544" s="5" t="str">
        <f aca="false">IF(A1544="","",IF(COUNTIFS($X$2:$X$2001,X1544,$D$2:$D$2001,"&lt;&gt;"&amp;D1544,$C$2:$C$2001,C1544)&gt;0,"SIM","NAO"))</f>
        <v/>
      </c>
      <c r="Z1544" s="5" t="str">
        <f aca="false">IF(A1544="","",IF(J1544="","",IFERROR(360/J1544,"")))</f>
        <v/>
      </c>
      <c r="AA1544" s="5" t="str">
        <f aca="false">IF(A1544="","",IF(H1544=0,"Parado (sem venda 90d)",IF(Z1544&gt;12,"Alto (&gt;12x/ano)",IF(Z1544&gt;=4,"Medio (4-12x/ano)","Baixo (&lt;4x/ano)"))))</f>
        <v/>
      </c>
    </row>
    <row r="1545" customFormat="false" ht="15" hidden="false" customHeight="true" outlineLevel="0" collapsed="false">
      <c r="A1545" s="6"/>
      <c r="B1545" s="6"/>
      <c r="C1545" s="6"/>
      <c r="D1545" s="6"/>
      <c r="E1545" s="6"/>
      <c r="F1545" s="6"/>
      <c r="G1545" s="6"/>
      <c r="H1545" s="6"/>
      <c r="I1545" s="6"/>
      <c r="J1545" s="6"/>
      <c r="K1545" s="18"/>
      <c r="L1545" s="19" t="str">
        <f aca="false">IF(A1545="","",G1545*K1545)</f>
        <v/>
      </c>
      <c r="M1545" s="20"/>
      <c r="N1545" s="6"/>
      <c r="O1545" s="6"/>
      <c r="P1545" s="5" t="str">
        <f aca="false">IF(A1545="","",H1545/90)</f>
        <v/>
      </c>
      <c r="Q1545" s="5" t="str">
        <f aca="false">IF(A1545="","",IFERROR(INDEX(Parâmetros!$C$6:$C$10,MATCH(F1545,Parâmetros!$B$6:$B$10,0)),""))</f>
        <v/>
      </c>
      <c r="R1545" s="5" t="str">
        <f aca="false">IF(OR(A1545="",P1545="",Q1545=""),"",P1545*Q1545)</f>
        <v/>
      </c>
      <c r="S1545" s="5" t="str">
        <f aca="false">IF(R1545="","",MAX(0,R1545-G1545))</f>
        <v/>
      </c>
      <c r="T1545" s="21" t="str">
        <f aca="false">IF(S1545="","",S1545*K1545)</f>
        <v/>
      </c>
      <c r="U1545" s="5" t="str">
        <f aca="false">IF(A1545="","",IF(J1545&gt;Parâmetros!$C$14,"SIM","NAO"))</f>
        <v/>
      </c>
      <c r="V1545" s="5" t="str">
        <f aca="false">IF(B1545="","",TRIM(LEFT(B1545,IFERROR(FIND(" ",B1545)-1,LEN(B1545)))))</f>
        <v/>
      </c>
      <c r="W1545" s="22"/>
      <c r="X1545" s="5" t="str">
        <f aca="false">IF(A1545="","",IF(W1545&lt;&gt;"",W1545,V1545))</f>
        <v/>
      </c>
      <c r="Y1545" s="5" t="str">
        <f aca="false">IF(A1545="","",IF(COUNTIFS($X$2:$X$2001,X1545,$D$2:$D$2001,"&lt;&gt;"&amp;D1545,$C$2:$C$2001,C1545)&gt;0,"SIM","NAO"))</f>
        <v/>
      </c>
      <c r="Z1545" s="5" t="str">
        <f aca="false">IF(A1545="","",IF(J1545="","",IFERROR(360/J1545,"")))</f>
        <v/>
      </c>
      <c r="AA1545" s="5" t="str">
        <f aca="false">IF(A1545="","",IF(H1545=0,"Parado (sem venda 90d)",IF(Z1545&gt;12,"Alto (&gt;12x/ano)",IF(Z1545&gt;=4,"Medio (4-12x/ano)","Baixo (&lt;4x/ano)"))))</f>
        <v/>
      </c>
    </row>
    <row r="1546" customFormat="false" ht="15" hidden="false" customHeight="true" outlineLevel="0" collapsed="false">
      <c r="A1546" s="6"/>
      <c r="B1546" s="6"/>
      <c r="C1546" s="6"/>
      <c r="D1546" s="6"/>
      <c r="E1546" s="6"/>
      <c r="F1546" s="6"/>
      <c r="G1546" s="6"/>
      <c r="H1546" s="6"/>
      <c r="I1546" s="6"/>
      <c r="J1546" s="6"/>
      <c r="K1546" s="18"/>
      <c r="L1546" s="19" t="str">
        <f aca="false">IF(A1546="","",G1546*K1546)</f>
        <v/>
      </c>
      <c r="M1546" s="20"/>
      <c r="N1546" s="6"/>
      <c r="O1546" s="6"/>
      <c r="P1546" s="5" t="str">
        <f aca="false">IF(A1546="","",H1546/90)</f>
        <v/>
      </c>
      <c r="Q1546" s="5" t="str">
        <f aca="false">IF(A1546="","",IFERROR(INDEX(Parâmetros!$C$6:$C$10,MATCH(F1546,Parâmetros!$B$6:$B$10,0)),""))</f>
        <v/>
      </c>
      <c r="R1546" s="5" t="str">
        <f aca="false">IF(OR(A1546="",P1546="",Q1546=""),"",P1546*Q1546)</f>
        <v/>
      </c>
      <c r="S1546" s="5" t="str">
        <f aca="false">IF(R1546="","",MAX(0,R1546-G1546))</f>
        <v/>
      </c>
      <c r="T1546" s="21" t="str">
        <f aca="false">IF(S1546="","",S1546*K1546)</f>
        <v/>
      </c>
      <c r="U1546" s="5" t="str">
        <f aca="false">IF(A1546="","",IF(J1546&gt;Parâmetros!$C$14,"SIM","NAO"))</f>
        <v/>
      </c>
      <c r="V1546" s="5" t="str">
        <f aca="false">IF(B1546="","",TRIM(LEFT(B1546,IFERROR(FIND(" ",B1546)-1,LEN(B1546)))))</f>
        <v/>
      </c>
      <c r="W1546" s="22"/>
      <c r="X1546" s="5" t="str">
        <f aca="false">IF(A1546="","",IF(W1546&lt;&gt;"",W1546,V1546))</f>
        <v/>
      </c>
      <c r="Y1546" s="5" t="str">
        <f aca="false">IF(A1546="","",IF(COUNTIFS($X$2:$X$2001,X1546,$D$2:$D$2001,"&lt;&gt;"&amp;D1546,$C$2:$C$2001,C1546)&gt;0,"SIM","NAO"))</f>
        <v/>
      </c>
      <c r="Z1546" s="5" t="str">
        <f aca="false">IF(A1546="","",IF(J1546="","",IFERROR(360/J1546,"")))</f>
        <v/>
      </c>
      <c r="AA1546" s="5" t="str">
        <f aca="false">IF(A1546="","",IF(H1546=0,"Parado (sem venda 90d)",IF(Z1546&gt;12,"Alto (&gt;12x/ano)",IF(Z1546&gt;=4,"Medio (4-12x/ano)","Baixo (&lt;4x/ano)"))))</f>
        <v/>
      </c>
    </row>
    <row r="1547" customFormat="false" ht="15" hidden="false" customHeight="true" outlineLevel="0" collapsed="false">
      <c r="A1547" s="6"/>
      <c r="B1547" s="6"/>
      <c r="C1547" s="6"/>
      <c r="D1547" s="6"/>
      <c r="E1547" s="6"/>
      <c r="F1547" s="6"/>
      <c r="G1547" s="6"/>
      <c r="H1547" s="6"/>
      <c r="I1547" s="6"/>
      <c r="J1547" s="6"/>
      <c r="K1547" s="18"/>
      <c r="L1547" s="19" t="str">
        <f aca="false">IF(A1547="","",G1547*K1547)</f>
        <v/>
      </c>
      <c r="M1547" s="20"/>
      <c r="N1547" s="6"/>
      <c r="O1547" s="6"/>
      <c r="P1547" s="5" t="str">
        <f aca="false">IF(A1547="","",H1547/90)</f>
        <v/>
      </c>
      <c r="Q1547" s="5" t="str">
        <f aca="false">IF(A1547="","",IFERROR(INDEX(Parâmetros!$C$6:$C$10,MATCH(F1547,Parâmetros!$B$6:$B$10,0)),""))</f>
        <v/>
      </c>
      <c r="R1547" s="5" t="str">
        <f aca="false">IF(OR(A1547="",P1547="",Q1547=""),"",P1547*Q1547)</f>
        <v/>
      </c>
      <c r="S1547" s="5" t="str">
        <f aca="false">IF(R1547="","",MAX(0,R1547-G1547))</f>
        <v/>
      </c>
      <c r="T1547" s="21" t="str">
        <f aca="false">IF(S1547="","",S1547*K1547)</f>
        <v/>
      </c>
      <c r="U1547" s="5" t="str">
        <f aca="false">IF(A1547="","",IF(J1547&gt;Parâmetros!$C$14,"SIM","NAO"))</f>
        <v/>
      </c>
      <c r="V1547" s="5" t="str">
        <f aca="false">IF(B1547="","",TRIM(LEFT(B1547,IFERROR(FIND(" ",B1547)-1,LEN(B1547)))))</f>
        <v/>
      </c>
      <c r="W1547" s="22"/>
      <c r="X1547" s="5" t="str">
        <f aca="false">IF(A1547="","",IF(W1547&lt;&gt;"",W1547,V1547))</f>
        <v/>
      </c>
      <c r="Y1547" s="5" t="str">
        <f aca="false">IF(A1547="","",IF(COUNTIFS($X$2:$X$2001,X1547,$D$2:$D$2001,"&lt;&gt;"&amp;D1547,$C$2:$C$2001,C1547)&gt;0,"SIM","NAO"))</f>
        <v/>
      </c>
      <c r="Z1547" s="5" t="str">
        <f aca="false">IF(A1547="","",IF(J1547="","",IFERROR(360/J1547,"")))</f>
        <v/>
      </c>
      <c r="AA1547" s="5" t="str">
        <f aca="false">IF(A1547="","",IF(H1547=0,"Parado (sem venda 90d)",IF(Z1547&gt;12,"Alto (&gt;12x/ano)",IF(Z1547&gt;=4,"Medio (4-12x/ano)","Baixo (&lt;4x/ano)"))))</f>
        <v/>
      </c>
    </row>
    <row r="1548" customFormat="false" ht="15" hidden="false" customHeight="true" outlineLevel="0" collapsed="false">
      <c r="A1548" s="6"/>
      <c r="B1548" s="6"/>
      <c r="C1548" s="6"/>
      <c r="D1548" s="6"/>
      <c r="E1548" s="6"/>
      <c r="F1548" s="6"/>
      <c r="G1548" s="6"/>
      <c r="H1548" s="6"/>
      <c r="I1548" s="6"/>
      <c r="J1548" s="6"/>
      <c r="K1548" s="18"/>
      <c r="L1548" s="19" t="str">
        <f aca="false">IF(A1548="","",G1548*K1548)</f>
        <v/>
      </c>
      <c r="M1548" s="20"/>
      <c r="N1548" s="6"/>
      <c r="O1548" s="6"/>
      <c r="P1548" s="5" t="str">
        <f aca="false">IF(A1548="","",H1548/90)</f>
        <v/>
      </c>
      <c r="Q1548" s="5" t="str">
        <f aca="false">IF(A1548="","",IFERROR(INDEX(Parâmetros!$C$6:$C$10,MATCH(F1548,Parâmetros!$B$6:$B$10,0)),""))</f>
        <v/>
      </c>
      <c r="R1548" s="5" t="str">
        <f aca="false">IF(OR(A1548="",P1548="",Q1548=""),"",P1548*Q1548)</f>
        <v/>
      </c>
      <c r="S1548" s="5" t="str">
        <f aca="false">IF(R1548="","",MAX(0,R1548-G1548))</f>
        <v/>
      </c>
      <c r="T1548" s="21" t="str">
        <f aca="false">IF(S1548="","",S1548*K1548)</f>
        <v/>
      </c>
      <c r="U1548" s="5" t="str">
        <f aca="false">IF(A1548="","",IF(J1548&gt;Parâmetros!$C$14,"SIM","NAO"))</f>
        <v/>
      </c>
      <c r="V1548" s="5" t="str">
        <f aca="false">IF(B1548="","",TRIM(LEFT(B1548,IFERROR(FIND(" ",B1548)-1,LEN(B1548)))))</f>
        <v/>
      </c>
      <c r="W1548" s="22"/>
      <c r="X1548" s="5" t="str">
        <f aca="false">IF(A1548="","",IF(W1548&lt;&gt;"",W1548,V1548))</f>
        <v/>
      </c>
      <c r="Y1548" s="5" t="str">
        <f aca="false">IF(A1548="","",IF(COUNTIFS($X$2:$X$2001,X1548,$D$2:$D$2001,"&lt;&gt;"&amp;D1548,$C$2:$C$2001,C1548)&gt;0,"SIM","NAO"))</f>
        <v/>
      </c>
      <c r="Z1548" s="5" t="str">
        <f aca="false">IF(A1548="","",IF(J1548="","",IFERROR(360/J1548,"")))</f>
        <v/>
      </c>
      <c r="AA1548" s="5" t="str">
        <f aca="false">IF(A1548="","",IF(H1548=0,"Parado (sem venda 90d)",IF(Z1548&gt;12,"Alto (&gt;12x/ano)",IF(Z1548&gt;=4,"Medio (4-12x/ano)","Baixo (&lt;4x/ano)"))))</f>
        <v/>
      </c>
    </row>
    <row r="1549" customFormat="false" ht="15" hidden="false" customHeight="true" outlineLevel="0" collapsed="false">
      <c r="A1549" s="6"/>
      <c r="B1549" s="6"/>
      <c r="C1549" s="6"/>
      <c r="D1549" s="6"/>
      <c r="E1549" s="6"/>
      <c r="F1549" s="6"/>
      <c r="G1549" s="6"/>
      <c r="H1549" s="6"/>
      <c r="I1549" s="6"/>
      <c r="J1549" s="6"/>
      <c r="K1549" s="18"/>
      <c r="L1549" s="19" t="str">
        <f aca="false">IF(A1549="","",G1549*K1549)</f>
        <v/>
      </c>
      <c r="M1549" s="20"/>
      <c r="N1549" s="6"/>
      <c r="O1549" s="6"/>
      <c r="P1549" s="5" t="str">
        <f aca="false">IF(A1549="","",H1549/90)</f>
        <v/>
      </c>
      <c r="Q1549" s="5" t="str">
        <f aca="false">IF(A1549="","",IFERROR(INDEX(Parâmetros!$C$6:$C$10,MATCH(F1549,Parâmetros!$B$6:$B$10,0)),""))</f>
        <v/>
      </c>
      <c r="R1549" s="5" t="str">
        <f aca="false">IF(OR(A1549="",P1549="",Q1549=""),"",P1549*Q1549)</f>
        <v/>
      </c>
      <c r="S1549" s="5" t="str">
        <f aca="false">IF(R1549="","",MAX(0,R1549-G1549))</f>
        <v/>
      </c>
      <c r="T1549" s="21" t="str">
        <f aca="false">IF(S1549="","",S1549*K1549)</f>
        <v/>
      </c>
      <c r="U1549" s="5" t="str">
        <f aca="false">IF(A1549="","",IF(J1549&gt;Parâmetros!$C$14,"SIM","NAO"))</f>
        <v/>
      </c>
      <c r="V1549" s="5" t="str">
        <f aca="false">IF(B1549="","",TRIM(LEFT(B1549,IFERROR(FIND(" ",B1549)-1,LEN(B1549)))))</f>
        <v/>
      </c>
      <c r="W1549" s="22"/>
      <c r="X1549" s="5" t="str">
        <f aca="false">IF(A1549="","",IF(W1549&lt;&gt;"",W1549,V1549))</f>
        <v/>
      </c>
      <c r="Y1549" s="5" t="str">
        <f aca="false">IF(A1549="","",IF(COUNTIFS($X$2:$X$2001,X1549,$D$2:$D$2001,"&lt;&gt;"&amp;D1549,$C$2:$C$2001,C1549)&gt;0,"SIM","NAO"))</f>
        <v/>
      </c>
      <c r="Z1549" s="5" t="str">
        <f aca="false">IF(A1549="","",IF(J1549="","",IFERROR(360/J1549,"")))</f>
        <v/>
      </c>
      <c r="AA1549" s="5" t="str">
        <f aca="false">IF(A1549="","",IF(H1549=0,"Parado (sem venda 90d)",IF(Z1549&gt;12,"Alto (&gt;12x/ano)",IF(Z1549&gt;=4,"Medio (4-12x/ano)","Baixo (&lt;4x/ano)"))))</f>
        <v/>
      </c>
    </row>
    <row r="1550" customFormat="false" ht="15" hidden="false" customHeight="true" outlineLevel="0" collapsed="false">
      <c r="A1550" s="6"/>
      <c r="B1550" s="6"/>
      <c r="C1550" s="6"/>
      <c r="D1550" s="6"/>
      <c r="E1550" s="6"/>
      <c r="F1550" s="6"/>
      <c r="G1550" s="6"/>
      <c r="H1550" s="6"/>
      <c r="I1550" s="6"/>
      <c r="J1550" s="6"/>
      <c r="K1550" s="18"/>
      <c r="L1550" s="19" t="str">
        <f aca="false">IF(A1550="","",G1550*K1550)</f>
        <v/>
      </c>
      <c r="M1550" s="20"/>
      <c r="N1550" s="6"/>
      <c r="O1550" s="6"/>
      <c r="P1550" s="5" t="str">
        <f aca="false">IF(A1550="","",H1550/90)</f>
        <v/>
      </c>
      <c r="Q1550" s="5" t="str">
        <f aca="false">IF(A1550="","",IFERROR(INDEX(Parâmetros!$C$6:$C$10,MATCH(F1550,Parâmetros!$B$6:$B$10,0)),""))</f>
        <v/>
      </c>
      <c r="R1550" s="5" t="str">
        <f aca="false">IF(OR(A1550="",P1550="",Q1550=""),"",P1550*Q1550)</f>
        <v/>
      </c>
      <c r="S1550" s="5" t="str">
        <f aca="false">IF(R1550="","",MAX(0,R1550-G1550))</f>
        <v/>
      </c>
      <c r="T1550" s="21" t="str">
        <f aca="false">IF(S1550="","",S1550*K1550)</f>
        <v/>
      </c>
      <c r="U1550" s="5" t="str">
        <f aca="false">IF(A1550="","",IF(J1550&gt;Parâmetros!$C$14,"SIM","NAO"))</f>
        <v/>
      </c>
      <c r="V1550" s="5" t="str">
        <f aca="false">IF(B1550="","",TRIM(LEFT(B1550,IFERROR(FIND(" ",B1550)-1,LEN(B1550)))))</f>
        <v/>
      </c>
      <c r="W1550" s="22"/>
      <c r="X1550" s="5" t="str">
        <f aca="false">IF(A1550="","",IF(W1550&lt;&gt;"",W1550,V1550))</f>
        <v/>
      </c>
      <c r="Y1550" s="5" t="str">
        <f aca="false">IF(A1550="","",IF(COUNTIFS($X$2:$X$2001,X1550,$D$2:$D$2001,"&lt;&gt;"&amp;D1550,$C$2:$C$2001,C1550)&gt;0,"SIM","NAO"))</f>
        <v/>
      </c>
      <c r="Z1550" s="5" t="str">
        <f aca="false">IF(A1550="","",IF(J1550="","",IFERROR(360/J1550,"")))</f>
        <v/>
      </c>
      <c r="AA1550" s="5" t="str">
        <f aca="false">IF(A1550="","",IF(H1550=0,"Parado (sem venda 90d)",IF(Z1550&gt;12,"Alto (&gt;12x/ano)",IF(Z1550&gt;=4,"Medio (4-12x/ano)","Baixo (&lt;4x/ano)"))))</f>
        <v/>
      </c>
    </row>
    <row r="1551" customFormat="false" ht="15" hidden="false" customHeight="true" outlineLevel="0" collapsed="false">
      <c r="A1551" s="6"/>
      <c r="B1551" s="6"/>
      <c r="C1551" s="6"/>
      <c r="D1551" s="6"/>
      <c r="E1551" s="6"/>
      <c r="F1551" s="6"/>
      <c r="G1551" s="6"/>
      <c r="H1551" s="6"/>
      <c r="I1551" s="6"/>
      <c r="J1551" s="6"/>
      <c r="K1551" s="18"/>
      <c r="L1551" s="19" t="str">
        <f aca="false">IF(A1551="","",G1551*K1551)</f>
        <v/>
      </c>
      <c r="M1551" s="20"/>
      <c r="N1551" s="6"/>
      <c r="O1551" s="6"/>
      <c r="P1551" s="5" t="str">
        <f aca="false">IF(A1551="","",H1551/90)</f>
        <v/>
      </c>
      <c r="Q1551" s="5" t="str">
        <f aca="false">IF(A1551="","",IFERROR(INDEX(Parâmetros!$C$6:$C$10,MATCH(F1551,Parâmetros!$B$6:$B$10,0)),""))</f>
        <v/>
      </c>
      <c r="R1551" s="5" t="str">
        <f aca="false">IF(OR(A1551="",P1551="",Q1551=""),"",P1551*Q1551)</f>
        <v/>
      </c>
      <c r="S1551" s="5" t="str">
        <f aca="false">IF(R1551="","",MAX(0,R1551-G1551))</f>
        <v/>
      </c>
      <c r="T1551" s="21" t="str">
        <f aca="false">IF(S1551="","",S1551*K1551)</f>
        <v/>
      </c>
      <c r="U1551" s="5" t="str">
        <f aca="false">IF(A1551="","",IF(J1551&gt;Parâmetros!$C$14,"SIM","NAO"))</f>
        <v/>
      </c>
      <c r="V1551" s="5" t="str">
        <f aca="false">IF(B1551="","",TRIM(LEFT(B1551,IFERROR(FIND(" ",B1551)-1,LEN(B1551)))))</f>
        <v/>
      </c>
      <c r="W1551" s="22"/>
      <c r="X1551" s="5" t="str">
        <f aca="false">IF(A1551="","",IF(W1551&lt;&gt;"",W1551,V1551))</f>
        <v/>
      </c>
      <c r="Y1551" s="5" t="str">
        <f aca="false">IF(A1551="","",IF(COUNTIFS($X$2:$X$2001,X1551,$D$2:$D$2001,"&lt;&gt;"&amp;D1551,$C$2:$C$2001,C1551)&gt;0,"SIM","NAO"))</f>
        <v/>
      </c>
      <c r="Z1551" s="5" t="str">
        <f aca="false">IF(A1551="","",IF(J1551="","",IFERROR(360/J1551,"")))</f>
        <v/>
      </c>
      <c r="AA1551" s="5" t="str">
        <f aca="false">IF(A1551="","",IF(H1551=0,"Parado (sem venda 90d)",IF(Z1551&gt;12,"Alto (&gt;12x/ano)",IF(Z1551&gt;=4,"Medio (4-12x/ano)","Baixo (&lt;4x/ano)"))))</f>
        <v/>
      </c>
    </row>
    <row r="1552" customFormat="false" ht="15" hidden="false" customHeight="true" outlineLevel="0" collapsed="false">
      <c r="A1552" s="6"/>
      <c r="B1552" s="6"/>
      <c r="C1552" s="6"/>
      <c r="D1552" s="6"/>
      <c r="E1552" s="6"/>
      <c r="F1552" s="6"/>
      <c r="G1552" s="6"/>
      <c r="H1552" s="6"/>
      <c r="I1552" s="6"/>
      <c r="J1552" s="6"/>
      <c r="K1552" s="18"/>
      <c r="L1552" s="19" t="str">
        <f aca="false">IF(A1552="","",G1552*K1552)</f>
        <v/>
      </c>
      <c r="M1552" s="20"/>
      <c r="N1552" s="6"/>
      <c r="O1552" s="6"/>
      <c r="P1552" s="5" t="str">
        <f aca="false">IF(A1552="","",H1552/90)</f>
        <v/>
      </c>
      <c r="Q1552" s="5" t="str">
        <f aca="false">IF(A1552="","",IFERROR(INDEX(Parâmetros!$C$6:$C$10,MATCH(F1552,Parâmetros!$B$6:$B$10,0)),""))</f>
        <v/>
      </c>
      <c r="R1552" s="5" t="str">
        <f aca="false">IF(OR(A1552="",P1552="",Q1552=""),"",P1552*Q1552)</f>
        <v/>
      </c>
      <c r="S1552" s="5" t="str">
        <f aca="false">IF(R1552="","",MAX(0,R1552-G1552))</f>
        <v/>
      </c>
      <c r="T1552" s="21" t="str">
        <f aca="false">IF(S1552="","",S1552*K1552)</f>
        <v/>
      </c>
      <c r="U1552" s="5" t="str">
        <f aca="false">IF(A1552="","",IF(J1552&gt;Parâmetros!$C$14,"SIM","NAO"))</f>
        <v/>
      </c>
      <c r="V1552" s="5" t="str">
        <f aca="false">IF(B1552="","",TRIM(LEFT(B1552,IFERROR(FIND(" ",B1552)-1,LEN(B1552)))))</f>
        <v/>
      </c>
      <c r="W1552" s="22"/>
      <c r="X1552" s="5" t="str">
        <f aca="false">IF(A1552="","",IF(W1552&lt;&gt;"",W1552,V1552))</f>
        <v/>
      </c>
      <c r="Y1552" s="5" t="str">
        <f aca="false">IF(A1552="","",IF(COUNTIFS($X$2:$X$2001,X1552,$D$2:$D$2001,"&lt;&gt;"&amp;D1552,$C$2:$C$2001,C1552)&gt;0,"SIM","NAO"))</f>
        <v/>
      </c>
      <c r="Z1552" s="5" t="str">
        <f aca="false">IF(A1552="","",IF(J1552="","",IFERROR(360/J1552,"")))</f>
        <v/>
      </c>
      <c r="AA1552" s="5" t="str">
        <f aca="false">IF(A1552="","",IF(H1552=0,"Parado (sem venda 90d)",IF(Z1552&gt;12,"Alto (&gt;12x/ano)",IF(Z1552&gt;=4,"Medio (4-12x/ano)","Baixo (&lt;4x/ano)"))))</f>
        <v/>
      </c>
    </row>
    <row r="1553" customFormat="false" ht="15" hidden="false" customHeight="true" outlineLevel="0" collapsed="false">
      <c r="A1553" s="6"/>
      <c r="B1553" s="6"/>
      <c r="C1553" s="6"/>
      <c r="D1553" s="6"/>
      <c r="E1553" s="6"/>
      <c r="F1553" s="6"/>
      <c r="G1553" s="6"/>
      <c r="H1553" s="6"/>
      <c r="I1553" s="6"/>
      <c r="J1553" s="6"/>
      <c r="K1553" s="18"/>
      <c r="L1553" s="19" t="str">
        <f aca="false">IF(A1553="","",G1553*K1553)</f>
        <v/>
      </c>
      <c r="M1553" s="20"/>
      <c r="N1553" s="6"/>
      <c r="O1553" s="6"/>
      <c r="P1553" s="5" t="str">
        <f aca="false">IF(A1553="","",H1553/90)</f>
        <v/>
      </c>
      <c r="Q1553" s="5" t="str">
        <f aca="false">IF(A1553="","",IFERROR(INDEX(Parâmetros!$C$6:$C$10,MATCH(F1553,Parâmetros!$B$6:$B$10,0)),""))</f>
        <v/>
      </c>
      <c r="R1553" s="5" t="str">
        <f aca="false">IF(OR(A1553="",P1553="",Q1553=""),"",P1553*Q1553)</f>
        <v/>
      </c>
      <c r="S1553" s="5" t="str">
        <f aca="false">IF(R1553="","",MAX(0,R1553-G1553))</f>
        <v/>
      </c>
      <c r="T1553" s="21" t="str">
        <f aca="false">IF(S1553="","",S1553*K1553)</f>
        <v/>
      </c>
      <c r="U1553" s="5" t="str">
        <f aca="false">IF(A1553="","",IF(J1553&gt;Parâmetros!$C$14,"SIM","NAO"))</f>
        <v/>
      </c>
      <c r="V1553" s="5" t="str">
        <f aca="false">IF(B1553="","",TRIM(LEFT(B1553,IFERROR(FIND(" ",B1553)-1,LEN(B1553)))))</f>
        <v/>
      </c>
      <c r="W1553" s="22"/>
      <c r="X1553" s="5" t="str">
        <f aca="false">IF(A1553="","",IF(W1553&lt;&gt;"",W1553,V1553))</f>
        <v/>
      </c>
      <c r="Y1553" s="5" t="str">
        <f aca="false">IF(A1553="","",IF(COUNTIFS($X$2:$X$2001,X1553,$D$2:$D$2001,"&lt;&gt;"&amp;D1553,$C$2:$C$2001,C1553)&gt;0,"SIM","NAO"))</f>
        <v/>
      </c>
      <c r="Z1553" s="5" t="str">
        <f aca="false">IF(A1553="","",IF(J1553="","",IFERROR(360/J1553,"")))</f>
        <v/>
      </c>
      <c r="AA1553" s="5" t="str">
        <f aca="false">IF(A1553="","",IF(H1553=0,"Parado (sem venda 90d)",IF(Z1553&gt;12,"Alto (&gt;12x/ano)",IF(Z1553&gt;=4,"Medio (4-12x/ano)","Baixo (&lt;4x/ano)"))))</f>
        <v/>
      </c>
    </row>
    <row r="1554" customFormat="false" ht="15" hidden="false" customHeight="true" outlineLevel="0" collapsed="false">
      <c r="A1554" s="6"/>
      <c r="B1554" s="6"/>
      <c r="C1554" s="6"/>
      <c r="D1554" s="6"/>
      <c r="E1554" s="6"/>
      <c r="F1554" s="6"/>
      <c r="G1554" s="6"/>
      <c r="H1554" s="6"/>
      <c r="I1554" s="6"/>
      <c r="J1554" s="6"/>
      <c r="K1554" s="18"/>
      <c r="L1554" s="19" t="str">
        <f aca="false">IF(A1554="","",G1554*K1554)</f>
        <v/>
      </c>
      <c r="M1554" s="20"/>
      <c r="N1554" s="6"/>
      <c r="O1554" s="6"/>
      <c r="P1554" s="5" t="str">
        <f aca="false">IF(A1554="","",H1554/90)</f>
        <v/>
      </c>
      <c r="Q1554" s="5" t="str">
        <f aca="false">IF(A1554="","",IFERROR(INDEX(Parâmetros!$C$6:$C$10,MATCH(F1554,Parâmetros!$B$6:$B$10,0)),""))</f>
        <v/>
      </c>
      <c r="R1554" s="5" t="str">
        <f aca="false">IF(OR(A1554="",P1554="",Q1554=""),"",P1554*Q1554)</f>
        <v/>
      </c>
      <c r="S1554" s="5" t="str">
        <f aca="false">IF(R1554="","",MAX(0,R1554-G1554))</f>
        <v/>
      </c>
      <c r="T1554" s="21" t="str">
        <f aca="false">IF(S1554="","",S1554*K1554)</f>
        <v/>
      </c>
      <c r="U1554" s="5" t="str">
        <f aca="false">IF(A1554="","",IF(J1554&gt;Parâmetros!$C$14,"SIM","NAO"))</f>
        <v/>
      </c>
      <c r="V1554" s="5" t="str">
        <f aca="false">IF(B1554="","",TRIM(LEFT(B1554,IFERROR(FIND(" ",B1554)-1,LEN(B1554)))))</f>
        <v/>
      </c>
      <c r="W1554" s="22"/>
      <c r="X1554" s="5" t="str">
        <f aca="false">IF(A1554="","",IF(W1554&lt;&gt;"",W1554,V1554))</f>
        <v/>
      </c>
      <c r="Y1554" s="5" t="str">
        <f aca="false">IF(A1554="","",IF(COUNTIFS($X$2:$X$2001,X1554,$D$2:$D$2001,"&lt;&gt;"&amp;D1554,$C$2:$C$2001,C1554)&gt;0,"SIM","NAO"))</f>
        <v/>
      </c>
      <c r="Z1554" s="5" t="str">
        <f aca="false">IF(A1554="","",IF(J1554="","",IFERROR(360/J1554,"")))</f>
        <v/>
      </c>
      <c r="AA1554" s="5" t="str">
        <f aca="false">IF(A1554="","",IF(H1554=0,"Parado (sem venda 90d)",IF(Z1554&gt;12,"Alto (&gt;12x/ano)",IF(Z1554&gt;=4,"Medio (4-12x/ano)","Baixo (&lt;4x/ano)"))))</f>
        <v/>
      </c>
    </row>
    <row r="1555" customFormat="false" ht="15" hidden="false" customHeight="true" outlineLevel="0" collapsed="false">
      <c r="A1555" s="6"/>
      <c r="B1555" s="6"/>
      <c r="C1555" s="6"/>
      <c r="D1555" s="6"/>
      <c r="E1555" s="6"/>
      <c r="F1555" s="6"/>
      <c r="G1555" s="6"/>
      <c r="H1555" s="6"/>
      <c r="I1555" s="6"/>
      <c r="J1555" s="6"/>
      <c r="K1555" s="18"/>
      <c r="L1555" s="19" t="str">
        <f aca="false">IF(A1555="","",G1555*K1555)</f>
        <v/>
      </c>
      <c r="M1555" s="20"/>
      <c r="N1555" s="6"/>
      <c r="O1555" s="6"/>
      <c r="P1555" s="5" t="str">
        <f aca="false">IF(A1555="","",H1555/90)</f>
        <v/>
      </c>
      <c r="Q1555" s="5" t="str">
        <f aca="false">IF(A1555="","",IFERROR(INDEX(Parâmetros!$C$6:$C$10,MATCH(F1555,Parâmetros!$B$6:$B$10,0)),""))</f>
        <v/>
      </c>
      <c r="R1555" s="5" t="str">
        <f aca="false">IF(OR(A1555="",P1555="",Q1555=""),"",P1555*Q1555)</f>
        <v/>
      </c>
      <c r="S1555" s="5" t="str">
        <f aca="false">IF(R1555="","",MAX(0,R1555-G1555))</f>
        <v/>
      </c>
      <c r="T1555" s="21" t="str">
        <f aca="false">IF(S1555="","",S1555*K1555)</f>
        <v/>
      </c>
      <c r="U1555" s="5" t="str">
        <f aca="false">IF(A1555="","",IF(J1555&gt;Parâmetros!$C$14,"SIM","NAO"))</f>
        <v/>
      </c>
      <c r="V1555" s="5" t="str">
        <f aca="false">IF(B1555="","",TRIM(LEFT(B1555,IFERROR(FIND(" ",B1555)-1,LEN(B1555)))))</f>
        <v/>
      </c>
      <c r="W1555" s="22"/>
      <c r="X1555" s="5" t="str">
        <f aca="false">IF(A1555="","",IF(W1555&lt;&gt;"",W1555,V1555))</f>
        <v/>
      </c>
      <c r="Y1555" s="5" t="str">
        <f aca="false">IF(A1555="","",IF(COUNTIFS($X$2:$X$2001,X1555,$D$2:$D$2001,"&lt;&gt;"&amp;D1555,$C$2:$C$2001,C1555)&gt;0,"SIM","NAO"))</f>
        <v/>
      </c>
      <c r="Z1555" s="5" t="str">
        <f aca="false">IF(A1555="","",IF(J1555="","",IFERROR(360/J1555,"")))</f>
        <v/>
      </c>
      <c r="AA1555" s="5" t="str">
        <f aca="false">IF(A1555="","",IF(H1555=0,"Parado (sem venda 90d)",IF(Z1555&gt;12,"Alto (&gt;12x/ano)",IF(Z1555&gt;=4,"Medio (4-12x/ano)","Baixo (&lt;4x/ano)"))))</f>
        <v/>
      </c>
    </row>
    <row r="1556" customFormat="false" ht="15" hidden="false" customHeight="true" outlineLevel="0" collapsed="false">
      <c r="A1556" s="6"/>
      <c r="B1556" s="6"/>
      <c r="C1556" s="6"/>
      <c r="D1556" s="6"/>
      <c r="E1556" s="6"/>
      <c r="F1556" s="6"/>
      <c r="G1556" s="6"/>
      <c r="H1556" s="6"/>
      <c r="I1556" s="6"/>
      <c r="J1556" s="6"/>
      <c r="K1556" s="18"/>
      <c r="L1556" s="19" t="str">
        <f aca="false">IF(A1556="","",G1556*K1556)</f>
        <v/>
      </c>
      <c r="M1556" s="20"/>
      <c r="N1556" s="6"/>
      <c r="O1556" s="6"/>
      <c r="P1556" s="5" t="str">
        <f aca="false">IF(A1556="","",H1556/90)</f>
        <v/>
      </c>
      <c r="Q1556" s="5" t="str">
        <f aca="false">IF(A1556="","",IFERROR(INDEX(Parâmetros!$C$6:$C$10,MATCH(F1556,Parâmetros!$B$6:$B$10,0)),""))</f>
        <v/>
      </c>
      <c r="R1556" s="5" t="str">
        <f aca="false">IF(OR(A1556="",P1556="",Q1556=""),"",P1556*Q1556)</f>
        <v/>
      </c>
      <c r="S1556" s="5" t="str">
        <f aca="false">IF(R1556="","",MAX(0,R1556-G1556))</f>
        <v/>
      </c>
      <c r="T1556" s="21" t="str">
        <f aca="false">IF(S1556="","",S1556*K1556)</f>
        <v/>
      </c>
      <c r="U1556" s="5" t="str">
        <f aca="false">IF(A1556="","",IF(J1556&gt;Parâmetros!$C$14,"SIM","NAO"))</f>
        <v/>
      </c>
      <c r="V1556" s="5" t="str">
        <f aca="false">IF(B1556="","",TRIM(LEFT(B1556,IFERROR(FIND(" ",B1556)-1,LEN(B1556)))))</f>
        <v/>
      </c>
      <c r="W1556" s="22"/>
      <c r="X1556" s="5" t="str">
        <f aca="false">IF(A1556="","",IF(W1556&lt;&gt;"",W1556,V1556))</f>
        <v/>
      </c>
      <c r="Y1556" s="5" t="str">
        <f aca="false">IF(A1556="","",IF(COUNTIFS($X$2:$X$2001,X1556,$D$2:$D$2001,"&lt;&gt;"&amp;D1556,$C$2:$C$2001,C1556)&gt;0,"SIM","NAO"))</f>
        <v/>
      </c>
      <c r="Z1556" s="5" t="str">
        <f aca="false">IF(A1556="","",IF(J1556="","",IFERROR(360/J1556,"")))</f>
        <v/>
      </c>
      <c r="AA1556" s="5" t="str">
        <f aca="false">IF(A1556="","",IF(H1556=0,"Parado (sem venda 90d)",IF(Z1556&gt;12,"Alto (&gt;12x/ano)",IF(Z1556&gt;=4,"Medio (4-12x/ano)","Baixo (&lt;4x/ano)"))))</f>
        <v/>
      </c>
    </row>
    <row r="1557" customFormat="false" ht="15" hidden="false" customHeight="true" outlineLevel="0" collapsed="false">
      <c r="A1557" s="6"/>
      <c r="B1557" s="6"/>
      <c r="C1557" s="6"/>
      <c r="D1557" s="6"/>
      <c r="E1557" s="6"/>
      <c r="F1557" s="6"/>
      <c r="G1557" s="6"/>
      <c r="H1557" s="6"/>
      <c r="I1557" s="6"/>
      <c r="J1557" s="6"/>
      <c r="K1557" s="18"/>
      <c r="L1557" s="19" t="str">
        <f aca="false">IF(A1557="","",G1557*K1557)</f>
        <v/>
      </c>
      <c r="M1557" s="20"/>
      <c r="N1557" s="6"/>
      <c r="O1557" s="6"/>
      <c r="P1557" s="5" t="str">
        <f aca="false">IF(A1557="","",H1557/90)</f>
        <v/>
      </c>
      <c r="Q1557" s="5" t="str">
        <f aca="false">IF(A1557="","",IFERROR(INDEX(Parâmetros!$C$6:$C$10,MATCH(F1557,Parâmetros!$B$6:$B$10,0)),""))</f>
        <v/>
      </c>
      <c r="R1557" s="5" t="str">
        <f aca="false">IF(OR(A1557="",P1557="",Q1557=""),"",P1557*Q1557)</f>
        <v/>
      </c>
      <c r="S1557" s="5" t="str">
        <f aca="false">IF(R1557="","",MAX(0,R1557-G1557))</f>
        <v/>
      </c>
      <c r="T1557" s="21" t="str">
        <f aca="false">IF(S1557="","",S1557*K1557)</f>
        <v/>
      </c>
      <c r="U1557" s="5" t="str">
        <f aca="false">IF(A1557="","",IF(J1557&gt;Parâmetros!$C$14,"SIM","NAO"))</f>
        <v/>
      </c>
      <c r="V1557" s="5" t="str">
        <f aca="false">IF(B1557="","",TRIM(LEFT(B1557,IFERROR(FIND(" ",B1557)-1,LEN(B1557)))))</f>
        <v/>
      </c>
      <c r="W1557" s="22"/>
      <c r="X1557" s="5" t="str">
        <f aca="false">IF(A1557="","",IF(W1557&lt;&gt;"",W1557,V1557))</f>
        <v/>
      </c>
      <c r="Y1557" s="5" t="str">
        <f aca="false">IF(A1557="","",IF(COUNTIFS($X$2:$X$2001,X1557,$D$2:$D$2001,"&lt;&gt;"&amp;D1557,$C$2:$C$2001,C1557)&gt;0,"SIM","NAO"))</f>
        <v/>
      </c>
      <c r="Z1557" s="5" t="str">
        <f aca="false">IF(A1557="","",IF(J1557="","",IFERROR(360/J1557,"")))</f>
        <v/>
      </c>
      <c r="AA1557" s="5" t="str">
        <f aca="false">IF(A1557="","",IF(H1557=0,"Parado (sem venda 90d)",IF(Z1557&gt;12,"Alto (&gt;12x/ano)",IF(Z1557&gt;=4,"Medio (4-12x/ano)","Baixo (&lt;4x/ano)"))))</f>
        <v/>
      </c>
    </row>
    <row r="1558" customFormat="false" ht="15" hidden="false" customHeight="true" outlineLevel="0" collapsed="false">
      <c r="A1558" s="6"/>
      <c r="B1558" s="6"/>
      <c r="C1558" s="6"/>
      <c r="D1558" s="6"/>
      <c r="E1558" s="6"/>
      <c r="F1558" s="6"/>
      <c r="G1558" s="6"/>
      <c r="H1558" s="6"/>
      <c r="I1558" s="6"/>
      <c r="J1558" s="6"/>
      <c r="K1558" s="18"/>
      <c r="L1558" s="19" t="str">
        <f aca="false">IF(A1558="","",G1558*K1558)</f>
        <v/>
      </c>
      <c r="M1558" s="20"/>
      <c r="N1558" s="6"/>
      <c r="O1558" s="6"/>
      <c r="P1558" s="5" t="str">
        <f aca="false">IF(A1558="","",H1558/90)</f>
        <v/>
      </c>
      <c r="Q1558" s="5" t="str">
        <f aca="false">IF(A1558="","",IFERROR(INDEX(Parâmetros!$C$6:$C$10,MATCH(F1558,Parâmetros!$B$6:$B$10,0)),""))</f>
        <v/>
      </c>
      <c r="R1558" s="5" t="str">
        <f aca="false">IF(OR(A1558="",P1558="",Q1558=""),"",P1558*Q1558)</f>
        <v/>
      </c>
      <c r="S1558" s="5" t="str">
        <f aca="false">IF(R1558="","",MAX(0,R1558-G1558))</f>
        <v/>
      </c>
      <c r="T1558" s="21" t="str">
        <f aca="false">IF(S1558="","",S1558*K1558)</f>
        <v/>
      </c>
      <c r="U1558" s="5" t="str">
        <f aca="false">IF(A1558="","",IF(J1558&gt;Parâmetros!$C$14,"SIM","NAO"))</f>
        <v/>
      </c>
      <c r="V1558" s="5" t="str">
        <f aca="false">IF(B1558="","",TRIM(LEFT(B1558,IFERROR(FIND(" ",B1558)-1,LEN(B1558)))))</f>
        <v/>
      </c>
      <c r="W1558" s="22"/>
      <c r="X1558" s="5" t="str">
        <f aca="false">IF(A1558="","",IF(W1558&lt;&gt;"",W1558,V1558))</f>
        <v/>
      </c>
      <c r="Y1558" s="5" t="str">
        <f aca="false">IF(A1558="","",IF(COUNTIFS($X$2:$X$2001,X1558,$D$2:$D$2001,"&lt;&gt;"&amp;D1558,$C$2:$C$2001,C1558)&gt;0,"SIM","NAO"))</f>
        <v/>
      </c>
      <c r="Z1558" s="5" t="str">
        <f aca="false">IF(A1558="","",IF(J1558="","",IFERROR(360/J1558,"")))</f>
        <v/>
      </c>
      <c r="AA1558" s="5" t="str">
        <f aca="false">IF(A1558="","",IF(H1558=0,"Parado (sem venda 90d)",IF(Z1558&gt;12,"Alto (&gt;12x/ano)",IF(Z1558&gt;=4,"Medio (4-12x/ano)","Baixo (&lt;4x/ano)"))))</f>
        <v/>
      </c>
    </row>
    <row r="1559" customFormat="false" ht="15" hidden="false" customHeight="true" outlineLevel="0" collapsed="false">
      <c r="A1559" s="6"/>
      <c r="B1559" s="6"/>
      <c r="C1559" s="6"/>
      <c r="D1559" s="6"/>
      <c r="E1559" s="6"/>
      <c r="F1559" s="6"/>
      <c r="G1559" s="6"/>
      <c r="H1559" s="6"/>
      <c r="I1559" s="6"/>
      <c r="J1559" s="6"/>
      <c r="K1559" s="18"/>
      <c r="L1559" s="19" t="str">
        <f aca="false">IF(A1559="","",G1559*K1559)</f>
        <v/>
      </c>
      <c r="M1559" s="20"/>
      <c r="N1559" s="6"/>
      <c r="O1559" s="6"/>
      <c r="P1559" s="5" t="str">
        <f aca="false">IF(A1559="","",H1559/90)</f>
        <v/>
      </c>
      <c r="Q1559" s="5" t="str">
        <f aca="false">IF(A1559="","",IFERROR(INDEX(Parâmetros!$C$6:$C$10,MATCH(F1559,Parâmetros!$B$6:$B$10,0)),""))</f>
        <v/>
      </c>
      <c r="R1559" s="5" t="str">
        <f aca="false">IF(OR(A1559="",P1559="",Q1559=""),"",P1559*Q1559)</f>
        <v/>
      </c>
      <c r="S1559" s="5" t="str">
        <f aca="false">IF(R1559="","",MAX(0,R1559-G1559))</f>
        <v/>
      </c>
      <c r="T1559" s="21" t="str">
        <f aca="false">IF(S1559="","",S1559*K1559)</f>
        <v/>
      </c>
      <c r="U1559" s="5" t="str">
        <f aca="false">IF(A1559="","",IF(J1559&gt;Parâmetros!$C$14,"SIM","NAO"))</f>
        <v/>
      </c>
      <c r="V1559" s="5" t="str">
        <f aca="false">IF(B1559="","",TRIM(LEFT(B1559,IFERROR(FIND(" ",B1559)-1,LEN(B1559)))))</f>
        <v/>
      </c>
      <c r="W1559" s="22"/>
      <c r="X1559" s="5" t="str">
        <f aca="false">IF(A1559="","",IF(W1559&lt;&gt;"",W1559,V1559))</f>
        <v/>
      </c>
      <c r="Y1559" s="5" t="str">
        <f aca="false">IF(A1559="","",IF(COUNTIFS($X$2:$X$2001,X1559,$D$2:$D$2001,"&lt;&gt;"&amp;D1559,$C$2:$C$2001,C1559)&gt;0,"SIM","NAO"))</f>
        <v/>
      </c>
      <c r="Z1559" s="5" t="str">
        <f aca="false">IF(A1559="","",IF(J1559="","",IFERROR(360/J1559,"")))</f>
        <v/>
      </c>
      <c r="AA1559" s="5" t="str">
        <f aca="false">IF(A1559="","",IF(H1559=0,"Parado (sem venda 90d)",IF(Z1559&gt;12,"Alto (&gt;12x/ano)",IF(Z1559&gt;=4,"Medio (4-12x/ano)","Baixo (&lt;4x/ano)"))))</f>
        <v/>
      </c>
    </row>
    <row r="1560" customFormat="false" ht="15" hidden="false" customHeight="true" outlineLevel="0" collapsed="false">
      <c r="A1560" s="6"/>
      <c r="B1560" s="6"/>
      <c r="C1560" s="6"/>
      <c r="D1560" s="6"/>
      <c r="E1560" s="6"/>
      <c r="F1560" s="6"/>
      <c r="G1560" s="6"/>
      <c r="H1560" s="6"/>
      <c r="I1560" s="6"/>
      <c r="J1560" s="6"/>
      <c r="K1560" s="18"/>
      <c r="L1560" s="19" t="str">
        <f aca="false">IF(A1560="","",G1560*K1560)</f>
        <v/>
      </c>
      <c r="M1560" s="20"/>
      <c r="N1560" s="6"/>
      <c r="O1560" s="6"/>
      <c r="P1560" s="5" t="str">
        <f aca="false">IF(A1560="","",H1560/90)</f>
        <v/>
      </c>
      <c r="Q1560" s="5" t="str">
        <f aca="false">IF(A1560="","",IFERROR(INDEX(Parâmetros!$C$6:$C$10,MATCH(F1560,Parâmetros!$B$6:$B$10,0)),""))</f>
        <v/>
      </c>
      <c r="R1560" s="5" t="str">
        <f aca="false">IF(OR(A1560="",P1560="",Q1560=""),"",P1560*Q1560)</f>
        <v/>
      </c>
      <c r="S1560" s="5" t="str">
        <f aca="false">IF(R1560="","",MAX(0,R1560-G1560))</f>
        <v/>
      </c>
      <c r="T1560" s="21" t="str">
        <f aca="false">IF(S1560="","",S1560*K1560)</f>
        <v/>
      </c>
      <c r="U1560" s="5" t="str">
        <f aca="false">IF(A1560="","",IF(J1560&gt;Parâmetros!$C$14,"SIM","NAO"))</f>
        <v/>
      </c>
      <c r="V1560" s="5" t="str">
        <f aca="false">IF(B1560="","",TRIM(LEFT(B1560,IFERROR(FIND(" ",B1560)-1,LEN(B1560)))))</f>
        <v/>
      </c>
      <c r="W1560" s="22"/>
      <c r="X1560" s="5" t="str">
        <f aca="false">IF(A1560="","",IF(W1560&lt;&gt;"",W1560,V1560))</f>
        <v/>
      </c>
      <c r="Y1560" s="5" t="str">
        <f aca="false">IF(A1560="","",IF(COUNTIFS($X$2:$X$2001,X1560,$D$2:$D$2001,"&lt;&gt;"&amp;D1560,$C$2:$C$2001,C1560)&gt;0,"SIM","NAO"))</f>
        <v/>
      </c>
      <c r="Z1560" s="5" t="str">
        <f aca="false">IF(A1560="","",IF(J1560="","",IFERROR(360/J1560,"")))</f>
        <v/>
      </c>
      <c r="AA1560" s="5" t="str">
        <f aca="false">IF(A1560="","",IF(H1560=0,"Parado (sem venda 90d)",IF(Z1560&gt;12,"Alto (&gt;12x/ano)",IF(Z1560&gt;=4,"Medio (4-12x/ano)","Baixo (&lt;4x/ano)"))))</f>
        <v/>
      </c>
    </row>
    <row r="1561" customFormat="false" ht="15" hidden="false" customHeight="true" outlineLevel="0" collapsed="false">
      <c r="A1561" s="6"/>
      <c r="B1561" s="6"/>
      <c r="C1561" s="6"/>
      <c r="D1561" s="6"/>
      <c r="E1561" s="6"/>
      <c r="F1561" s="6"/>
      <c r="G1561" s="6"/>
      <c r="H1561" s="6"/>
      <c r="I1561" s="6"/>
      <c r="J1561" s="6"/>
      <c r="K1561" s="18"/>
      <c r="L1561" s="19" t="str">
        <f aca="false">IF(A1561="","",G1561*K1561)</f>
        <v/>
      </c>
      <c r="M1561" s="20"/>
      <c r="N1561" s="6"/>
      <c r="O1561" s="6"/>
      <c r="P1561" s="5" t="str">
        <f aca="false">IF(A1561="","",H1561/90)</f>
        <v/>
      </c>
      <c r="Q1561" s="5" t="str">
        <f aca="false">IF(A1561="","",IFERROR(INDEX(Parâmetros!$C$6:$C$10,MATCH(F1561,Parâmetros!$B$6:$B$10,0)),""))</f>
        <v/>
      </c>
      <c r="R1561" s="5" t="str">
        <f aca="false">IF(OR(A1561="",P1561="",Q1561=""),"",P1561*Q1561)</f>
        <v/>
      </c>
      <c r="S1561" s="5" t="str">
        <f aca="false">IF(R1561="","",MAX(0,R1561-G1561))</f>
        <v/>
      </c>
      <c r="T1561" s="21" t="str">
        <f aca="false">IF(S1561="","",S1561*K1561)</f>
        <v/>
      </c>
      <c r="U1561" s="5" t="str">
        <f aca="false">IF(A1561="","",IF(J1561&gt;Parâmetros!$C$14,"SIM","NAO"))</f>
        <v/>
      </c>
      <c r="V1561" s="5" t="str">
        <f aca="false">IF(B1561="","",TRIM(LEFT(B1561,IFERROR(FIND(" ",B1561)-1,LEN(B1561)))))</f>
        <v/>
      </c>
      <c r="W1561" s="22"/>
      <c r="X1561" s="5" t="str">
        <f aca="false">IF(A1561="","",IF(W1561&lt;&gt;"",W1561,V1561))</f>
        <v/>
      </c>
      <c r="Y1561" s="5" t="str">
        <f aca="false">IF(A1561="","",IF(COUNTIFS($X$2:$X$2001,X1561,$D$2:$D$2001,"&lt;&gt;"&amp;D1561,$C$2:$C$2001,C1561)&gt;0,"SIM","NAO"))</f>
        <v/>
      </c>
      <c r="Z1561" s="5" t="str">
        <f aca="false">IF(A1561="","",IF(J1561="","",IFERROR(360/J1561,"")))</f>
        <v/>
      </c>
      <c r="AA1561" s="5" t="str">
        <f aca="false">IF(A1561="","",IF(H1561=0,"Parado (sem venda 90d)",IF(Z1561&gt;12,"Alto (&gt;12x/ano)",IF(Z1561&gt;=4,"Medio (4-12x/ano)","Baixo (&lt;4x/ano)"))))</f>
        <v/>
      </c>
    </row>
    <row r="1562" customFormat="false" ht="15" hidden="false" customHeight="true" outlineLevel="0" collapsed="false">
      <c r="A1562" s="6"/>
      <c r="B1562" s="6"/>
      <c r="C1562" s="6"/>
      <c r="D1562" s="6"/>
      <c r="E1562" s="6"/>
      <c r="F1562" s="6"/>
      <c r="G1562" s="6"/>
      <c r="H1562" s="6"/>
      <c r="I1562" s="6"/>
      <c r="J1562" s="6"/>
      <c r="K1562" s="18"/>
      <c r="L1562" s="19" t="str">
        <f aca="false">IF(A1562="","",G1562*K1562)</f>
        <v/>
      </c>
      <c r="M1562" s="20"/>
      <c r="N1562" s="6"/>
      <c r="O1562" s="6"/>
      <c r="P1562" s="5" t="str">
        <f aca="false">IF(A1562="","",H1562/90)</f>
        <v/>
      </c>
      <c r="Q1562" s="5" t="str">
        <f aca="false">IF(A1562="","",IFERROR(INDEX(Parâmetros!$C$6:$C$10,MATCH(F1562,Parâmetros!$B$6:$B$10,0)),""))</f>
        <v/>
      </c>
      <c r="R1562" s="5" t="str">
        <f aca="false">IF(OR(A1562="",P1562="",Q1562=""),"",P1562*Q1562)</f>
        <v/>
      </c>
      <c r="S1562" s="5" t="str">
        <f aca="false">IF(R1562="","",MAX(0,R1562-G1562))</f>
        <v/>
      </c>
      <c r="T1562" s="21" t="str">
        <f aca="false">IF(S1562="","",S1562*K1562)</f>
        <v/>
      </c>
      <c r="U1562" s="5" t="str">
        <f aca="false">IF(A1562="","",IF(J1562&gt;Parâmetros!$C$14,"SIM","NAO"))</f>
        <v/>
      </c>
      <c r="V1562" s="5" t="str">
        <f aca="false">IF(B1562="","",TRIM(LEFT(B1562,IFERROR(FIND(" ",B1562)-1,LEN(B1562)))))</f>
        <v/>
      </c>
      <c r="W1562" s="22"/>
      <c r="X1562" s="5" t="str">
        <f aca="false">IF(A1562="","",IF(W1562&lt;&gt;"",W1562,V1562))</f>
        <v/>
      </c>
      <c r="Y1562" s="5" t="str">
        <f aca="false">IF(A1562="","",IF(COUNTIFS($X$2:$X$2001,X1562,$D$2:$D$2001,"&lt;&gt;"&amp;D1562,$C$2:$C$2001,C1562)&gt;0,"SIM","NAO"))</f>
        <v/>
      </c>
      <c r="Z1562" s="5" t="str">
        <f aca="false">IF(A1562="","",IF(J1562="","",IFERROR(360/J1562,"")))</f>
        <v/>
      </c>
      <c r="AA1562" s="5" t="str">
        <f aca="false">IF(A1562="","",IF(H1562=0,"Parado (sem venda 90d)",IF(Z1562&gt;12,"Alto (&gt;12x/ano)",IF(Z1562&gt;=4,"Medio (4-12x/ano)","Baixo (&lt;4x/ano)"))))</f>
        <v/>
      </c>
    </row>
    <row r="1563" customFormat="false" ht="15" hidden="false" customHeight="true" outlineLevel="0" collapsed="false">
      <c r="A1563" s="6"/>
      <c r="B1563" s="6"/>
      <c r="C1563" s="6"/>
      <c r="D1563" s="6"/>
      <c r="E1563" s="6"/>
      <c r="F1563" s="6"/>
      <c r="G1563" s="6"/>
      <c r="H1563" s="6"/>
      <c r="I1563" s="6"/>
      <c r="J1563" s="6"/>
      <c r="K1563" s="18"/>
      <c r="L1563" s="19" t="str">
        <f aca="false">IF(A1563="","",G1563*K1563)</f>
        <v/>
      </c>
      <c r="M1563" s="20"/>
      <c r="N1563" s="6"/>
      <c r="O1563" s="6"/>
      <c r="P1563" s="5" t="str">
        <f aca="false">IF(A1563="","",H1563/90)</f>
        <v/>
      </c>
      <c r="Q1563" s="5" t="str">
        <f aca="false">IF(A1563="","",IFERROR(INDEX(Parâmetros!$C$6:$C$10,MATCH(F1563,Parâmetros!$B$6:$B$10,0)),""))</f>
        <v/>
      </c>
      <c r="R1563" s="5" t="str">
        <f aca="false">IF(OR(A1563="",P1563="",Q1563=""),"",P1563*Q1563)</f>
        <v/>
      </c>
      <c r="S1563" s="5" t="str">
        <f aca="false">IF(R1563="","",MAX(0,R1563-G1563))</f>
        <v/>
      </c>
      <c r="T1563" s="21" t="str">
        <f aca="false">IF(S1563="","",S1563*K1563)</f>
        <v/>
      </c>
      <c r="U1563" s="5" t="str">
        <f aca="false">IF(A1563="","",IF(J1563&gt;Parâmetros!$C$14,"SIM","NAO"))</f>
        <v/>
      </c>
      <c r="V1563" s="5" t="str">
        <f aca="false">IF(B1563="","",TRIM(LEFT(B1563,IFERROR(FIND(" ",B1563)-1,LEN(B1563)))))</f>
        <v/>
      </c>
      <c r="W1563" s="22"/>
      <c r="X1563" s="5" t="str">
        <f aca="false">IF(A1563="","",IF(W1563&lt;&gt;"",W1563,V1563))</f>
        <v/>
      </c>
      <c r="Y1563" s="5" t="str">
        <f aca="false">IF(A1563="","",IF(COUNTIFS($X$2:$X$2001,X1563,$D$2:$D$2001,"&lt;&gt;"&amp;D1563,$C$2:$C$2001,C1563)&gt;0,"SIM","NAO"))</f>
        <v/>
      </c>
      <c r="Z1563" s="5" t="str">
        <f aca="false">IF(A1563="","",IF(J1563="","",IFERROR(360/J1563,"")))</f>
        <v/>
      </c>
      <c r="AA1563" s="5" t="str">
        <f aca="false">IF(A1563="","",IF(H1563=0,"Parado (sem venda 90d)",IF(Z1563&gt;12,"Alto (&gt;12x/ano)",IF(Z1563&gt;=4,"Medio (4-12x/ano)","Baixo (&lt;4x/ano)"))))</f>
        <v/>
      </c>
    </row>
    <row r="1564" customFormat="false" ht="15" hidden="false" customHeight="true" outlineLevel="0" collapsed="false">
      <c r="A1564" s="6"/>
      <c r="B1564" s="6"/>
      <c r="C1564" s="6"/>
      <c r="D1564" s="6"/>
      <c r="E1564" s="6"/>
      <c r="F1564" s="6"/>
      <c r="G1564" s="6"/>
      <c r="H1564" s="6"/>
      <c r="I1564" s="6"/>
      <c r="J1564" s="6"/>
      <c r="K1564" s="18"/>
      <c r="L1564" s="19" t="str">
        <f aca="false">IF(A1564="","",G1564*K1564)</f>
        <v/>
      </c>
      <c r="M1564" s="20"/>
      <c r="N1564" s="6"/>
      <c r="O1564" s="6"/>
      <c r="P1564" s="5" t="str">
        <f aca="false">IF(A1564="","",H1564/90)</f>
        <v/>
      </c>
      <c r="Q1564" s="5" t="str">
        <f aca="false">IF(A1564="","",IFERROR(INDEX(Parâmetros!$C$6:$C$10,MATCH(F1564,Parâmetros!$B$6:$B$10,0)),""))</f>
        <v/>
      </c>
      <c r="R1564" s="5" t="str">
        <f aca="false">IF(OR(A1564="",P1564="",Q1564=""),"",P1564*Q1564)</f>
        <v/>
      </c>
      <c r="S1564" s="5" t="str">
        <f aca="false">IF(R1564="","",MAX(0,R1564-G1564))</f>
        <v/>
      </c>
      <c r="T1564" s="21" t="str">
        <f aca="false">IF(S1564="","",S1564*K1564)</f>
        <v/>
      </c>
      <c r="U1564" s="5" t="str">
        <f aca="false">IF(A1564="","",IF(J1564&gt;Parâmetros!$C$14,"SIM","NAO"))</f>
        <v/>
      </c>
      <c r="V1564" s="5" t="str">
        <f aca="false">IF(B1564="","",TRIM(LEFT(B1564,IFERROR(FIND(" ",B1564)-1,LEN(B1564)))))</f>
        <v/>
      </c>
      <c r="W1564" s="22"/>
      <c r="X1564" s="5" t="str">
        <f aca="false">IF(A1564="","",IF(W1564&lt;&gt;"",W1564,V1564))</f>
        <v/>
      </c>
      <c r="Y1564" s="5" t="str">
        <f aca="false">IF(A1564="","",IF(COUNTIFS($X$2:$X$2001,X1564,$D$2:$D$2001,"&lt;&gt;"&amp;D1564,$C$2:$C$2001,C1564)&gt;0,"SIM","NAO"))</f>
        <v/>
      </c>
      <c r="Z1564" s="5" t="str">
        <f aca="false">IF(A1564="","",IF(J1564="","",IFERROR(360/J1564,"")))</f>
        <v/>
      </c>
      <c r="AA1564" s="5" t="str">
        <f aca="false">IF(A1564="","",IF(H1564=0,"Parado (sem venda 90d)",IF(Z1564&gt;12,"Alto (&gt;12x/ano)",IF(Z1564&gt;=4,"Medio (4-12x/ano)","Baixo (&lt;4x/ano)"))))</f>
        <v/>
      </c>
    </row>
    <row r="1565" customFormat="false" ht="15" hidden="false" customHeight="true" outlineLevel="0" collapsed="false">
      <c r="A1565" s="6"/>
      <c r="B1565" s="6"/>
      <c r="C1565" s="6"/>
      <c r="D1565" s="6"/>
      <c r="E1565" s="6"/>
      <c r="F1565" s="6"/>
      <c r="G1565" s="6"/>
      <c r="H1565" s="6"/>
      <c r="I1565" s="6"/>
      <c r="J1565" s="6"/>
      <c r="K1565" s="18"/>
      <c r="L1565" s="19" t="str">
        <f aca="false">IF(A1565="","",G1565*K1565)</f>
        <v/>
      </c>
      <c r="M1565" s="20"/>
      <c r="N1565" s="6"/>
      <c r="O1565" s="6"/>
      <c r="P1565" s="5" t="str">
        <f aca="false">IF(A1565="","",H1565/90)</f>
        <v/>
      </c>
      <c r="Q1565" s="5" t="str">
        <f aca="false">IF(A1565="","",IFERROR(INDEX(Parâmetros!$C$6:$C$10,MATCH(F1565,Parâmetros!$B$6:$B$10,0)),""))</f>
        <v/>
      </c>
      <c r="R1565" s="5" t="str">
        <f aca="false">IF(OR(A1565="",P1565="",Q1565=""),"",P1565*Q1565)</f>
        <v/>
      </c>
      <c r="S1565" s="5" t="str">
        <f aca="false">IF(R1565="","",MAX(0,R1565-G1565))</f>
        <v/>
      </c>
      <c r="T1565" s="21" t="str">
        <f aca="false">IF(S1565="","",S1565*K1565)</f>
        <v/>
      </c>
      <c r="U1565" s="5" t="str">
        <f aca="false">IF(A1565="","",IF(J1565&gt;Parâmetros!$C$14,"SIM","NAO"))</f>
        <v/>
      </c>
      <c r="V1565" s="5" t="str">
        <f aca="false">IF(B1565="","",TRIM(LEFT(B1565,IFERROR(FIND(" ",B1565)-1,LEN(B1565)))))</f>
        <v/>
      </c>
      <c r="W1565" s="22"/>
      <c r="X1565" s="5" t="str">
        <f aca="false">IF(A1565="","",IF(W1565&lt;&gt;"",W1565,V1565))</f>
        <v/>
      </c>
      <c r="Y1565" s="5" t="str">
        <f aca="false">IF(A1565="","",IF(COUNTIFS($X$2:$X$2001,X1565,$D$2:$D$2001,"&lt;&gt;"&amp;D1565,$C$2:$C$2001,C1565)&gt;0,"SIM","NAO"))</f>
        <v/>
      </c>
      <c r="Z1565" s="5" t="str">
        <f aca="false">IF(A1565="","",IF(J1565="","",IFERROR(360/J1565,"")))</f>
        <v/>
      </c>
      <c r="AA1565" s="5" t="str">
        <f aca="false">IF(A1565="","",IF(H1565=0,"Parado (sem venda 90d)",IF(Z1565&gt;12,"Alto (&gt;12x/ano)",IF(Z1565&gt;=4,"Medio (4-12x/ano)","Baixo (&lt;4x/ano)"))))</f>
        <v/>
      </c>
    </row>
    <row r="1566" customFormat="false" ht="15" hidden="false" customHeight="true" outlineLevel="0" collapsed="false">
      <c r="A1566" s="6"/>
      <c r="B1566" s="6"/>
      <c r="C1566" s="6"/>
      <c r="D1566" s="6"/>
      <c r="E1566" s="6"/>
      <c r="F1566" s="6"/>
      <c r="G1566" s="6"/>
      <c r="H1566" s="6"/>
      <c r="I1566" s="6"/>
      <c r="J1566" s="6"/>
      <c r="K1566" s="18"/>
      <c r="L1566" s="19" t="str">
        <f aca="false">IF(A1566="","",G1566*K1566)</f>
        <v/>
      </c>
      <c r="M1566" s="20"/>
      <c r="N1566" s="6"/>
      <c r="O1566" s="6"/>
      <c r="P1566" s="5" t="str">
        <f aca="false">IF(A1566="","",H1566/90)</f>
        <v/>
      </c>
      <c r="Q1566" s="5" t="str">
        <f aca="false">IF(A1566="","",IFERROR(INDEX(Parâmetros!$C$6:$C$10,MATCH(F1566,Parâmetros!$B$6:$B$10,0)),""))</f>
        <v/>
      </c>
      <c r="R1566" s="5" t="str">
        <f aca="false">IF(OR(A1566="",P1566="",Q1566=""),"",P1566*Q1566)</f>
        <v/>
      </c>
      <c r="S1566" s="5" t="str">
        <f aca="false">IF(R1566="","",MAX(0,R1566-G1566))</f>
        <v/>
      </c>
      <c r="T1566" s="21" t="str">
        <f aca="false">IF(S1566="","",S1566*K1566)</f>
        <v/>
      </c>
      <c r="U1566" s="5" t="str">
        <f aca="false">IF(A1566="","",IF(J1566&gt;Parâmetros!$C$14,"SIM","NAO"))</f>
        <v/>
      </c>
      <c r="V1566" s="5" t="str">
        <f aca="false">IF(B1566="","",TRIM(LEFT(B1566,IFERROR(FIND(" ",B1566)-1,LEN(B1566)))))</f>
        <v/>
      </c>
      <c r="W1566" s="22"/>
      <c r="X1566" s="5" t="str">
        <f aca="false">IF(A1566="","",IF(W1566&lt;&gt;"",W1566,V1566))</f>
        <v/>
      </c>
      <c r="Y1566" s="5" t="str">
        <f aca="false">IF(A1566="","",IF(COUNTIFS($X$2:$X$2001,X1566,$D$2:$D$2001,"&lt;&gt;"&amp;D1566,$C$2:$C$2001,C1566)&gt;0,"SIM","NAO"))</f>
        <v/>
      </c>
      <c r="Z1566" s="5" t="str">
        <f aca="false">IF(A1566="","",IF(J1566="","",IFERROR(360/J1566,"")))</f>
        <v/>
      </c>
      <c r="AA1566" s="5" t="str">
        <f aca="false">IF(A1566="","",IF(H1566=0,"Parado (sem venda 90d)",IF(Z1566&gt;12,"Alto (&gt;12x/ano)",IF(Z1566&gt;=4,"Medio (4-12x/ano)","Baixo (&lt;4x/ano)"))))</f>
        <v/>
      </c>
    </row>
    <row r="1567" customFormat="false" ht="15" hidden="false" customHeight="true" outlineLevel="0" collapsed="false">
      <c r="A1567" s="6"/>
      <c r="B1567" s="6"/>
      <c r="C1567" s="6"/>
      <c r="D1567" s="6"/>
      <c r="E1567" s="6"/>
      <c r="F1567" s="6"/>
      <c r="G1567" s="6"/>
      <c r="H1567" s="6"/>
      <c r="I1567" s="6"/>
      <c r="J1567" s="6"/>
      <c r="K1567" s="18"/>
      <c r="L1567" s="19" t="str">
        <f aca="false">IF(A1567="","",G1567*K1567)</f>
        <v/>
      </c>
      <c r="M1567" s="20"/>
      <c r="N1567" s="6"/>
      <c r="O1567" s="6"/>
      <c r="P1567" s="5" t="str">
        <f aca="false">IF(A1567="","",H1567/90)</f>
        <v/>
      </c>
      <c r="Q1567" s="5" t="str">
        <f aca="false">IF(A1567="","",IFERROR(INDEX(Parâmetros!$C$6:$C$10,MATCH(F1567,Parâmetros!$B$6:$B$10,0)),""))</f>
        <v/>
      </c>
      <c r="R1567" s="5" t="str">
        <f aca="false">IF(OR(A1567="",P1567="",Q1567=""),"",P1567*Q1567)</f>
        <v/>
      </c>
      <c r="S1567" s="5" t="str">
        <f aca="false">IF(R1567="","",MAX(0,R1567-G1567))</f>
        <v/>
      </c>
      <c r="T1567" s="21" t="str">
        <f aca="false">IF(S1567="","",S1567*K1567)</f>
        <v/>
      </c>
      <c r="U1567" s="5" t="str">
        <f aca="false">IF(A1567="","",IF(J1567&gt;Parâmetros!$C$14,"SIM","NAO"))</f>
        <v/>
      </c>
      <c r="V1567" s="5" t="str">
        <f aca="false">IF(B1567="","",TRIM(LEFT(B1567,IFERROR(FIND(" ",B1567)-1,LEN(B1567)))))</f>
        <v/>
      </c>
      <c r="W1567" s="22"/>
      <c r="X1567" s="5" t="str">
        <f aca="false">IF(A1567="","",IF(W1567&lt;&gt;"",W1567,V1567))</f>
        <v/>
      </c>
      <c r="Y1567" s="5" t="str">
        <f aca="false">IF(A1567="","",IF(COUNTIFS($X$2:$X$2001,X1567,$D$2:$D$2001,"&lt;&gt;"&amp;D1567,$C$2:$C$2001,C1567)&gt;0,"SIM","NAO"))</f>
        <v/>
      </c>
      <c r="Z1567" s="5" t="str">
        <f aca="false">IF(A1567="","",IF(J1567="","",IFERROR(360/J1567,"")))</f>
        <v/>
      </c>
      <c r="AA1567" s="5" t="str">
        <f aca="false">IF(A1567="","",IF(H1567=0,"Parado (sem venda 90d)",IF(Z1567&gt;12,"Alto (&gt;12x/ano)",IF(Z1567&gt;=4,"Medio (4-12x/ano)","Baixo (&lt;4x/ano)"))))</f>
        <v/>
      </c>
    </row>
    <row r="1568" customFormat="false" ht="15" hidden="false" customHeight="true" outlineLevel="0" collapsed="false">
      <c r="A1568" s="6"/>
      <c r="B1568" s="6"/>
      <c r="C1568" s="6"/>
      <c r="D1568" s="6"/>
      <c r="E1568" s="6"/>
      <c r="F1568" s="6"/>
      <c r="G1568" s="6"/>
      <c r="H1568" s="6"/>
      <c r="I1568" s="6"/>
      <c r="J1568" s="6"/>
      <c r="K1568" s="18"/>
      <c r="L1568" s="19" t="str">
        <f aca="false">IF(A1568="","",G1568*K1568)</f>
        <v/>
      </c>
      <c r="M1568" s="20"/>
      <c r="N1568" s="6"/>
      <c r="O1568" s="6"/>
      <c r="P1568" s="5" t="str">
        <f aca="false">IF(A1568="","",H1568/90)</f>
        <v/>
      </c>
      <c r="Q1568" s="5" t="str">
        <f aca="false">IF(A1568="","",IFERROR(INDEX(Parâmetros!$C$6:$C$10,MATCH(F1568,Parâmetros!$B$6:$B$10,0)),""))</f>
        <v/>
      </c>
      <c r="R1568" s="5" t="str">
        <f aca="false">IF(OR(A1568="",P1568="",Q1568=""),"",P1568*Q1568)</f>
        <v/>
      </c>
      <c r="S1568" s="5" t="str">
        <f aca="false">IF(R1568="","",MAX(0,R1568-G1568))</f>
        <v/>
      </c>
      <c r="T1568" s="21" t="str">
        <f aca="false">IF(S1568="","",S1568*K1568)</f>
        <v/>
      </c>
      <c r="U1568" s="5" t="str">
        <f aca="false">IF(A1568="","",IF(J1568&gt;Parâmetros!$C$14,"SIM","NAO"))</f>
        <v/>
      </c>
      <c r="V1568" s="5" t="str">
        <f aca="false">IF(B1568="","",TRIM(LEFT(B1568,IFERROR(FIND(" ",B1568)-1,LEN(B1568)))))</f>
        <v/>
      </c>
      <c r="W1568" s="22"/>
      <c r="X1568" s="5" t="str">
        <f aca="false">IF(A1568="","",IF(W1568&lt;&gt;"",W1568,V1568))</f>
        <v/>
      </c>
      <c r="Y1568" s="5" t="str">
        <f aca="false">IF(A1568="","",IF(COUNTIFS($X$2:$X$2001,X1568,$D$2:$D$2001,"&lt;&gt;"&amp;D1568,$C$2:$C$2001,C1568)&gt;0,"SIM","NAO"))</f>
        <v/>
      </c>
      <c r="Z1568" s="5" t="str">
        <f aca="false">IF(A1568="","",IF(J1568="","",IFERROR(360/J1568,"")))</f>
        <v/>
      </c>
      <c r="AA1568" s="5" t="str">
        <f aca="false">IF(A1568="","",IF(H1568=0,"Parado (sem venda 90d)",IF(Z1568&gt;12,"Alto (&gt;12x/ano)",IF(Z1568&gt;=4,"Medio (4-12x/ano)","Baixo (&lt;4x/ano)"))))</f>
        <v/>
      </c>
    </row>
    <row r="1569" customFormat="false" ht="15" hidden="false" customHeight="true" outlineLevel="0" collapsed="false">
      <c r="A1569" s="6"/>
      <c r="B1569" s="6"/>
      <c r="C1569" s="6"/>
      <c r="D1569" s="6"/>
      <c r="E1569" s="6"/>
      <c r="F1569" s="6"/>
      <c r="G1569" s="6"/>
      <c r="H1569" s="6"/>
      <c r="I1569" s="6"/>
      <c r="J1569" s="6"/>
      <c r="K1569" s="18"/>
      <c r="L1569" s="19" t="str">
        <f aca="false">IF(A1569="","",G1569*K1569)</f>
        <v/>
      </c>
      <c r="M1569" s="20"/>
      <c r="N1569" s="6"/>
      <c r="O1569" s="6"/>
      <c r="P1569" s="5" t="str">
        <f aca="false">IF(A1569="","",H1569/90)</f>
        <v/>
      </c>
      <c r="Q1569" s="5" t="str">
        <f aca="false">IF(A1569="","",IFERROR(INDEX(Parâmetros!$C$6:$C$10,MATCH(F1569,Parâmetros!$B$6:$B$10,0)),""))</f>
        <v/>
      </c>
      <c r="R1569" s="5" t="str">
        <f aca="false">IF(OR(A1569="",P1569="",Q1569=""),"",P1569*Q1569)</f>
        <v/>
      </c>
      <c r="S1569" s="5" t="str">
        <f aca="false">IF(R1569="","",MAX(0,R1569-G1569))</f>
        <v/>
      </c>
      <c r="T1569" s="21" t="str">
        <f aca="false">IF(S1569="","",S1569*K1569)</f>
        <v/>
      </c>
      <c r="U1569" s="5" t="str">
        <f aca="false">IF(A1569="","",IF(J1569&gt;Parâmetros!$C$14,"SIM","NAO"))</f>
        <v/>
      </c>
      <c r="V1569" s="5" t="str">
        <f aca="false">IF(B1569="","",TRIM(LEFT(B1569,IFERROR(FIND(" ",B1569)-1,LEN(B1569)))))</f>
        <v/>
      </c>
      <c r="W1569" s="22"/>
      <c r="X1569" s="5" t="str">
        <f aca="false">IF(A1569="","",IF(W1569&lt;&gt;"",W1569,V1569))</f>
        <v/>
      </c>
      <c r="Y1569" s="5" t="str">
        <f aca="false">IF(A1569="","",IF(COUNTIFS($X$2:$X$2001,X1569,$D$2:$D$2001,"&lt;&gt;"&amp;D1569,$C$2:$C$2001,C1569)&gt;0,"SIM","NAO"))</f>
        <v/>
      </c>
      <c r="Z1569" s="5" t="str">
        <f aca="false">IF(A1569="","",IF(J1569="","",IFERROR(360/J1569,"")))</f>
        <v/>
      </c>
      <c r="AA1569" s="5" t="str">
        <f aca="false">IF(A1569="","",IF(H1569=0,"Parado (sem venda 90d)",IF(Z1569&gt;12,"Alto (&gt;12x/ano)",IF(Z1569&gt;=4,"Medio (4-12x/ano)","Baixo (&lt;4x/ano)"))))</f>
        <v/>
      </c>
    </row>
    <row r="1570" customFormat="false" ht="15" hidden="false" customHeight="true" outlineLevel="0" collapsed="false">
      <c r="A1570" s="6"/>
      <c r="B1570" s="6"/>
      <c r="C1570" s="6"/>
      <c r="D1570" s="6"/>
      <c r="E1570" s="6"/>
      <c r="F1570" s="6"/>
      <c r="G1570" s="6"/>
      <c r="H1570" s="6"/>
      <c r="I1570" s="6"/>
      <c r="J1570" s="6"/>
      <c r="K1570" s="18"/>
      <c r="L1570" s="19" t="str">
        <f aca="false">IF(A1570="","",G1570*K1570)</f>
        <v/>
      </c>
      <c r="M1570" s="20"/>
      <c r="N1570" s="6"/>
      <c r="O1570" s="6"/>
      <c r="P1570" s="5" t="str">
        <f aca="false">IF(A1570="","",H1570/90)</f>
        <v/>
      </c>
      <c r="Q1570" s="5" t="str">
        <f aca="false">IF(A1570="","",IFERROR(INDEX(Parâmetros!$C$6:$C$10,MATCH(F1570,Parâmetros!$B$6:$B$10,0)),""))</f>
        <v/>
      </c>
      <c r="R1570" s="5" t="str">
        <f aca="false">IF(OR(A1570="",P1570="",Q1570=""),"",P1570*Q1570)</f>
        <v/>
      </c>
      <c r="S1570" s="5" t="str">
        <f aca="false">IF(R1570="","",MAX(0,R1570-G1570))</f>
        <v/>
      </c>
      <c r="T1570" s="21" t="str">
        <f aca="false">IF(S1570="","",S1570*K1570)</f>
        <v/>
      </c>
      <c r="U1570" s="5" t="str">
        <f aca="false">IF(A1570="","",IF(J1570&gt;Parâmetros!$C$14,"SIM","NAO"))</f>
        <v/>
      </c>
      <c r="V1570" s="5" t="str">
        <f aca="false">IF(B1570="","",TRIM(LEFT(B1570,IFERROR(FIND(" ",B1570)-1,LEN(B1570)))))</f>
        <v/>
      </c>
      <c r="W1570" s="22"/>
      <c r="X1570" s="5" t="str">
        <f aca="false">IF(A1570="","",IF(W1570&lt;&gt;"",W1570,V1570))</f>
        <v/>
      </c>
      <c r="Y1570" s="5" t="str">
        <f aca="false">IF(A1570="","",IF(COUNTIFS($X$2:$X$2001,X1570,$D$2:$D$2001,"&lt;&gt;"&amp;D1570,$C$2:$C$2001,C1570)&gt;0,"SIM","NAO"))</f>
        <v/>
      </c>
      <c r="Z1570" s="5" t="str">
        <f aca="false">IF(A1570="","",IF(J1570="","",IFERROR(360/J1570,"")))</f>
        <v/>
      </c>
      <c r="AA1570" s="5" t="str">
        <f aca="false">IF(A1570="","",IF(H1570=0,"Parado (sem venda 90d)",IF(Z1570&gt;12,"Alto (&gt;12x/ano)",IF(Z1570&gt;=4,"Medio (4-12x/ano)","Baixo (&lt;4x/ano)"))))</f>
        <v/>
      </c>
    </row>
    <row r="1571" customFormat="false" ht="15" hidden="false" customHeight="true" outlineLevel="0" collapsed="false">
      <c r="A1571" s="6"/>
      <c r="B1571" s="6"/>
      <c r="C1571" s="6"/>
      <c r="D1571" s="6"/>
      <c r="E1571" s="6"/>
      <c r="F1571" s="6"/>
      <c r="G1571" s="6"/>
      <c r="H1571" s="6"/>
      <c r="I1571" s="6"/>
      <c r="J1571" s="6"/>
      <c r="K1571" s="18"/>
      <c r="L1571" s="19" t="str">
        <f aca="false">IF(A1571="","",G1571*K1571)</f>
        <v/>
      </c>
      <c r="M1571" s="20"/>
      <c r="N1571" s="6"/>
      <c r="O1571" s="6"/>
      <c r="P1571" s="5" t="str">
        <f aca="false">IF(A1571="","",H1571/90)</f>
        <v/>
      </c>
      <c r="Q1571" s="5" t="str">
        <f aca="false">IF(A1571="","",IFERROR(INDEX(Parâmetros!$C$6:$C$10,MATCH(F1571,Parâmetros!$B$6:$B$10,0)),""))</f>
        <v/>
      </c>
      <c r="R1571" s="5" t="str">
        <f aca="false">IF(OR(A1571="",P1571="",Q1571=""),"",P1571*Q1571)</f>
        <v/>
      </c>
      <c r="S1571" s="5" t="str">
        <f aca="false">IF(R1571="","",MAX(0,R1571-G1571))</f>
        <v/>
      </c>
      <c r="T1571" s="21" t="str">
        <f aca="false">IF(S1571="","",S1571*K1571)</f>
        <v/>
      </c>
      <c r="U1571" s="5" t="str">
        <f aca="false">IF(A1571="","",IF(J1571&gt;Parâmetros!$C$14,"SIM","NAO"))</f>
        <v/>
      </c>
      <c r="V1571" s="5" t="str">
        <f aca="false">IF(B1571="","",TRIM(LEFT(B1571,IFERROR(FIND(" ",B1571)-1,LEN(B1571)))))</f>
        <v/>
      </c>
      <c r="W1571" s="22"/>
      <c r="X1571" s="5" t="str">
        <f aca="false">IF(A1571="","",IF(W1571&lt;&gt;"",W1571,V1571))</f>
        <v/>
      </c>
      <c r="Y1571" s="5" t="str">
        <f aca="false">IF(A1571="","",IF(COUNTIFS($X$2:$X$2001,X1571,$D$2:$D$2001,"&lt;&gt;"&amp;D1571,$C$2:$C$2001,C1571)&gt;0,"SIM","NAO"))</f>
        <v/>
      </c>
      <c r="Z1571" s="5" t="str">
        <f aca="false">IF(A1571="","",IF(J1571="","",IFERROR(360/J1571,"")))</f>
        <v/>
      </c>
      <c r="AA1571" s="5" t="str">
        <f aca="false">IF(A1571="","",IF(H1571=0,"Parado (sem venda 90d)",IF(Z1571&gt;12,"Alto (&gt;12x/ano)",IF(Z1571&gt;=4,"Medio (4-12x/ano)","Baixo (&lt;4x/ano)"))))</f>
        <v/>
      </c>
    </row>
    <row r="1572" customFormat="false" ht="15" hidden="false" customHeight="true" outlineLevel="0" collapsed="false">
      <c r="A1572" s="6"/>
      <c r="B1572" s="6"/>
      <c r="C1572" s="6"/>
      <c r="D1572" s="6"/>
      <c r="E1572" s="6"/>
      <c r="F1572" s="6"/>
      <c r="G1572" s="6"/>
      <c r="H1572" s="6"/>
      <c r="I1572" s="6"/>
      <c r="J1572" s="6"/>
      <c r="K1572" s="18"/>
      <c r="L1572" s="19" t="str">
        <f aca="false">IF(A1572="","",G1572*K1572)</f>
        <v/>
      </c>
      <c r="M1572" s="20"/>
      <c r="N1572" s="6"/>
      <c r="O1572" s="6"/>
      <c r="P1572" s="5" t="str">
        <f aca="false">IF(A1572="","",H1572/90)</f>
        <v/>
      </c>
      <c r="Q1572" s="5" t="str">
        <f aca="false">IF(A1572="","",IFERROR(INDEX(Parâmetros!$C$6:$C$10,MATCH(F1572,Parâmetros!$B$6:$B$10,0)),""))</f>
        <v/>
      </c>
      <c r="R1572" s="5" t="str">
        <f aca="false">IF(OR(A1572="",P1572="",Q1572=""),"",P1572*Q1572)</f>
        <v/>
      </c>
      <c r="S1572" s="5" t="str">
        <f aca="false">IF(R1572="","",MAX(0,R1572-G1572))</f>
        <v/>
      </c>
      <c r="T1572" s="21" t="str">
        <f aca="false">IF(S1572="","",S1572*K1572)</f>
        <v/>
      </c>
      <c r="U1572" s="5" t="str">
        <f aca="false">IF(A1572="","",IF(J1572&gt;Parâmetros!$C$14,"SIM","NAO"))</f>
        <v/>
      </c>
      <c r="V1572" s="5" t="str">
        <f aca="false">IF(B1572="","",TRIM(LEFT(B1572,IFERROR(FIND(" ",B1572)-1,LEN(B1572)))))</f>
        <v/>
      </c>
      <c r="W1572" s="22"/>
      <c r="X1572" s="5" t="str">
        <f aca="false">IF(A1572="","",IF(W1572&lt;&gt;"",W1572,V1572))</f>
        <v/>
      </c>
      <c r="Y1572" s="5" t="str">
        <f aca="false">IF(A1572="","",IF(COUNTIFS($X$2:$X$2001,X1572,$D$2:$D$2001,"&lt;&gt;"&amp;D1572,$C$2:$C$2001,C1572)&gt;0,"SIM","NAO"))</f>
        <v/>
      </c>
      <c r="Z1572" s="5" t="str">
        <f aca="false">IF(A1572="","",IF(J1572="","",IFERROR(360/J1572,"")))</f>
        <v/>
      </c>
      <c r="AA1572" s="5" t="str">
        <f aca="false">IF(A1572="","",IF(H1572=0,"Parado (sem venda 90d)",IF(Z1572&gt;12,"Alto (&gt;12x/ano)",IF(Z1572&gt;=4,"Medio (4-12x/ano)","Baixo (&lt;4x/ano)"))))</f>
        <v/>
      </c>
    </row>
    <row r="1573" customFormat="false" ht="15" hidden="false" customHeight="true" outlineLevel="0" collapsed="false">
      <c r="A1573" s="6"/>
      <c r="B1573" s="6"/>
      <c r="C1573" s="6"/>
      <c r="D1573" s="6"/>
      <c r="E1573" s="6"/>
      <c r="F1573" s="6"/>
      <c r="G1573" s="6"/>
      <c r="H1573" s="6"/>
      <c r="I1573" s="6"/>
      <c r="J1573" s="6"/>
      <c r="K1573" s="18"/>
      <c r="L1573" s="19" t="str">
        <f aca="false">IF(A1573="","",G1573*K1573)</f>
        <v/>
      </c>
      <c r="M1573" s="20"/>
      <c r="N1573" s="6"/>
      <c r="O1573" s="6"/>
      <c r="P1573" s="5" t="str">
        <f aca="false">IF(A1573="","",H1573/90)</f>
        <v/>
      </c>
      <c r="Q1573" s="5" t="str">
        <f aca="false">IF(A1573="","",IFERROR(INDEX(Parâmetros!$C$6:$C$10,MATCH(F1573,Parâmetros!$B$6:$B$10,0)),""))</f>
        <v/>
      </c>
      <c r="R1573" s="5" t="str">
        <f aca="false">IF(OR(A1573="",P1573="",Q1573=""),"",P1573*Q1573)</f>
        <v/>
      </c>
      <c r="S1573" s="5" t="str">
        <f aca="false">IF(R1573="","",MAX(0,R1573-G1573))</f>
        <v/>
      </c>
      <c r="T1573" s="21" t="str">
        <f aca="false">IF(S1573="","",S1573*K1573)</f>
        <v/>
      </c>
      <c r="U1573" s="5" t="str">
        <f aca="false">IF(A1573="","",IF(J1573&gt;Parâmetros!$C$14,"SIM","NAO"))</f>
        <v/>
      </c>
      <c r="V1573" s="5" t="str">
        <f aca="false">IF(B1573="","",TRIM(LEFT(B1573,IFERROR(FIND(" ",B1573)-1,LEN(B1573)))))</f>
        <v/>
      </c>
      <c r="W1573" s="22"/>
      <c r="X1573" s="5" t="str">
        <f aca="false">IF(A1573="","",IF(W1573&lt;&gt;"",W1573,V1573))</f>
        <v/>
      </c>
      <c r="Y1573" s="5" t="str">
        <f aca="false">IF(A1573="","",IF(COUNTIFS($X$2:$X$2001,X1573,$D$2:$D$2001,"&lt;&gt;"&amp;D1573,$C$2:$C$2001,C1573)&gt;0,"SIM","NAO"))</f>
        <v/>
      </c>
      <c r="Z1573" s="5" t="str">
        <f aca="false">IF(A1573="","",IF(J1573="","",IFERROR(360/J1573,"")))</f>
        <v/>
      </c>
      <c r="AA1573" s="5" t="str">
        <f aca="false">IF(A1573="","",IF(H1573=0,"Parado (sem venda 90d)",IF(Z1573&gt;12,"Alto (&gt;12x/ano)",IF(Z1573&gt;=4,"Medio (4-12x/ano)","Baixo (&lt;4x/ano)"))))</f>
        <v/>
      </c>
    </row>
    <row r="1574" customFormat="false" ht="15" hidden="false" customHeight="true" outlineLevel="0" collapsed="false">
      <c r="A1574" s="6"/>
      <c r="B1574" s="6"/>
      <c r="C1574" s="6"/>
      <c r="D1574" s="6"/>
      <c r="E1574" s="6"/>
      <c r="F1574" s="6"/>
      <c r="G1574" s="6"/>
      <c r="H1574" s="6"/>
      <c r="I1574" s="6"/>
      <c r="J1574" s="6"/>
      <c r="K1574" s="18"/>
      <c r="L1574" s="19" t="str">
        <f aca="false">IF(A1574="","",G1574*K1574)</f>
        <v/>
      </c>
      <c r="M1574" s="20"/>
      <c r="N1574" s="6"/>
      <c r="O1574" s="6"/>
      <c r="P1574" s="5" t="str">
        <f aca="false">IF(A1574="","",H1574/90)</f>
        <v/>
      </c>
      <c r="Q1574" s="5" t="str">
        <f aca="false">IF(A1574="","",IFERROR(INDEX(Parâmetros!$C$6:$C$10,MATCH(F1574,Parâmetros!$B$6:$B$10,0)),""))</f>
        <v/>
      </c>
      <c r="R1574" s="5" t="str">
        <f aca="false">IF(OR(A1574="",P1574="",Q1574=""),"",P1574*Q1574)</f>
        <v/>
      </c>
      <c r="S1574" s="5" t="str">
        <f aca="false">IF(R1574="","",MAX(0,R1574-G1574))</f>
        <v/>
      </c>
      <c r="T1574" s="21" t="str">
        <f aca="false">IF(S1574="","",S1574*K1574)</f>
        <v/>
      </c>
      <c r="U1574" s="5" t="str">
        <f aca="false">IF(A1574="","",IF(J1574&gt;Parâmetros!$C$14,"SIM","NAO"))</f>
        <v/>
      </c>
      <c r="V1574" s="5" t="str">
        <f aca="false">IF(B1574="","",TRIM(LEFT(B1574,IFERROR(FIND(" ",B1574)-1,LEN(B1574)))))</f>
        <v/>
      </c>
      <c r="W1574" s="22"/>
      <c r="X1574" s="5" t="str">
        <f aca="false">IF(A1574="","",IF(W1574&lt;&gt;"",W1574,V1574))</f>
        <v/>
      </c>
      <c r="Y1574" s="5" t="str">
        <f aca="false">IF(A1574="","",IF(COUNTIFS($X$2:$X$2001,X1574,$D$2:$D$2001,"&lt;&gt;"&amp;D1574,$C$2:$C$2001,C1574)&gt;0,"SIM","NAO"))</f>
        <v/>
      </c>
      <c r="Z1574" s="5" t="str">
        <f aca="false">IF(A1574="","",IF(J1574="","",IFERROR(360/J1574,"")))</f>
        <v/>
      </c>
      <c r="AA1574" s="5" t="str">
        <f aca="false">IF(A1574="","",IF(H1574=0,"Parado (sem venda 90d)",IF(Z1574&gt;12,"Alto (&gt;12x/ano)",IF(Z1574&gt;=4,"Medio (4-12x/ano)","Baixo (&lt;4x/ano)"))))</f>
        <v/>
      </c>
    </row>
    <row r="1575" customFormat="false" ht="15" hidden="false" customHeight="true" outlineLevel="0" collapsed="false">
      <c r="A1575" s="6"/>
      <c r="B1575" s="6"/>
      <c r="C1575" s="6"/>
      <c r="D1575" s="6"/>
      <c r="E1575" s="6"/>
      <c r="F1575" s="6"/>
      <c r="G1575" s="6"/>
      <c r="H1575" s="6"/>
      <c r="I1575" s="6"/>
      <c r="J1575" s="6"/>
      <c r="K1575" s="18"/>
      <c r="L1575" s="19" t="str">
        <f aca="false">IF(A1575="","",G1575*K1575)</f>
        <v/>
      </c>
      <c r="M1575" s="20"/>
      <c r="N1575" s="6"/>
      <c r="O1575" s="6"/>
      <c r="P1575" s="5" t="str">
        <f aca="false">IF(A1575="","",H1575/90)</f>
        <v/>
      </c>
      <c r="Q1575" s="5" t="str">
        <f aca="false">IF(A1575="","",IFERROR(INDEX(Parâmetros!$C$6:$C$10,MATCH(F1575,Parâmetros!$B$6:$B$10,0)),""))</f>
        <v/>
      </c>
      <c r="R1575" s="5" t="str">
        <f aca="false">IF(OR(A1575="",P1575="",Q1575=""),"",P1575*Q1575)</f>
        <v/>
      </c>
      <c r="S1575" s="5" t="str">
        <f aca="false">IF(R1575="","",MAX(0,R1575-G1575))</f>
        <v/>
      </c>
      <c r="T1575" s="21" t="str">
        <f aca="false">IF(S1575="","",S1575*K1575)</f>
        <v/>
      </c>
      <c r="U1575" s="5" t="str">
        <f aca="false">IF(A1575="","",IF(J1575&gt;Parâmetros!$C$14,"SIM","NAO"))</f>
        <v/>
      </c>
      <c r="V1575" s="5" t="str">
        <f aca="false">IF(B1575="","",TRIM(LEFT(B1575,IFERROR(FIND(" ",B1575)-1,LEN(B1575)))))</f>
        <v/>
      </c>
      <c r="W1575" s="22"/>
      <c r="X1575" s="5" t="str">
        <f aca="false">IF(A1575="","",IF(W1575&lt;&gt;"",W1575,V1575))</f>
        <v/>
      </c>
      <c r="Y1575" s="5" t="str">
        <f aca="false">IF(A1575="","",IF(COUNTIFS($X$2:$X$2001,X1575,$D$2:$D$2001,"&lt;&gt;"&amp;D1575,$C$2:$C$2001,C1575)&gt;0,"SIM","NAO"))</f>
        <v/>
      </c>
      <c r="Z1575" s="5" t="str">
        <f aca="false">IF(A1575="","",IF(J1575="","",IFERROR(360/J1575,"")))</f>
        <v/>
      </c>
      <c r="AA1575" s="5" t="str">
        <f aca="false">IF(A1575="","",IF(H1575=0,"Parado (sem venda 90d)",IF(Z1575&gt;12,"Alto (&gt;12x/ano)",IF(Z1575&gt;=4,"Medio (4-12x/ano)","Baixo (&lt;4x/ano)"))))</f>
        <v/>
      </c>
    </row>
    <row r="1576" customFormat="false" ht="15" hidden="false" customHeight="true" outlineLevel="0" collapsed="false">
      <c r="A1576" s="6"/>
      <c r="B1576" s="6"/>
      <c r="C1576" s="6"/>
      <c r="D1576" s="6"/>
      <c r="E1576" s="6"/>
      <c r="F1576" s="6"/>
      <c r="G1576" s="6"/>
      <c r="H1576" s="6"/>
      <c r="I1576" s="6"/>
      <c r="J1576" s="6"/>
      <c r="K1576" s="18"/>
      <c r="L1576" s="19" t="str">
        <f aca="false">IF(A1576="","",G1576*K1576)</f>
        <v/>
      </c>
      <c r="M1576" s="20"/>
      <c r="N1576" s="6"/>
      <c r="O1576" s="6"/>
      <c r="P1576" s="5" t="str">
        <f aca="false">IF(A1576="","",H1576/90)</f>
        <v/>
      </c>
      <c r="Q1576" s="5" t="str">
        <f aca="false">IF(A1576="","",IFERROR(INDEX(Parâmetros!$C$6:$C$10,MATCH(F1576,Parâmetros!$B$6:$B$10,0)),""))</f>
        <v/>
      </c>
      <c r="R1576" s="5" t="str">
        <f aca="false">IF(OR(A1576="",P1576="",Q1576=""),"",P1576*Q1576)</f>
        <v/>
      </c>
      <c r="S1576" s="5" t="str">
        <f aca="false">IF(R1576="","",MAX(0,R1576-G1576))</f>
        <v/>
      </c>
      <c r="T1576" s="21" t="str">
        <f aca="false">IF(S1576="","",S1576*K1576)</f>
        <v/>
      </c>
      <c r="U1576" s="5" t="str">
        <f aca="false">IF(A1576="","",IF(J1576&gt;Parâmetros!$C$14,"SIM","NAO"))</f>
        <v/>
      </c>
      <c r="V1576" s="5" t="str">
        <f aca="false">IF(B1576="","",TRIM(LEFT(B1576,IFERROR(FIND(" ",B1576)-1,LEN(B1576)))))</f>
        <v/>
      </c>
      <c r="W1576" s="22"/>
      <c r="X1576" s="5" t="str">
        <f aca="false">IF(A1576="","",IF(W1576&lt;&gt;"",W1576,V1576))</f>
        <v/>
      </c>
      <c r="Y1576" s="5" t="str">
        <f aca="false">IF(A1576="","",IF(COUNTIFS($X$2:$X$2001,X1576,$D$2:$D$2001,"&lt;&gt;"&amp;D1576,$C$2:$C$2001,C1576)&gt;0,"SIM","NAO"))</f>
        <v/>
      </c>
      <c r="Z1576" s="5" t="str">
        <f aca="false">IF(A1576="","",IF(J1576="","",IFERROR(360/J1576,"")))</f>
        <v/>
      </c>
      <c r="AA1576" s="5" t="str">
        <f aca="false">IF(A1576="","",IF(H1576=0,"Parado (sem venda 90d)",IF(Z1576&gt;12,"Alto (&gt;12x/ano)",IF(Z1576&gt;=4,"Medio (4-12x/ano)","Baixo (&lt;4x/ano)"))))</f>
        <v/>
      </c>
    </row>
    <row r="1577" customFormat="false" ht="15" hidden="false" customHeight="true" outlineLevel="0" collapsed="false">
      <c r="A1577" s="6"/>
      <c r="B1577" s="6"/>
      <c r="C1577" s="6"/>
      <c r="D1577" s="6"/>
      <c r="E1577" s="6"/>
      <c r="F1577" s="6"/>
      <c r="G1577" s="6"/>
      <c r="H1577" s="6"/>
      <c r="I1577" s="6"/>
      <c r="J1577" s="6"/>
      <c r="K1577" s="18"/>
      <c r="L1577" s="19" t="str">
        <f aca="false">IF(A1577="","",G1577*K1577)</f>
        <v/>
      </c>
      <c r="M1577" s="20"/>
      <c r="N1577" s="6"/>
      <c r="O1577" s="6"/>
      <c r="P1577" s="5" t="str">
        <f aca="false">IF(A1577="","",H1577/90)</f>
        <v/>
      </c>
      <c r="Q1577" s="5" t="str">
        <f aca="false">IF(A1577="","",IFERROR(INDEX(Parâmetros!$C$6:$C$10,MATCH(F1577,Parâmetros!$B$6:$B$10,0)),""))</f>
        <v/>
      </c>
      <c r="R1577" s="5" t="str">
        <f aca="false">IF(OR(A1577="",P1577="",Q1577=""),"",P1577*Q1577)</f>
        <v/>
      </c>
      <c r="S1577" s="5" t="str">
        <f aca="false">IF(R1577="","",MAX(0,R1577-G1577))</f>
        <v/>
      </c>
      <c r="T1577" s="21" t="str">
        <f aca="false">IF(S1577="","",S1577*K1577)</f>
        <v/>
      </c>
      <c r="U1577" s="5" t="str">
        <f aca="false">IF(A1577="","",IF(J1577&gt;Parâmetros!$C$14,"SIM","NAO"))</f>
        <v/>
      </c>
      <c r="V1577" s="5" t="str">
        <f aca="false">IF(B1577="","",TRIM(LEFT(B1577,IFERROR(FIND(" ",B1577)-1,LEN(B1577)))))</f>
        <v/>
      </c>
      <c r="W1577" s="22"/>
      <c r="X1577" s="5" t="str">
        <f aca="false">IF(A1577="","",IF(W1577&lt;&gt;"",W1577,V1577))</f>
        <v/>
      </c>
      <c r="Y1577" s="5" t="str">
        <f aca="false">IF(A1577="","",IF(COUNTIFS($X$2:$X$2001,X1577,$D$2:$D$2001,"&lt;&gt;"&amp;D1577,$C$2:$C$2001,C1577)&gt;0,"SIM","NAO"))</f>
        <v/>
      </c>
      <c r="Z1577" s="5" t="str">
        <f aca="false">IF(A1577="","",IF(J1577="","",IFERROR(360/J1577,"")))</f>
        <v/>
      </c>
      <c r="AA1577" s="5" t="str">
        <f aca="false">IF(A1577="","",IF(H1577=0,"Parado (sem venda 90d)",IF(Z1577&gt;12,"Alto (&gt;12x/ano)",IF(Z1577&gt;=4,"Medio (4-12x/ano)","Baixo (&lt;4x/ano)"))))</f>
        <v/>
      </c>
    </row>
    <row r="1578" customFormat="false" ht="15" hidden="false" customHeight="true" outlineLevel="0" collapsed="false">
      <c r="A1578" s="6"/>
      <c r="B1578" s="6"/>
      <c r="C1578" s="6"/>
      <c r="D1578" s="6"/>
      <c r="E1578" s="6"/>
      <c r="F1578" s="6"/>
      <c r="G1578" s="6"/>
      <c r="H1578" s="6"/>
      <c r="I1578" s="6"/>
      <c r="J1578" s="6"/>
      <c r="K1578" s="18"/>
      <c r="L1578" s="19" t="str">
        <f aca="false">IF(A1578="","",G1578*K1578)</f>
        <v/>
      </c>
      <c r="M1578" s="20"/>
      <c r="N1578" s="6"/>
      <c r="O1578" s="6"/>
      <c r="P1578" s="5" t="str">
        <f aca="false">IF(A1578="","",H1578/90)</f>
        <v/>
      </c>
      <c r="Q1578" s="5" t="str">
        <f aca="false">IF(A1578="","",IFERROR(INDEX(Parâmetros!$C$6:$C$10,MATCH(F1578,Parâmetros!$B$6:$B$10,0)),""))</f>
        <v/>
      </c>
      <c r="R1578" s="5" t="str">
        <f aca="false">IF(OR(A1578="",P1578="",Q1578=""),"",P1578*Q1578)</f>
        <v/>
      </c>
      <c r="S1578" s="5" t="str">
        <f aca="false">IF(R1578="","",MAX(0,R1578-G1578))</f>
        <v/>
      </c>
      <c r="T1578" s="21" t="str">
        <f aca="false">IF(S1578="","",S1578*K1578)</f>
        <v/>
      </c>
      <c r="U1578" s="5" t="str">
        <f aca="false">IF(A1578="","",IF(J1578&gt;Parâmetros!$C$14,"SIM","NAO"))</f>
        <v/>
      </c>
      <c r="V1578" s="5" t="str">
        <f aca="false">IF(B1578="","",TRIM(LEFT(B1578,IFERROR(FIND(" ",B1578)-1,LEN(B1578)))))</f>
        <v/>
      </c>
      <c r="W1578" s="22"/>
      <c r="X1578" s="5" t="str">
        <f aca="false">IF(A1578="","",IF(W1578&lt;&gt;"",W1578,V1578))</f>
        <v/>
      </c>
      <c r="Y1578" s="5" t="str">
        <f aca="false">IF(A1578="","",IF(COUNTIFS($X$2:$X$2001,X1578,$D$2:$D$2001,"&lt;&gt;"&amp;D1578,$C$2:$C$2001,C1578)&gt;0,"SIM","NAO"))</f>
        <v/>
      </c>
      <c r="Z1578" s="5" t="str">
        <f aca="false">IF(A1578="","",IF(J1578="","",IFERROR(360/J1578,"")))</f>
        <v/>
      </c>
      <c r="AA1578" s="5" t="str">
        <f aca="false">IF(A1578="","",IF(H1578=0,"Parado (sem venda 90d)",IF(Z1578&gt;12,"Alto (&gt;12x/ano)",IF(Z1578&gt;=4,"Medio (4-12x/ano)","Baixo (&lt;4x/ano)"))))</f>
        <v/>
      </c>
    </row>
    <row r="1579" customFormat="false" ht="15" hidden="false" customHeight="true" outlineLevel="0" collapsed="false">
      <c r="A1579" s="6"/>
      <c r="B1579" s="6"/>
      <c r="C1579" s="6"/>
      <c r="D1579" s="6"/>
      <c r="E1579" s="6"/>
      <c r="F1579" s="6"/>
      <c r="G1579" s="6"/>
      <c r="H1579" s="6"/>
      <c r="I1579" s="6"/>
      <c r="J1579" s="6"/>
      <c r="K1579" s="18"/>
      <c r="L1579" s="19" t="str">
        <f aca="false">IF(A1579="","",G1579*K1579)</f>
        <v/>
      </c>
      <c r="M1579" s="20"/>
      <c r="N1579" s="6"/>
      <c r="O1579" s="6"/>
      <c r="P1579" s="5" t="str">
        <f aca="false">IF(A1579="","",H1579/90)</f>
        <v/>
      </c>
      <c r="Q1579" s="5" t="str">
        <f aca="false">IF(A1579="","",IFERROR(INDEX(Parâmetros!$C$6:$C$10,MATCH(F1579,Parâmetros!$B$6:$B$10,0)),""))</f>
        <v/>
      </c>
      <c r="R1579" s="5" t="str">
        <f aca="false">IF(OR(A1579="",P1579="",Q1579=""),"",P1579*Q1579)</f>
        <v/>
      </c>
      <c r="S1579" s="5" t="str">
        <f aca="false">IF(R1579="","",MAX(0,R1579-G1579))</f>
        <v/>
      </c>
      <c r="T1579" s="21" t="str">
        <f aca="false">IF(S1579="","",S1579*K1579)</f>
        <v/>
      </c>
      <c r="U1579" s="5" t="str">
        <f aca="false">IF(A1579="","",IF(J1579&gt;Parâmetros!$C$14,"SIM","NAO"))</f>
        <v/>
      </c>
      <c r="V1579" s="5" t="str">
        <f aca="false">IF(B1579="","",TRIM(LEFT(B1579,IFERROR(FIND(" ",B1579)-1,LEN(B1579)))))</f>
        <v/>
      </c>
      <c r="W1579" s="22"/>
      <c r="X1579" s="5" t="str">
        <f aca="false">IF(A1579="","",IF(W1579&lt;&gt;"",W1579,V1579))</f>
        <v/>
      </c>
      <c r="Y1579" s="5" t="str">
        <f aca="false">IF(A1579="","",IF(COUNTIFS($X$2:$X$2001,X1579,$D$2:$D$2001,"&lt;&gt;"&amp;D1579,$C$2:$C$2001,C1579)&gt;0,"SIM","NAO"))</f>
        <v/>
      </c>
      <c r="Z1579" s="5" t="str">
        <f aca="false">IF(A1579="","",IF(J1579="","",IFERROR(360/J1579,"")))</f>
        <v/>
      </c>
      <c r="AA1579" s="5" t="str">
        <f aca="false">IF(A1579="","",IF(H1579=0,"Parado (sem venda 90d)",IF(Z1579&gt;12,"Alto (&gt;12x/ano)",IF(Z1579&gt;=4,"Medio (4-12x/ano)","Baixo (&lt;4x/ano)"))))</f>
        <v/>
      </c>
    </row>
    <row r="1580" customFormat="false" ht="15" hidden="false" customHeight="true" outlineLevel="0" collapsed="false">
      <c r="A1580" s="6"/>
      <c r="B1580" s="6"/>
      <c r="C1580" s="6"/>
      <c r="D1580" s="6"/>
      <c r="E1580" s="6"/>
      <c r="F1580" s="6"/>
      <c r="G1580" s="6"/>
      <c r="H1580" s="6"/>
      <c r="I1580" s="6"/>
      <c r="J1580" s="6"/>
      <c r="K1580" s="18"/>
      <c r="L1580" s="19" t="str">
        <f aca="false">IF(A1580="","",G1580*K1580)</f>
        <v/>
      </c>
      <c r="M1580" s="20"/>
      <c r="N1580" s="6"/>
      <c r="O1580" s="6"/>
      <c r="P1580" s="5" t="str">
        <f aca="false">IF(A1580="","",H1580/90)</f>
        <v/>
      </c>
      <c r="Q1580" s="5" t="str">
        <f aca="false">IF(A1580="","",IFERROR(INDEX(Parâmetros!$C$6:$C$10,MATCH(F1580,Parâmetros!$B$6:$B$10,0)),""))</f>
        <v/>
      </c>
      <c r="R1580" s="5" t="str">
        <f aca="false">IF(OR(A1580="",P1580="",Q1580=""),"",P1580*Q1580)</f>
        <v/>
      </c>
      <c r="S1580" s="5" t="str">
        <f aca="false">IF(R1580="","",MAX(0,R1580-G1580))</f>
        <v/>
      </c>
      <c r="T1580" s="21" t="str">
        <f aca="false">IF(S1580="","",S1580*K1580)</f>
        <v/>
      </c>
      <c r="U1580" s="5" t="str">
        <f aca="false">IF(A1580="","",IF(J1580&gt;Parâmetros!$C$14,"SIM","NAO"))</f>
        <v/>
      </c>
      <c r="V1580" s="5" t="str">
        <f aca="false">IF(B1580="","",TRIM(LEFT(B1580,IFERROR(FIND(" ",B1580)-1,LEN(B1580)))))</f>
        <v/>
      </c>
      <c r="W1580" s="22"/>
      <c r="X1580" s="5" t="str">
        <f aca="false">IF(A1580="","",IF(W1580&lt;&gt;"",W1580,V1580))</f>
        <v/>
      </c>
      <c r="Y1580" s="5" t="str">
        <f aca="false">IF(A1580="","",IF(COUNTIFS($X$2:$X$2001,X1580,$D$2:$D$2001,"&lt;&gt;"&amp;D1580,$C$2:$C$2001,C1580)&gt;0,"SIM","NAO"))</f>
        <v/>
      </c>
      <c r="Z1580" s="5" t="str">
        <f aca="false">IF(A1580="","",IF(J1580="","",IFERROR(360/J1580,"")))</f>
        <v/>
      </c>
      <c r="AA1580" s="5" t="str">
        <f aca="false">IF(A1580="","",IF(H1580=0,"Parado (sem venda 90d)",IF(Z1580&gt;12,"Alto (&gt;12x/ano)",IF(Z1580&gt;=4,"Medio (4-12x/ano)","Baixo (&lt;4x/ano)"))))</f>
        <v/>
      </c>
    </row>
    <row r="1581" customFormat="false" ht="15" hidden="false" customHeight="true" outlineLevel="0" collapsed="false">
      <c r="A1581" s="6"/>
      <c r="B1581" s="6"/>
      <c r="C1581" s="6"/>
      <c r="D1581" s="6"/>
      <c r="E1581" s="6"/>
      <c r="F1581" s="6"/>
      <c r="G1581" s="6"/>
      <c r="H1581" s="6"/>
      <c r="I1581" s="6"/>
      <c r="J1581" s="6"/>
      <c r="K1581" s="18"/>
      <c r="L1581" s="19" t="str">
        <f aca="false">IF(A1581="","",G1581*K1581)</f>
        <v/>
      </c>
      <c r="M1581" s="20"/>
      <c r="N1581" s="6"/>
      <c r="O1581" s="6"/>
      <c r="P1581" s="5" t="str">
        <f aca="false">IF(A1581="","",H1581/90)</f>
        <v/>
      </c>
      <c r="Q1581" s="5" t="str">
        <f aca="false">IF(A1581="","",IFERROR(INDEX(Parâmetros!$C$6:$C$10,MATCH(F1581,Parâmetros!$B$6:$B$10,0)),""))</f>
        <v/>
      </c>
      <c r="R1581" s="5" t="str">
        <f aca="false">IF(OR(A1581="",P1581="",Q1581=""),"",P1581*Q1581)</f>
        <v/>
      </c>
      <c r="S1581" s="5" t="str">
        <f aca="false">IF(R1581="","",MAX(0,R1581-G1581))</f>
        <v/>
      </c>
      <c r="T1581" s="21" t="str">
        <f aca="false">IF(S1581="","",S1581*K1581)</f>
        <v/>
      </c>
      <c r="U1581" s="5" t="str">
        <f aca="false">IF(A1581="","",IF(J1581&gt;Parâmetros!$C$14,"SIM","NAO"))</f>
        <v/>
      </c>
      <c r="V1581" s="5" t="str">
        <f aca="false">IF(B1581="","",TRIM(LEFT(B1581,IFERROR(FIND(" ",B1581)-1,LEN(B1581)))))</f>
        <v/>
      </c>
      <c r="W1581" s="22"/>
      <c r="X1581" s="5" t="str">
        <f aca="false">IF(A1581="","",IF(W1581&lt;&gt;"",W1581,V1581))</f>
        <v/>
      </c>
      <c r="Y1581" s="5" t="str">
        <f aca="false">IF(A1581="","",IF(COUNTIFS($X$2:$X$2001,X1581,$D$2:$D$2001,"&lt;&gt;"&amp;D1581,$C$2:$C$2001,C1581)&gt;0,"SIM","NAO"))</f>
        <v/>
      </c>
      <c r="Z1581" s="5" t="str">
        <f aca="false">IF(A1581="","",IF(J1581="","",IFERROR(360/J1581,"")))</f>
        <v/>
      </c>
      <c r="AA1581" s="5" t="str">
        <f aca="false">IF(A1581="","",IF(H1581=0,"Parado (sem venda 90d)",IF(Z1581&gt;12,"Alto (&gt;12x/ano)",IF(Z1581&gt;=4,"Medio (4-12x/ano)","Baixo (&lt;4x/ano)"))))</f>
        <v/>
      </c>
    </row>
    <row r="1582" customFormat="false" ht="15" hidden="false" customHeight="true" outlineLevel="0" collapsed="false">
      <c r="A1582" s="6"/>
      <c r="B1582" s="6"/>
      <c r="C1582" s="6"/>
      <c r="D1582" s="6"/>
      <c r="E1582" s="6"/>
      <c r="F1582" s="6"/>
      <c r="G1582" s="6"/>
      <c r="H1582" s="6"/>
      <c r="I1582" s="6"/>
      <c r="J1582" s="6"/>
      <c r="K1582" s="18"/>
      <c r="L1582" s="19" t="str">
        <f aca="false">IF(A1582="","",G1582*K1582)</f>
        <v/>
      </c>
      <c r="M1582" s="20"/>
      <c r="N1582" s="6"/>
      <c r="O1582" s="6"/>
      <c r="P1582" s="5" t="str">
        <f aca="false">IF(A1582="","",H1582/90)</f>
        <v/>
      </c>
      <c r="Q1582" s="5" t="str">
        <f aca="false">IF(A1582="","",IFERROR(INDEX(Parâmetros!$C$6:$C$10,MATCH(F1582,Parâmetros!$B$6:$B$10,0)),""))</f>
        <v/>
      </c>
      <c r="R1582" s="5" t="str">
        <f aca="false">IF(OR(A1582="",P1582="",Q1582=""),"",P1582*Q1582)</f>
        <v/>
      </c>
      <c r="S1582" s="5" t="str">
        <f aca="false">IF(R1582="","",MAX(0,R1582-G1582))</f>
        <v/>
      </c>
      <c r="T1582" s="21" t="str">
        <f aca="false">IF(S1582="","",S1582*K1582)</f>
        <v/>
      </c>
      <c r="U1582" s="5" t="str">
        <f aca="false">IF(A1582="","",IF(J1582&gt;Parâmetros!$C$14,"SIM","NAO"))</f>
        <v/>
      </c>
      <c r="V1582" s="5" t="str">
        <f aca="false">IF(B1582="","",TRIM(LEFT(B1582,IFERROR(FIND(" ",B1582)-1,LEN(B1582)))))</f>
        <v/>
      </c>
      <c r="W1582" s="22"/>
      <c r="X1582" s="5" t="str">
        <f aca="false">IF(A1582="","",IF(W1582&lt;&gt;"",W1582,V1582))</f>
        <v/>
      </c>
      <c r="Y1582" s="5" t="str">
        <f aca="false">IF(A1582="","",IF(COUNTIFS($X$2:$X$2001,X1582,$D$2:$D$2001,"&lt;&gt;"&amp;D1582,$C$2:$C$2001,C1582)&gt;0,"SIM","NAO"))</f>
        <v/>
      </c>
      <c r="Z1582" s="5" t="str">
        <f aca="false">IF(A1582="","",IF(J1582="","",IFERROR(360/J1582,"")))</f>
        <v/>
      </c>
      <c r="AA1582" s="5" t="str">
        <f aca="false">IF(A1582="","",IF(H1582=0,"Parado (sem venda 90d)",IF(Z1582&gt;12,"Alto (&gt;12x/ano)",IF(Z1582&gt;=4,"Medio (4-12x/ano)","Baixo (&lt;4x/ano)"))))</f>
        <v/>
      </c>
    </row>
    <row r="1583" customFormat="false" ht="15" hidden="false" customHeight="true" outlineLevel="0" collapsed="false">
      <c r="A1583" s="6"/>
      <c r="B1583" s="6"/>
      <c r="C1583" s="6"/>
      <c r="D1583" s="6"/>
      <c r="E1583" s="6"/>
      <c r="F1583" s="6"/>
      <c r="G1583" s="6"/>
      <c r="H1583" s="6"/>
      <c r="I1583" s="6"/>
      <c r="J1583" s="6"/>
      <c r="K1583" s="18"/>
      <c r="L1583" s="19" t="str">
        <f aca="false">IF(A1583="","",G1583*K1583)</f>
        <v/>
      </c>
      <c r="M1583" s="20"/>
      <c r="N1583" s="6"/>
      <c r="O1583" s="6"/>
      <c r="P1583" s="5" t="str">
        <f aca="false">IF(A1583="","",H1583/90)</f>
        <v/>
      </c>
      <c r="Q1583" s="5" t="str">
        <f aca="false">IF(A1583="","",IFERROR(INDEX(Parâmetros!$C$6:$C$10,MATCH(F1583,Parâmetros!$B$6:$B$10,0)),""))</f>
        <v/>
      </c>
      <c r="R1583" s="5" t="str">
        <f aca="false">IF(OR(A1583="",P1583="",Q1583=""),"",P1583*Q1583)</f>
        <v/>
      </c>
      <c r="S1583" s="5" t="str">
        <f aca="false">IF(R1583="","",MAX(0,R1583-G1583))</f>
        <v/>
      </c>
      <c r="T1583" s="21" t="str">
        <f aca="false">IF(S1583="","",S1583*K1583)</f>
        <v/>
      </c>
      <c r="U1583" s="5" t="str">
        <f aca="false">IF(A1583="","",IF(J1583&gt;Parâmetros!$C$14,"SIM","NAO"))</f>
        <v/>
      </c>
      <c r="V1583" s="5" t="str">
        <f aca="false">IF(B1583="","",TRIM(LEFT(B1583,IFERROR(FIND(" ",B1583)-1,LEN(B1583)))))</f>
        <v/>
      </c>
      <c r="W1583" s="22"/>
      <c r="X1583" s="5" t="str">
        <f aca="false">IF(A1583="","",IF(W1583&lt;&gt;"",W1583,V1583))</f>
        <v/>
      </c>
      <c r="Y1583" s="5" t="str">
        <f aca="false">IF(A1583="","",IF(COUNTIFS($X$2:$X$2001,X1583,$D$2:$D$2001,"&lt;&gt;"&amp;D1583,$C$2:$C$2001,C1583)&gt;0,"SIM","NAO"))</f>
        <v/>
      </c>
      <c r="Z1583" s="5" t="str">
        <f aca="false">IF(A1583="","",IF(J1583="","",IFERROR(360/J1583,"")))</f>
        <v/>
      </c>
      <c r="AA1583" s="5" t="str">
        <f aca="false">IF(A1583="","",IF(H1583=0,"Parado (sem venda 90d)",IF(Z1583&gt;12,"Alto (&gt;12x/ano)",IF(Z1583&gt;=4,"Medio (4-12x/ano)","Baixo (&lt;4x/ano)"))))</f>
        <v/>
      </c>
    </row>
    <row r="1584" customFormat="false" ht="15" hidden="false" customHeight="true" outlineLevel="0" collapsed="false">
      <c r="A1584" s="6"/>
      <c r="B1584" s="6"/>
      <c r="C1584" s="6"/>
      <c r="D1584" s="6"/>
      <c r="E1584" s="6"/>
      <c r="F1584" s="6"/>
      <c r="G1584" s="6"/>
      <c r="H1584" s="6"/>
      <c r="I1584" s="6"/>
      <c r="J1584" s="6"/>
      <c r="K1584" s="18"/>
      <c r="L1584" s="19" t="str">
        <f aca="false">IF(A1584="","",G1584*K1584)</f>
        <v/>
      </c>
      <c r="M1584" s="20"/>
      <c r="N1584" s="6"/>
      <c r="O1584" s="6"/>
      <c r="P1584" s="5" t="str">
        <f aca="false">IF(A1584="","",H1584/90)</f>
        <v/>
      </c>
      <c r="Q1584" s="5" t="str">
        <f aca="false">IF(A1584="","",IFERROR(INDEX(Parâmetros!$C$6:$C$10,MATCH(F1584,Parâmetros!$B$6:$B$10,0)),""))</f>
        <v/>
      </c>
      <c r="R1584" s="5" t="str">
        <f aca="false">IF(OR(A1584="",P1584="",Q1584=""),"",P1584*Q1584)</f>
        <v/>
      </c>
      <c r="S1584" s="5" t="str">
        <f aca="false">IF(R1584="","",MAX(0,R1584-G1584))</f>
        <v/>
      </c>
      <c r="T1584" s="21" t="str">
        <f aca="false">IF(S1584="","",S1584*K1584)</f>
        <v/>
      </c>
      <c r="U1584" s="5" t="str">
        <f aca="false">IF(A1584="","",IF(J1584&gt;Parâmetros!$C$14,"SIM","NAO"))</f>
        <v/>
      </c>
      <c r="V1584" s="5" t="str">
        <f aca="false">IF(B1584="","",TRIM(LEFT(B1584,IFERROR(FIND(" ",B1584)-1,LEN(B1584)))))</f>
        <v/>
      </c>
      <c r="W1584" s="22"/>
      <c r="X1584" s="5" t="str">
        <f aca="false">IF(A1584="","",IF(W1584&lt;&gt;"",W1584,V1584))</f>
        <v/>
      </c>
      <c r="Y1584" s="5" t="str">
        <f aca="false">IF(A1584="","",IF(COUNTIFS($X$2:$X$2001,X1584,$D$2:$D$2001,"&lt;&gt;"&amp;D1584,$C$2:$C$2001,C1584)&gt;0,"SIM","NAO"))</f>
        <v/>
      </c>
      <c r="Z1584" s="5" t="str">
        <f aca="false">IF(A1584="","",IF(J1584="","",IFERROR(360/J1584,"")))</f>
        <v/>
      </c>
      <c r="AA1584" s="5" t="str">
        <f aca="false">IF(A1584="","",IF(H1584=0,"Parado (sem venda 90d)",IF(Z1584&gt;12,"Alto (&gt;12x/ano)",IF(Z1584&gt;=4,"Medio (4-12x/ano)","Baixo (&lt;4x/ano)"))))</f>
        <v/>
      </c>
    </row>
    <row r="1585" customFormat="false" ht="15" hidden="false" customHeight="true" outlineLevel="0" collapsed="false">
      <c r="A1585" s="6"/>
      <c r="B1585" s="6"/>
      <c r="C1585" s="6"/>
      <c r="D1585" s="6"/>
      <c r="E1585" s="6"/>
      <c r="F1585" s="6"/>
      <c r="G1585" s="6"/>
      <c r="H1585" s="6"/>
      <c r="I1585" s="6"/>
      <c r="J1585" s="6"/>
      <c r="K1585" s="18"/>
      <c r="L1585" s="19" t="str">
        <f aca="false">IF(A1585="","",G1585*K1585)</f>
        <v/>
      </c>
      <c r="M1585" s="20"/>
      <c r="N1585" s="6"/>
      <c r="O1585" s="6"/>
      <c r="P1585" s="5" t="str">
        <f aca="false">IF(A1585="","",H1585/90)</f>
        <v/>
      </c>
      <c r="Q1585" s="5" t="str">
        <f aca="false">IF(A1585="","",IFERROR(INDEX(Parâmetros!$C$6:$C$10,MATCH(F1585,Parâmetros!$B$6:$B$10,0)),""))</f>
        <v/>
      </c>
      <c r="R1585" s="5" t="str">
        <f aca="false">IF(OR(A1585="",P1585="",Q1585=""),"",P1585*Q1585)</f>
        <v/>
      </c>
      <c r="S1585" s="5" t="str">
        <f aca="false">IF(R1585="","",MAX(0,R1585-G1585))</f>
        <v/>
      </c>
      <c r="T1585" s="21" t="str">
        <f aca="false">IF(S1585="","",S1585*K1585)</f>
        <v/>
      </c>
      <c r="U1585" s="5" t="str">
        <f aca="false">IF(A1585="","",IF(J1585&gt;Parâmetros!$C$14,"SIM","NAO"))</f>
        <v/>
      </c>
      <c r="V1585" s="5" t="str">
        <f aca="false">IF(B1585="","",TRIM(LEFT(B1585,IFERROR(FIND(" ",B1585)-1,LEN(B1585)))))</f>
        <v/>
      </c>
      <c r="W1585" s="22"/>
      <c r="X1585" s="5" t="str">
        <f aca="false">IF(A1585="","",IF(W1585&lt;&gt;"",W1585,V1585))</f>
        <v/>
      </c>
      <c r="Y1585" s="5" t="str">
        <f aca="false">IF(A1585="","",IF(COUNTIFS($X$2:$X$2001,X1585,$D$2:$D$2001,"&lt;&gt;"&amp;D1585,$C$2:$C$2001,C1585)&gt;0,"SIM","NAO"))</f>
        <v/>
      </c>
      <c r="Z1585" s="5" t="str">
        <f aca="false">IF(A1585="","",IF(J1585="","",IFERROR(360/J1585,"")))</f>
        <v/>
      </c>
      <c r="AA1585" s="5" t="str">
        <f aca="false">IF(A1585="","",IF(H1585=0,"Parado (sem venda 90d)",IF(Z1585&gt;12,"Alto (&gt;12x/ano)",IF(Z1585&gt;=4,"Medio (4-12x/ano)","Baixo (&lt;4x/ano)"))))</f>
        <v/>
      </c>
    </row>
    <row r="1586" customFormat="false" ht="15" hidden="false" customHeight="true" outlineLevel="0" collapsed="false">
      <c r="A1586" s="6"/>
      <c r="B1586" s="6"/>
      <c r="C1586" s="6"/>
      <c r="D1586" s="6"/>
      <c r="E1586" s="6"/>
      <c r="F1586" s="6"/>
      <c r="G1586" s="6"/>
      <c r="H1586" s="6"/>
      <c r="I1586" s="6"/>
      <c r="J1586" s="6"/>
      <c r="K1586" s="18"/>
      <c r="L1586" s="19" t="str">
        <f aca="false">IF(A1586="","",G1586*K1586)</f>
        <v/>
      </c>
      <c r="M1586" s="20"/>
      <c r="N1586" s="6"/>
      <c r="O1586" s="6"/>
      <c r="P1586" s="5" t="str">
        <f aca="false">IF(A1586="","",H1586/90)</f>
        <v/>
      </c>
      <c r="Q1586" s="5" t="str">
        <f aca="false">IF(A1586="","",IFERROR(INDEX(Parâmetros!$C$6:$C$10,MATCH(F1586,Parâmetros!$B$6:$B$10,0)),""))</f>
        <v/>
      </c>
      <c r="R1586" s="5" t="str">
        <f aca="false">IF(OR(A1586="",P1586="",Q1586=""),"",P1586*Q1586)</f>
        <v/>
      </c>
      <c r="S1586" s="5" t="str">
        <f aca="false">IF(R1586="","",MAX(0,R1586-G1586))</f>
        <v/>
      </c>
      <c r="T1586" s="21" t="str">
        <f aca="false">IF(S1586="","",S1586*K1586)</f>
        <v/>
      </c>
      <c r="U1586" s="5" t="str">
        <f aca="false">IF(A1586="","",IF(J1586&gt;Parâmetros!$C$14,"SIM","NAO"))</f>
        <v/>
      </c>
      <c r="V1586" s="5" t="str">
        <f aca="false">IF(B1586="","",TRIM(LEFT(B1586,IFERROR(FIND(" ",B1586)-1,LEN(B1586)))))</f>
        <v/>
      </c>
      <c r="W1586" s="22"/>
      <c r="X1586" s="5" t="str">
        <f aca="false">IF(A1586="","",IF(W1586&lt;&gt;"",W1586,V1586))</f>
        <v/>
      </c>
      <c r="Y1586" s="5" t="str">
        <f aca="false">IF(A1586="","",IF(COUNTIFS($X$2:$X$2001,X1586,$D$2:$D$2001,"&lt;&gt;"&amp;D1586,$C$2:$C$2001,C1586)&gt;0,"SIM","NAO"))</f>
        <v/>
      </c>
      <c r="Z1586" s="5" t="str">
        <f aca="false">IF(A1586="","",IF(J1586="","",IFERROR(360/J1586,"")))</f>
        <v/>
      </c>
      <c r="AA1586" s="5" t="str">
        <f aca="false">IF(A1586="","",IF(H1586=0,"Parado (sem venda 90d)",IF(Z1586&gt;12,"Alto (&gt;12x/ano)",IF(Z1586&gt;=4,"Medio (4-12x/ano)","Baixo (&lt;4x/ano)"))))</f>
        <v/>
      </c>
    </row>
    <row r="1587" customFormat="false" ht="15" hidden="false" customHeight="true" outlineLevel="0" collapsed="false">
      <c r="A1587" s="6"/>
      <c r="B1587" s="6"/>
      <c r="C1587" s="6"/>
      <c r="D1587" s="6"/>
      <c r="E1587" s="6"/>
      <c r="F1587" s="6"/>
      <c r="G1587" s="6"/>
      <c r="H1587" s="6"/>
      <c r="I1587" s="6"/>
      <c r="J1587" s="6"/>
      <c r="K1587" s="18"/>
      <c r="L1587" s="19" t="str">
        <f aca="false">IF(A1587="","",G1587*K1587)</f>
        <v/>
      </c>
      <c r="M1587" s="20"/>
      <c r="N1587" s="6"/>
      <c r="O1587" s="6"/>
      <c r="P1587" s="5" t="str">
        <f aca="false">IF(A1587="","",H1587/90)</f>
        <v/>
      </c>
      <c r="Q1587" s="5" t="str">
        <f aca="false">IF(A1587="","",IFERROR(INDEX(Parâmetros!$C$6:$C$10,MATCH(F1587,Parâmetros!$B$6:$B$10,0)),""))</f>
        <v/>
      </c>
      <c r="R1587" s="5" t="str">
        <f aca="false">IF(OR(A1587="",P1587="",Q1587=""),"",P1587*Q1587)</f>
        <v/>
      </c>
      <c r="S1587" s="5" t="str">
        <f aca="false">IF(R1587="","",MAX(0,R1587-G1587))</f>
        <v/>
      </c>
      <c r="T1587" s="21" t="str">
        <f aca="false">IF(S1587="","",S1587*K1587)</f>
        <v/>
      </c>
      <c r="U1587" s="5" t="str">
        <f aca="false">IF(A1587="","",IF(J1587&gt;Parâmetros!$C$14,"SIM","NAO"))</f>
        <v/>
      </c>
      <c r="V1587" s="5" t="str">
        <f aca="false">IF(B1587="","",TRIM(LEFT(B1587,IFERROR(FIND(" ",B1587)-1,LEN(B1587)))))</f>
        <v/>
      </c>
      <c r="W1587" s="22"/>
      <c r="X1587" s="5" t="str">
        <f aca="false">IF(A1587="","",IF(W1587&lt;&gt;"",W1587,V1587))</f>
        <v/>
      </c>
      <c r="Y1587" s="5" t="str">
        <f aca="false">IF(A1587="","",IF(COUNTIFS($X$2:$X$2001,X1587,$D$2:$D$2001,"&lt;&gt;"&amp;D1587,$C$2:$C$2001,C1587)&gt;0,"SIM","NAO"))</f>
        <v/>
      </c>
      <c r="Z1587" s="5" t="str">
        <f aca="false">IF(A1587="","",IF(J1587="","",IFERROR(360/J1587,"")))</f>
        <v/>
      </c>
      <c r="AA1587" s="5" t="str">
        <f aca="false">IF(A1587="","",IF(H1587=0,"Parado (sem venda 90d)",IF(Z1587&gt;12,"Alto (&gt;12x/ano)",IF(Z1587&gt;=4,"Medio (4-12x/ano)","Baixo (&lt;4x/ano)"))))</f>
        <v/>
      </c>
    </row>
    <row r="1588" customFormat="false" ht="15" hidden="false" customHeight="true" outlineLevel="0" collapsed="false">
      <c r="A1588" s="6"/>
      <c r="B1588" s="6"/>
      <c r="C1588" s="6"/>
      <c r="D1588" s="6"/>
      <c r="E1588" s="6"/>
      <c r="F1588" s="6"/>
      <c r="G1588" s="6"/>
      <c r="H1588" s="6"/>
      <c r="I1588" s="6"/>
      <c r="J1588" s="6"/>
      <c r="K1588" s="18"/>
      <c r="L1588" s="19" t="str">
        <f aca="false">IF(A1588="","",G1588*K1588)</f>
        <v/>
      </c>
      <c r="M1588" s="20"/>
      <c r="N1588" s="6"/>
      <c r="O1588" s="6"/>
      <c r="P1588" s="5" t="str">
        <f aca="false">IF(A1588="","",H1588/90)</f>
        <v/>
      </c>
      <c r="Q1588" s="5" t="str">
        <f aca="false">IF(A1588="","",IFERROR(INDEX(Parâmetros!$C$6:$C$10,MATCH(F1588,Parâmetros!$B$6:$B$10,0)),""))</f>
        <v/>
      </c>
      <c r="R1588" s="5" t="str">
        <f aca="false">IF(OR(A1588="",P1588="",Q1588=""),"",P1588*Q1588)</f>
        <v/>
      </c>
      <c r="S1588" s="5" t="str">
        <f aca="false">IF(R1588="","",MAX(0,R1588-G1588))</f>
        <v/>
      </c>
      <c r="T1588" s="21" t="str">
        <f aca="false">IF(S1588="","",S1588*K1588)</f>
        <v/>
      </c>
      <c r="U1588" s="5" t="str">
        <f aca="false">IF(A1588="","",IF(J1588&gt;Parâmetros!$C$14,"SIM","NAO"))</f>
        <v/>
      </c>
      <c r="V1588" s="5" t="str">
        <f aca="false">IF(B1588="","",TRIM(LEFT(B1588,IFERROR(FIND(" ",B1588)-1,LEN(B1588)))))</f>
        <v/>
      </c>
      <c r="W1588" s="22"/>
      <c r="X1588" s="5" t="str">
        <f aca="false">IF(A1588="","",IF(W1588&lt;&gt;"",W1588,V1588))</f>
        <v/>
      </c>
      <c r="Y1588" s="5" t="str">
        <f aca="false">IF(A1588="","",IF(COUNTIFS($X$2:$X$2001,X1588,$D$2:$D$2001,"&lt;&gt;"&amp;D1588,$C$2:$C$2001,C1588)&gt;0,"SIM","NAO"))</f>
        <v/>
      </c>
      <c r="Z1588" s="5" t="str">
        <f aca="false">IF(A1588="","",IF(J1588="","",IFERROR(360/J1588,"")))</f>
        <v/>
      </c>
      <c r="AA1588" s="5" t="str">
        <f aca="false">IF(A1588="","",IF(H1588=0,"Parado (sem venda 90d)",IF(Z1588&gt;12,"Alto (&gt;12x/ano)",IF(Z1588&gt;=4,"Medio (4-12x/ano)","Baixo (&lt;4x/ano)"))))</f>
        <v/>
      </c>
    </row>
    <row r="1589" customFormat="false" ht="15" hidden="false" customHeight="true" outlineLevel="0" collapsed="false">
      <c r="A1589" s="6"/>
      <c r="B1589" s="6"/>
      <c r="C1589" s="6"/>
      <c r="D1589" s="6"/>
      <c r="E1589" s="6"/>
      <c r="F1589" s="6"/>
      <c r="G1589" s="6"/>
      <c r="H1589" s="6"/>
      <c r="I1589" s="6"/>
      <c r="J1589" s="6"/>
      <c r="K1589" s="18"/>
      <c r="L1589" s="19" t="str">
        <f aca="false">IF(A1589="","",G1589*K1589)</f>
        <v/>
      </c>
      <c r="M1589" s="20"/>
      <c r="N1589" s="6"/>
      <c r="O1589" s="6"/>
      <c r="P1589" s="5" t="str">
        <f aca="false">IF(A1589="","",H1589/90)</f>
        <v/>
      </c>
      <c r="Q1589" s="5" t="str">
        <f aca="false">IF(A1589="","",IFERROR(INDEX(Parâmetros!$C$6:$C$10,MATCH(F1589,Parâmetros!$B$6:$B$10,0)),""))</f>
        <v/>
      </c>
      <c r="R1589" s="5" t="str">
        <f aca="false">IF(OR(A1589="",P1589="",Q1589=""),"",P1589*Q1589)</f>
        <v/>
      </c>
      <c r="S1589" s="5" t="str">
        <f aca="false">IF(R1589="","",MAX(0,R1589-G1589))</f>
        <v/>
      </c>
      <c r="T1589" s="21" t="str">
        <f aca="false">IF(S1589="","",S1589*K1589)</f>
        <v/>
      </c>
      <c r="U1589" s="5" t="str">
        <f aca="false">IF(A1589="","",IF(J1589&gt;Parâmetros!$C$14,"SIM","NAO"))</f>
        <v/>
      </c>
      <c r="V1589" s="5" t="str">
        <f aca="false">IF(B1589="","",TRIM(LEFT(B1589,IFERROR(FIND(" ",B1589)-1,LEN(B1589)))))</f>
        <v/>
      </c>
      <c r="W1589" s="22"/>
      <c r="X1589" s="5" t="str">
        <f aca="false">IF(A1589="","",IF(W1589&lt;&gt;"",W1589,V1589))</f>
        <v/>
      </c>
      <c r="Y1589" s="5" t="str">
        <f aca="false">IF(A1589="","",IF(COUNTIFS($X$2:$X$2001,X1589,$D$2:$D$2001,"&lt;&gt;"&amp;D1589,$C$2:$C$2001,C1589)&gt;0,"SIM","NAO"))</f>
        <v/>
      </c>
      <c r="Z1589" s="5" t="str">
        <f aca="false">IF(A1589="","",IF(J1589="","",IFERROR(360/J1589,"")))</f>
        <v/>
      </c>
      <c r="AA1589" s="5" t="str">
        <f aca="false">IF(A1589="","",IF(H1589=0,"Parado (sem venda 90d)",IF(Z1589&gt;12,"Alto (&gt;12x/ano)",IF(Z1589&gt;=4,"Medio (4-12x/ano)","Baixo (&lt;4x/ano)"))))</f>
        <v/>
      </c>
    </row>
    <row r="1590" customFormat="false" ht="15" hidden="false" customHeight="true" outlineLevel="0" collapsed="false">
      <c r="A1590" s="6"/>
      <c r="B1590" s="6"/>
      <c r="C1590" s="6"/>
      <c r="D1590" s="6"/>
      <c r="E1590" s="6"/>
      <c r="F1590" s="6"/>
      <c r="G1590" s="6"/>
      <c r="H1590" s="6"/>
      <c r="I1590" s="6"/>
      <c r="J1590" s="6"/>
      <c r="K1590" s="18"/>
      <c r="L1590" s="19" t="str">
        <f aca="false">IF(A1590="","",G1590*K1590)</f>
        <v/>
      </c>
      <c r="M1590" s="20"/>
      <c r="N1590" s="6"/>
      <c r="O1590" s="6"/>
      <c r="P1590" s="5" t="str">
        <f aca="false">IF(A1590="","",H1590/90)</f>
        <v/>
      </c>
      <c r="Q1590" s="5" t="str">
        <f aca="false">IF(A1590="","",IFERROR(INDEX(Parâmetros!$C$6:$C$10,MATCH(F1590,Parâmetros!$B$6:$B$10,0)),""))</f>
        <v/>
      </c>
      <c r="R1590" s="5" t="str">
        <f aca="false">IF(OR(A1590="",P1590="",Q1590=""),"",P1590*Q1590)</f>
        <v/>
      </c>
      <c r="S1590" s="5" t="str">
        <f aca="false">IF(R1590="","",MAX(0,R1590-G1590))</f>
        <v/>
      </c>
      <c r="T1590" s="21" t="str">
        <f aca="false">IF(S1590="","",S1590*K1590)</f>
        <v/>
      </c>
      <c r="U1590" s="5" t="str">
        <f aca="false">IF(A1590="","",IF(J1590&gt;Parâmetros!$C$14,"SIM","NAO"))</f>
        <v/>
      </c>
      <c r="V1590" s="5" t="str">
        <f aca="false">IF(B1590="","",TRIM(LEFT(B1590,IFERROR(FIND(" ",B1590)-1,LEN(B1590)))))</f>
        <v/>
      </c>
      <c r="W1590" s="22"/>
      <c r="X1590" s="5" t="str">
        <f aca="false">IF(A1590="","",IF(W1590&lt;&gt;"",W1590,V1590))</f>
        <v/>
      </c>
      <c r="Y1590" s="5" t="str">
        <f aca="false">IF(A1590="","",IF(COUNTIFS($X$2:$X$2001,X1590,$D$2:$D$2001,"&lt;&gt;"&amp;D1590,$C$2:$C$2001,C1590)&gt;0,"SIM","NAO"))</f>
        <v/>
      </c>
      <c r="Z1590" s="5" t="str">
        <f aca="false">IF(A1590="","",IF(J1590="","",IFERROR(360/J1590,"")))</f>
        <v/>
      </c>
      <c r="AA1590" s="5" t="str">
        <f aca="false">IF(A1590="","",IF(H1590=0,"Parado (sem venda 90d)",IF(Z1590&gt;12,"Alto (&gt;12x/ano)",IF(Z1590&gt;=4,"Medio (4-12x/ano)","Baixo (&lt;4x/ano)"))))</f>
        <v/>
      </c>
    </row>
    <row r="1591" customFormat="false" ht="15" hidden="false" customHeight="true" outlineLevel="0" collapsed="false">
      <c r="A1591" s="6"/>
      <c r="B1591" s="6"/>
      <c r="C1591" s="6"/>
      <c r="D1591" s="6"/>
      <c r="E1591" s="6"/>
      <c r="F1591" s="6"/>
      <c r="G1591" s="6"/>
      <c r="H1591" s="6"/>
      <c r="I1591" s="6"/>
      <c r="J1591" s="6"/>
      <c r="K1591" s="18"/>
      <c r="L1591" s="19" t="str">
        <f aca="false">IF(A1591="","",G1591*K1591)</f>
        <v/>
      </c>
      <c r="M1591" s="20"/>
      <c r="N1591" s="6"/>
      <c r="O1591" s="6"/>
      <c r="P1591" s="5" t="str">
        <f aca="false">IF(A1591="","",H1591/90)</f>
        <v/>
      </c>
      <c r="Q1591" s="5" t="str">
        <f aca="false">IF(A1591="","",IFERROR(INDEX(Parâmetros!$C$6:$C$10,MATCH(F1591,Parâmetros!$B$6:$B$10,0)),""))</f>
        <v/>
      </c>
      <c r="R1591" s="5" t="str">
        <f aca="false">IF(OR(A1591="",P1591="",Q1591=""),"",P1591*Q1591)</f>
        <v/>
      </c>
      <c r="S1591" s="5" t="str">
        <f aca="false">IF(R1591="","",MAX(0,R1591-G1591))</f>
        <v/>
      </c>
      <c r="T1591" s="21" t="str">
        <f aca="false">IF(S1591="","",S1591*K1591)</f>
        <v/>
      </c>
      <c r="U1591" s="5" t="str">
        <f aca="false">IF(A1591="","",IF(J1591&gt;Parâmetros!$C$14,"SIM","NAO"))</f>
        <v/>
      </c>
      <c r="V1591" s="5" t="str">
        <f aca="false">IF(B1591="","",TRIM(LEFT(B1591,IFERROR(FIND(" ",B1591)-1,LEN(B1591)))))</f>
        <v/>
      </c>
      <c r="W1591" s="22"/>
      <c r="X1591" s="5" t="str">
        <f aca="false">IF(A1591="","",IF(W1591&lt;&gt;"",W1591,V1591))</f>
        <v/>
      </c>
      <c r="Y1591" s="5" t="str">
        <f aca="false">IF(A1591="","",IF(COUNTIFS($X$2:$X$2001,X1591,$D$2:$D$2001,"&lt;&gt;"&amp;D1591,$C$2:$C$2001,C1591)&gt;0,"SIM","NAO"))</f>
        <v/>
      </c>
      <c r="Z1591" s="5" t="str">
        <f aca="false">IF(A1591="","",IF(J1591="","",IFERROR(360/J1591,"")))</f>
        <v/>
      </c>
      <c r="AA1591" s="5" t="str">
        <f aca="false">IF(A1591="","",IF(H1591=0,"Parado (sem venda 90d)",IF(Z1591&gt;12,"Alto (&gt;12x/ano)",IF(Z1591&gt;=4,"Medio (4-12x/ano)","Baixo (&lt;4x/ano)"))))</f>
        <v/>
      </c>
    </row>
    <row r="1592" customFormat="false" ht="15" hidden="false" customHeight="true" outlineLevel="0" collapsed="false">
      <c r="A1592" s="6"/>
      <c r="B1592" s="6"/>
      <c r="C1592" s="6"/>
      <c r="D1592" s="6"/>
      <c r="E1592" s="6"/>
      <c r="F1592" s="6"/>
      <c r="G1592" s="6"/>
      <c r="H1592" s="6"/>
      <c r="I1592" s="6"/>
      <c r="J1592" s="6"/>
      <c r="K1592" s="18"/>
      <c r="L1592" s="19" t="str">
        <f aca="false">IF(A1592="","",G1592*K1592)</f>
        <v/>
      </c>
      <c r="M1592" s="20"/>
      <c r="N1592" s="6"/>
      <c r="O1592" s="6"/>
      <c r="P1592" s="5" t="str">
        <f aca="false">IF(A1592="","",H1592/90)</f>
        <v/>
      </c>
      <c r="Q1592" s="5" t="str">
        <f aca="false">IF(A1592="","",IFERROR(INDEX(Parâmetros!$C$6:$C$10,MATCH(F1592,Parâmetros!$B$6:$B$10,0)),""))</f>
        <v/>
      </c>
      <c r="R1592" s="5" t="str">
        <f aca="false">IF(OR(A1592="",P1592="",Q1592=""),"",P1592*Q1592)</f>
        <v/>
      </c>
      <c r="S1592" s="5" t="str">
        <f aca="false">IF(R1592="","",MAX(0,R1592-G1592))</f>
        <v/>
      </c>
      <c r="T1592" s="21" t="str">
        <f aca="false">IF(S1592="","",S1592*K1592)</f>
        <v/>
      </c>
      <c r="U1592" s="5" t="str">
        <f aca="false">IF(A1592="","",IF(J1592&gt;Parâmetros!$C$14,"SIM","NAO"))</f>
        <v/>
      </c>
      <c r="V1592" s="5" t="str">
        <f aca="false">IF(B1592="","",TRIM(LEFT(B1592,IFERROR(FIND(" ",B1592)-1,LEN(B1592)))))</f>
        <v/>
      </c>
      <c r="W1592" s="22"/>
      <c r="X1592" s="5" t="str">
        <f aca="false">IF(A1592="","",IF(W1592&lt;&gt;"",W1592,V1592))</f>
        <v/>
      </c>
      <c r="Y1592" s="5" t="str">
        <f aca="false">IF(A1592="","",IF(COUNTIFS($X$2:$X$2001,X1592,$D$2:$D$2001,"&lt;&gt;"&amp;D1592,$C$2:$C$2001,C1592)&gt;0,"SIM","NAO"))</f>
        <v/>
      </c>
      <c r="Z1592" s="5" t="str">
        <f aca="false">IF(A1592="","",IF(J1592="","",IFERROR(360/J1592,"")))</f>
        <v/>
      </c>
      <c r="AA1592" s="5" t="str">
        <f aca="false">IF(A1592="","",IF(H1592=0,"Parado (sem venda 90d)",IF(Z1592&gt;12,"Alto (&gt;12x/ano)",IF(Z1592&gt;=4,"Medio (4-12x/ano)","Baixo (&lt;4x/ano)"))))</f>
        <v/>
      </c>
    </row>
    <row r="1593" customFormat="false" ht="15" hidden="false" customHeight="true" outlineLevel="0" collapsed="false">
      <c r="A1593" s="6"/>
      <c r="B1593" s="6"/>
      <c r="C1593" s="6"/>
      <c r="D1593" s="6"/>
      <c r="E1593" s="6"/>
      <c r="F1593" s="6"/>
      <c r="G1593" s="6"/>
      <c r="H1593" s="6"/>
      <c r="I1593" s="6"/>
      <c r="J1593" s="6"/>
      <c r="K1593" s="18"/>
      <c r="L1593" s="19" t="str">
        <f aca="false">IF(A1593="","",G1593*K1593)</f>
        <v/>
      </c>
      <c r="M1593" s="20"/>
      <c r="N1593" s="6"/>
      <c r="O1593" s="6"/>
      <c r="P1593" s="5" t="str">
        <f aca="false">IF(A1593="","",H1593/90)</f>
        <v/>
      </c>
      <c r="Q1593" s="5" t="str">
        <f aca="false">IF(A1593="","",IFERROR(INDEX(Parâmetros!$C$6:$C$10,MATCH(F1593,Parâmetros!$B$6:$B$10,0)),""))</f>
        <v/>
      </c>
      <c r="R1593" s="5" t="str">
        <f aca="false">IF(OR(A1593="",P1593="",Q1593=""),"",P1593*Q1593)</f>
        <v/>
      </c>
      <c r="S1593" s="5" t="str">
        <f aca="false">IF(R1593="","",MAX(0,R1593-G1593))</f>
        <v/>
      </c>
      <c r="T1593" s="21" t="str">
        <f aca="false">IF(S1593="","",S1593*K1593)</f>
        <v/>
      </c>
      <c r="U1593" s="5" t="str">
        <f aca="false">IF(A1593="","",IF(J1593&gt;Parâmetros!$C$14,"SIM","NAO"))</f>
        <v/>
      </c>
      <c r="V1593" s="5" t="str">
        <f aca="false">IF(B1593="","",TRIM(LEFT(B1593,IFERROR(FIND(" ",B1593)-1,LEN(B1593)))))</f>
        <v/>
      </c>
      <c r="W1593" s="22"/>
      <c r="X1593" s="5" t="str">
        <f aca="false">IF(A1593="","",IF(W1593&lt;&gt;"",W1593,V1593))</f>
        <v/>
      </c>
      <c r="Y1593" s="5" t="str">
        <f aca="false">IF(A1593="","",IF(COUNTIFS($X$2:$X$2001,X1593,$D$2:$D$2001,"&lt;&gt;"&amp;D1593,$C$2:$C$2001,C1593)&gt;0,"SIM","NAO"))</f>
        <v/>
      </c>
      <c r="Z1593" s="5" t="str">
        <f aca="false">IF(A1593="","",IF(J1593="","",IFERROR(360/J1593,"")))</f>
        <v/>
      </c>
      <c r="AA1593" s="5" t="str">
        <f aca="false">IF(A1593="","",IF(H1593=0,"Parado (sem venda 90d)",IF(Z1593&gt;12,"Alto (&gt;12x/ano)",IF(Z1593&gt;=4,"Medio (4-12x/ano)","Baixo (&lt;4x/ano)"))))</f>
        <v/>
      </c>
    </row>
    <row r="1594" customFormat="false" ht="15" hidden="false" customHeight="true" outlineLevel="0" collapsed="false">
      <c r="A1594" s="6"/>
      <c r="B1594" s="6"/>
      <c r="C1594" s="6"/>
      <c r="D1594" s="6"/>
      <c r="E1594" s="6"/>
      <c r="F1594" s="6"/>
      <c r="G1594" s="6"/>
      <c r="H1594" s="6"/>
      <c r="I1594" s="6"/>
      <c r="J1594" s="6"/>
      <c r="K1594" s="18"/>
      <c r="L1594" s="19" t="str">
        <f aca="false">IF(A1594="","",G1594*K1594)</f>
        <v/>
      </c>
      <c r="M1594" s="20"/>
      <c r="N1594" s="6"/>
      <c r="O1594" s="6"/>
      <c r="P1594" s="5" t="str">
        <f aca="false">IF(A1594="","",H1594/90)</f>
        <v/>
      </c>
      <c r="Q1594" s="5" t="str">
        <f aca="false">IF(A1594="","",IFERROR(INDEX(Parâmetros!$C$6:$C$10,MATCH(F1594,Parâmetros!$B$6:$B$10,0)),""))</f>
        <v/>
      </c>
      <c r="R1594" s="5" t="str">
        <f aca="false">IF(OR(A1594="",P1594="",Q1594=""),"",P1594*Q1594)</f>
        <v/>
      </c>
      <c r="S1594" s="5" t="str">
        <f aca="false">IF(R1594="","",MAX(0,R1594-G1594))</f>
        <v/>
      </c>
      <c r="T1594" s="21" t="str">
        <f aca="false">IF(S1594="","",S1594*K1594)</f>
        <v/>
      </c>
      <c r="U1594" s="5" t="str">
        <f aca="false">IF(A1594="","",IF(J1594&gt;Parâmetros!$C$14,"SIM","NAO"))</f>
        <v/>
      </c>
      <c r="V1594" s="5" t="str">
        <f aca="false">IF(B1594="","",TRIM(LEFT(B1594,IFERROR(FIND(" ",B1594)-1,LEN(B1594)))))</f>
        <v/>
      </c>
      <c r="W1594" s="22"/>
      <c r="X1594" s="5" t="str">
        <f aca="false">IF(A1594="","",IF(W1594&lt;&gt;"",W1594,V1594))</f>
        <v/>
      </c>
      <c r="Y1594" s="5" t="str">
        <f aca="false">IF(A1594="","",IF(COUNTIFS($X$2:$X$2001,X1594,$D$2:$D$2001,"&lt;&gt;"&amp;D1594,$C$2:$C$2001,C1594)&gt;0,"SIM","NAO"))</f>
        <v/>
      </c>
      <c r="Z1594" s="5" t="str">
        <f aca="false">IF(A1594="","",IF(J1594="","",IFERROR(360/J1594,"")))</f>
        <v/>
      </c>
      <c r="AA1594" s="5" t="str">
        <f aca="false">IF(A1594="","",IF(H1594=0,"Parado (sem venda 90d)",IF(Z1594&gt;12,"Alto (&gt;12x/ano)",IF(Z1594&gt;=4,"Medio (4-12x/ano)","Baixo (&lt;4x/ano)"))))</f>
        <v/>
      </c>
    </row>
    <row r="1595" customFormat="false" ht="15" hidden="false" customHeight="true" outlineLevel="0" collapsed="false">
      <c r="A1595" s="6"/>
      <c r="B1595" s="6"/>
      <c r="C1595" s="6"/>
      <c r="D1595" s="6"/>
      <c r="E1595" s="6"/>
      <c r="F1595" s="6"/>
      <c r="G1595" s="6"/>
      <c r="H1595" s="6"/>
      <c r="I1595" s="6"/>
      <c r="J1595" s="6"/>
      <c r="K1595" s="18"/>
      <c r="L1595" s="19" t="str">
        <f aca="false">IF(A1595="","",G1595*K1595)</f>
        <v/>
      </c>
      <c r="M1595" s="20"/>
      <c r="N1595" s="6"/>
      <c r="O1595" s="6"/>
      <c r="P1595" s="5" t="str">
        <f aca="false">IF(A1595="","",H1595/90)</f>
        <v/>
      </c>
      <c r="Q1595" s="5" t="str">
        <f aca="false">IF(A1595="","",IFERROR(INDEX(Parâmetros!$C$6:$C$10,MATCH(F1595,Parâmetros!$B$6:$B$10,0)),""))</f>
        <v/>
      </c>
      <c r="R1595" s="5" t="str">
        <f aca="false">IF(OR(A1595="",P1595="",Q1595=""),"",P1595*Q1595)</f>
        <v/>
      </c>
      <c r="S1595" s="5" t="str">
        <f aca="false">IF(R1595="","",MAX(0,R1595-G1595))</f>
        <v/>
      </c>
      <c r="T1595" s="21" t="str">
        <f aca="false">IF(S1595="","",S1595*K1595)</f>
        <v/>
      </c>
      <c r="U1595" s="5" t="str">
        <f aca="false">IF(A1595="","",IF(J1595&gt;Parâmetros!$C$14,"SIM","NAO"))</f>
        <v/>
      </c>
      <c r="V1595" s="5" t="str">
        <f aca="false">IF(B1595="","",TRIM(LEFT(B1595,IFERROR(FIND(" ",B1595)-1,LEN(B1595)))))</f>
        <v/>
      </c>
      <c r="W1595" s="22"/>
      <c r="X1595" s="5" t="str">
        <f aca="false">IF(A1595="","",IF(W1595&lt;&gt;"",W1595,V1595))</f>
        <v/>
      </c>
      <c r="Y1595" s="5" t="str">
        <f aca="false">IF(A1595="","",IF(COUNTIFS($X$2:$X$2001,X1595,$D$2:$D$2001,"&lt;&gt;"&amp;D1595,$C$2:$C$2001,C1595)&gt;0,"SIM","NAO"))</f>
        <v/>
      </c>
      <c r="Z1595" s="5" t="str">
        <f aca="false">IF(A1595="","",IF(J1595="","",IFERROR(360/J1595,"")))</f>
        <v/>
      </c>
      <c r="AA1595" s="5" t="str">
        <f aca="false">IF(A1595="","",IF(H1595=0,"Parado (sem venda 90d)",IF(Z1595&gt;12,"Alto (&gt;12x/ano)",IF(Z1595&gt;=4,"Medio (4-12x/ano)","Baixo (&lt;4x/ano)"))))</f>
        <v/>
      </c>
    </row>
    <row r="1596" customFormat="false" ht="15" hidden="false" customHeight="true" outlineLevel="0" collapsed="false">
      <c r="A1596" s="6"/>
      <c r="B1596" s="6"/>
      <c r="C1596" s="6"/>
      <c r="D1596" s="6"/>
      <c r="E1596" s="6"/>
      <c r="F1596" s="6"/>
      <c r="G1596" s="6"/>
      <c r="H1596" s="6"/>
      <c r="I1596" s="6"/>
      <c r="J1596" s="6"/>
      <c r="K1596" s="18"/>
      <c r="L1596" s="19" t="str">
        <f aca="false">IF(A1596="","",G1596*K1596)</f>
        <v/>
      </c>
      <c r="M1596" s="20"/>
      <c r="N1596" s="6"/>
      <c r="O1596" s="6"/>
      <c r="P1596" s="5" t="str">
        <f aca="false">IF(A1596="","",H1596/90)</f>
        <v/>
      </c>
      <c r="Q1596" s="5" t="str">
        <f aca="false">IF(A1596="","",IFERROR(INDEX(Parâmetros!$C$6:$C$10,MATCH(F1596,Parâmetros!$B$6:$B$10,0)),""))</f>
        <v/>
      </c>
      <c r="R1596" s="5" t="str">
        <f aca="false">IF(OR(A1596="",P1596="",Q1596=""),"",P1596*Q1596)</f>
        <v/>
      </c>
      <c r="S1596" s="5" t="str">
        <f aca="false">IF(R1596="","",MAX(0,R1596-G1596))</f>
        <v/>
      </c>
      <c r="T1596" s="21" t="str">
        <f aca="false">IF(S1596="","",S1596*K1596)</f>
        <v/>
      </c>
      <c r="U1596" s="5" t="str">
        <f aca="false">IF(A1596="","",IF(J1596&gt;Parâmetros!$C$14,"SIM","NAO"))</f>
        <v/>
      </c>
      <c r="V1596" s="5" t="str">
        <f aca="false">IF(B1596="","",TRIM(LEFT(B1596,IFERROR(FIND(" ",B1596)-1,LEN(B1596)))))</f>
        <v/>
      </c>
      <c r="W1596" s="22"/>
      <c r="X1596" s="5" t="str">
        <f aca="false">IF(A1596="","",IF(W1596&lt;&gt;"",W1596,V1596))</f>
        <v/>
      </c>
      <c r="Y1596" s="5" t="str">
        <f aca="false">IF(A1596="","",IF(COUNTIFS($X$2:$X$2001,X1596,$D$2:$D$2001,"&lt;&gt;"&amp;D1596,$C$2:$C$2001,C1596)&gt;0,"SIM","NAO"))</f>
        <v/>
      </c>
      <c r="Z1596" s="5" t="str">
        <f aca="false">IF(A1596="","",IF(J1596="","",IFERROR(360/J1596,"")))</f>
        <v/>
      </c>
      <c r="AA1596" s="5" t="str">
        <f aca="false">IF(A1596="","",IF(H1596=0,"Parado (sem venda 90d)",IF(Z1596&gt;12,"Alto (&gt;12x/ano)",IF(Z1596&gt;=4,"Medio (4-12x/ano)","Baixo (&lt;4x/ano)"))))</f>
        <v/>
      </c>
    </row>
    <row r="1597" customFormat="false" ht="15" hidden="false" customHeight="true" outlineLevel="0" collapsed="false">
      <c r="A1597" s="6"/>
      <c r="B1597" s="6"/>
      <c r="C1597" s="6"/>
      <c r="D1597" s="6"/>
      <c r="E1597" s="6"/>
      <c r="F1597" s="6"/>
      <c r="G1597" s="6"/>
      <c r="H1597" s="6"/>
      <c r="I1597" s="6"/>
      <c r="J1597" s="6"/>
      <c r="K1597" s="18"/>
      <c r="L1597" s="19" t="str">
        <f aca="false">IF(A1597="","",G1597*K1597)</f>
        <v/>
      </c>
      <c r="M1597" s="20"/>
      <c r="N1597" s="6"/>
      <c r="O1597" s="6"/>
      <c r="P1597" s="5" t="str">
        <f aca="false">IF(A1597="","",H1597/90)</f>
        <v/>
      </c>
      <c r="Q1597" s="5" t="str">
        <f aca="false">IF(A1597="","",IFERROR(INDEX(Parâmetros!$C$6:$C$10,MATCH(F1597,Parâmetros!$B$6:$B$10,0)),""))</f>
        <v/>
      </c>
      <c r="R1597" s="5" t="str">
        <f aca="false">IF(OR(A1597="",P1597="",Q1597=""),"",P1597*Q1597)</f>
        <v/>
      </c>
      <c r="S1597" s="5" t="str">
        <f aca="false">IF(R1597="","",MAX(0,R1597-G1597))</f>
        <v/>
      </c>
      <c r="T1597" s="21" t="str">
        <f aca="false">IF(S1597="","",S1597*K1597)</f>
        <v/>
      </c>
      <c r="U1597" s="5" t="str">
        <f aca="false">IF(A1597="","",IF(J1597&gt;Parâmetros!$C$14,"SIM","NAO"))</f>
        <v/>
      </c>
      <c r="V1597" s="5" t="str">
        <f aca="false">IF(B1597="","",TRIM(LEFT(B1597,IFERROR(FIND(" ",B1597)-1,LEN(B1597)))))</f>
        <v/>
      </c>
      <c r="W1597" s="22"/>
      <c r="X1597" s="5" t="str">
        <f aca="false">IF(A1597="","",IF(W1597&lt;&gt;"",W1597,V1597))</f>
        <v/>
      </c>
      <c r="Y1597" s="5" t="str">
        <f aca="false">IF(A1597="","",IF(COUNTIFS($X$2:$X$2001,X1597,$D$2:$D$2001,"&lt;&gt;"&amp;D1597,$C$2:$C$2001,C1597)&gt;0,"SIM","NAO"))</f>
        <v/>
      </c>
      <c r="Z1597" s="5" t="str">
        <f aca="false">IF(A1597="","",IF(J1597="","",IFERROR(360/J1597,"")))</f>
        <v/>
      </c>
      <c r="AA1597" s="5" t="str">
        <f aca="false">IF(A1597="","",IF(H1597=0,"Parado (sem venda 90d)",IF(Z1597&gt;12,"Alto (&gt;12x/ano)",IF(Z1597&gt;=4,"Medio (4-12x/ano)","Baixo (&lt;4x/ano)"))))</f>
        <v/>
      </c>
    </row>
    <row r="1598" customFormat="false" ht="15" hidden="false" customHeight="true" outlineLevel="0" collapsed="false">
      <c r="A1598" s="6"/>
      <c r="B1598" s="6"/>
      <c r="C1598" s="6"/>
      <c r="D1598" s="6"/>
      <c r="E1598" s="6"/>
      <c r="F1598" s="6"/>
      <c r="G1598" s="6"/>
      <c r="H1598" s="6"/>
      <c r="I1598" s="6"/>
      <c r="J1598" s="6"/>
      <c r="K1598" s="18"/>
      <c r="L1598" s="19" t="str">
        <f aca="false">IF(A1598="","",G1598*K1598)</f>
        <v/>
      </c>
      <c r="M1598" s="20"/>
      <c r="N1598" s="6"/>
      <c r="O1598" s="6"/>
      <c r="P1598" s="5" t="str">
        <f aca="false">IF(A1598="","",H1598/90)</f>
        <v/>
      </c>
      <c r="Q1598" s="5" t="str">
        <f aca="false">IF(A1598="","",IFERROR(INDEX(Parâmetros!$C$6:$C$10,MATCH(F1598,Parâmetros!$B$6:$B$10,0)),""))</f>
        <v/>
      </c>
      <c r="R1598" s="5" t="str">
        <f aca="false">IF(OR(A1598="",P1598="",Q1598=""),"",P1598*Q1598)</f>
        <v/>
      </c>
      <c r="S1598" s="5" t="str">
        <f aca="false">IF(R1598="","",MAX(0,R1598-G1598))</f>
        <v/>
      </c>
      <c r="T1598" s="21" t="str">
        <f aca="false">IF(S1598="","",S1598*K1598)</f>
        <v/>
      </c>
      <c r="U1598" s="5" t="str">
        <f aca="false">IF(A1598="","",IF(J1598&gt;Parâmetros!$C$14,"SIM","NAO"))</f>
        <v/>
      </c>
      <c r="V1598" s="5" t="str">
        <f aca="false">IF(B1598="","",TRIM(LEFT(B1598,IFERROR(FIND(" ",B1598)-1,LEN(B1598)))))</f>
        <v/>
      </c>
      <c r="W1598" s="22"/>
      <c r="X1598" s="5" t="str">
        <f aca="false">IF(A1598="","",IF(W1598&lt;&gt;"",W1598,V1598))</f>
        <v/>
      </c>
      <c r="Y1598" s="5" t="str">
        <f aca="false">IF(A1598="","",IF(COUNTIFS($X$2:$X$2001,X1598,$D$2:$D$2001,"&lt;&gt;"&amp;D1598,$C$2:$C$2001,C1598)&gt;0,"SIM","NAO"))</f>
        <v/>
      </c>
      <c r="Z1598" s="5" t="str">
        <f aca="false">IF(A1598="","",IF(J1598="","",IFERROR(360/J1598,"")))</f>
        <v/>
      </c>
      <c r="AA1598" s="5" t="str">
        <f aca="false">IF(A1598="","",IF(H1598=0,"Parado (sem venda 90d)",IF(Z1598&gt;12,"Alto (&gt;12x/ano)",IF(Z1598&gt;=4,"Medio (4-12x/ano)","Baixo (&lt;4x/ano)"))))</f>
        <v/>
      </c>
    </row>
    <row r="1599" customFormat="false" ht="15" hidden="false" customHeight="true" outlineLevel="0" collapsed="false">
      <c r="A1599" s="6"/>
      <c r="B1599" s="6"/>
      <c r="C1599" s="6"/>
      <c r="D1599" s="6"/>
      <c r="E1599" s="6"/>
      <c r="F1599" s="6"/>
      <c r="G1599" s="6"/>
      <c r="H1599" s="6"/>
      <c r="I1599" s="6"/>
      <c r="J1599" s="6"/>
      <c r="K1599" s="18"/>
      <c r="L1599" s="19" t="str">
        <f aca="false">IF(A1599="","",G1599*K1599)</f>
        <v/>
      </c>
      <c r="M1599" s="20"/>
      <c r="N1599" s="6"/>
      <c r="O1599" s="6"/>
      <c r="P1599" s="5" t="str">
        <f aca="false">IF(A1599="","",H1599/90)</f>
        <v/>
      </c>
      <c r="Q1599" s="5" t="str">
        <f aca="false">IF(A1599="","",IFERROR(INDEX(Parâmetros!$C$6:$C$10,MATCH(F1599,Parâmetros!$B$6:$B$10,0)),""))</f>
        <v/>
      </c>
      <c r="R1599" s="5" t="str">
        <f aca="false">IF(OR(A1599="",P1599="",Q1599=""),"",P1599*Q1599)</f>
        <v/>
      </c>
      <c r="S1599" s="5" t="str">
        <f aca="false">IF(R1599="","",MAX(0,R1599-G1599))</f>
        <v/>
      </c>
      <c r="T1599" s="21" t="str">
        <f aca="false">IF(S1599="","",S1599*K1599)</f>
        <v/>
      </c>
      <c r="U1599" s="5" t="str">
        <f aca="false">IF(A1599="","",IF(J1599&gt;Parâmetros!$C$14,"SIM","NAO"))</f>
        <v/>
      </c>
      <c r="V1599" s="5" t="str">
        <f aca="false">IF(B1599="","",TRIM(LEFT(B1599,IFERROR(FIND(" ",B1599)-1,LEN(B1599)))))</f>
        <v/>
      </c>
      <c r="W1599" s="22"/>
      <c r="X1599" s="5" t="str">
        <f aca="false">IF(A1599="","",IF(W1599&lt;&gt;"",W1599,V1599))</f>
        <v/>
      </c>
      <c r="Y1599" s="5" t="str">
        <f aca="false">IF(A1599="","",IF(COUNTIFS($X$2:$X$2001,X1599,$D$2:$D$2001,"&lt;&gt;"&amp;D1599,$C$2:$C$2001,C1599)&gt;0,"SIM","NAO"))</f>
        <v/>
      </c>
      <c r="Z1599" s="5" t="str">
        <f aca="false">IF(A1599="","",IF(J1599="","",IFERROR(360/J1599,"")))</f>
        <v/>
      </c>
      <c r="AA1599" s="5" t="str">
        <f aca="false">IF(A1599="","",IF(H1599=0,"Parado (sem venda 90d)",IF(Z1599&gt;12,"Alto (&gt;12x/ano)",IF(Z1599&gt;=4,"Medio (4-12x/ano)","Baixo (&lt;4x/ano)"))))</f>
        <v/>
      </c>
    </row>
    <row r="1600" customFormat="false" ht="15" hidden="false" customHeight="true" outlineLevel="0" collapsed="false">
      <c r="A1600" s="6"/>
      <c r="B1600" s="6"/>
      <c r="C1600" s="6"/>
      <c r="D1600" s="6"/>
      <c r="E1600" s="6"/>
      <c r="F1600" s="6"/>
      <c r="G1600" s="6"/>
      <c r="H1600" s="6"/>
      <c r="I1600" s="6"/>
      <c r="J1600" s="6"/>
      <c r="K1600" s="18"/>
      <c r="L1600" s="19" t="str">
        <f aca="false">IF(A1600="","",G1600*K1600)</f>
        <v/>
      </c>
      <c r="M1600" s="20"/>
      <c r="N1600" s="6"/>
      <c r="O1600" s="6"/>
      <c r="P1600" s="5" t="str">
        <f aca="false">IF(A1600="","",H1600/90)</f>
        <v/>
      </c>
      <c r="Q1600" s="5" t="str">
        <f aca="false">IF(A1600="","",IFERROR(INDEX(Parâmetros!$C$6:$C$10,MATCH(F1600,Parâmetros!$B$6:$B$10,0)),""))</f>
        <v/>
      </c>
      <c r="R1600" s="5" t="str">
        <f aca="false">IF(OR(A1600="",P1600="",Q1600=""),"",P1600*Q1600)</f>
        <v/>
      </c>
      <c r="S1600" s="5" t="str">
        <f aca="false">IF(R1600="","",MAX(0,R1600-G1600))</f>
        <v/>
      </c>
      <c r="T1600" s="21" t="str">
        <f aca="false">IF(S1600="","",S1600*K1600)</f>
        <v/>
      </c>
      <c r="U1600" s="5" t="str">
        <f aca="false">IF(A1600="","",IF(J1600&gt;Parâmetros!$C$14,"SIM","NAO"))</f>
        <v/>
      </c>
      <c r="V1600" s="5" t="str">
        <f aca="false">IF(B1600="","",TRIM(LEFT(B1600,IFERROR(FIND(" ",B1600)-1,LEN(B1600)))))</f>
        <v/>
      </c>
      <c r="W1600" s="22"/>
      <c r="X1600" s="5" t="str">
        <f aca="false">IF(A1600="","",IF(W1600&lt;&gt;"",W1600,V1600))</f>
        <v/>
      </c>
      <c r="Y1600" s="5" t="str">
        <f aca="false">IF(A1600="","",IF(COUNTIFS($X$2:$X$2001,X1600,$D$2:$D$2001,"&lt;&gt;"&amp;D1600,$C$2:$C$2001,C1600)&gt;0,"SIM","NAO"))</f>
        <v/>
      </c>
      <c r="Z1600" s="5" t="str">
        <f aca="false">IF(A1600="","",IF(J1600="","",IFERROR(360/J1600,"")))</f>
        <v/>
      </c>
      <c r="AA1600" s="5" t="str">
        <f aca="false">IF(A1600="","",IF(H1600=0,"Parado (sem venda 90d)",IF(Z1600&gt;12,"Alto (&gt;12x/ano)",IF(Z1600&gt;=4,"Medio (4-12x/ano)","Baixo (&lt;4x/ano)"))))</f>
        <v/>
      </c>
    </row>
    <row r="1601" customFormat="false" ht="15" hidden="false" customHeight="true" outlineLevel="0" collapsed="false">
      <c r="A1601" s="6"/>
      <c r="B1601" s="6"/>
      <c r="C1601" s="6"/>
      <c r="D1601" s="6"/>
      <c r="E1601" s="6"/>
      <c r="F1601" s="6"/>
      <c r="G1601" s="6"/>
      <c r="H1601" s="6"/>
      <c r="I1601" s="6"/>
      <c r="J1601" s="6"/>
      <c r="K1601" s="18"/>
      <c r="L1601" s="19" t="str">
        <f aca="false">IF(A1601="","",G1601*K1601)</f>
        <v/>
      </c>
      <c r="M1601" s="20"/>
      <c r="N1601" s="6"/>
      <c r="O1601" s="6"/>
      <c r="P1601" s="5" t="str">
        <f aca="false">IF(A1601="","",H1601/90)</f>
        <v/>
      </c>
      <c r="Q1601" s="5" t="str">
        <f aca="false">IF(A1601="","",IFERROR(INDEX(Parâmetros!$C$6:$C$10,MATCH(F1601,Parâmetros!$B$6:$B$10,0)),""))</f>
        <v/>
      </c>
      <c r="R1601" s="5" t="str">
        <f aca="false">IF(OR(A1601="",P1601="",Q1601=""),"",P1601*Q1601)</f>
        <v/>
      </c>
      <c r="S1601" s="5" t="str">
        <f aca="false">IF(R1601="","",MAX(0,R1601-G1601))</f>
        <v/>
      </c>
      <c r="T1601" s="21" t="str">
        <f aca="false">IF(S1601="","",S1601*K1601)</f>
        <v/>
      </c>
      <c r="U1601" s="5" t="str">
        <f aca="false">IF(A1601="","",IF(J1601&gt;Parâmetros!$C$14,"SIM","NAO"))</f>
        <v/>
      </c>
      <c r="V1601" s="5" t="str">
        <f aca="false">IF(B1601="","",TRIM(LEFT(B1601,IFERROR(FIND(" ",B1601)-1,LEN(B1601)))))</f>
        <v/>
      </c>
      <c r="W1601" s="22"/>
      <c r="X1601" s="5" t="str">
        <f aca="false">IF(A1601="","",IF(W1601&lt;&gt;"",W1601,V1601))</f>
        <v/>
      </c>
      <c r="Y1601" s="5" t="str">
        <f aca="false">IF(A1601="","",IF(COUNTIFS($X$2:$X$2001,X1601,$D$2:$D$2001,"&lt;&gt;"&amp;D1601,$C$2:$C$2001,C1601)&gt;0,"SIM","NAO"))</f>
        <v/>
      </c>
      <c r="Z1601" s="5" t="str">
        <f aca="false">IF(A1601="","",IF(J1601="","",IFERROR(360/J1601,"")))</f>
        <v/>
      </c>
      <c r="AA1601" s="5" t="str">
        <f aca="false">IF(A1601="","",IF(H1601=0,"Parado (sem venda 90d)",IF(Z1601&gt;12,"Alto (&gt;12x/ano)",IF(Z1601&gt;=4,"Medio (4-12x/ano)","Baixo (&lt;4x/ano)"))))</f>
        <v/>
      </c>
    </row>
    <row r="1602" customFormat="false" ht="15" hidden="false" customHeight="true" outlineLevel="0" collapsed="false">
      <c r="A1602" s="6"/>
      <c r="B1602" s="6"/>
      <c r="C1602" s="6"/>
      <c r="D1602" s="6"/>
      <c r="E1602" s="6"/>
      <c r="F1602" s="6"/>
      <c r="G1602" s="6"/>
      <c r="H1602" s="6"/>
      <c r="I1602" s="6"/>
      <c r="J1602" s="6"/>
      <c r="K1602" s="18"/>
      <c r="L1602" s="19" t="str">
        <f aca="false">IF(A1602="","",G1602*K1602)</f>
        <v/>
      </c>
      <c r="M1602" s="20"/>
      <c r="N1602" s="6"/>
      <c r="O1602" s="6"/>
      <c r="P1602" s="5" t="str">
        <f aca="false">IF(A1602="","",H1602/90)</f>
        <v/>
      </c>
      <c r="Q1602" s="5" t="str">
        <f aca="false">IF(A1602="","",IFERROR(INDEX(Parâmetros!$C$6:$C$10,MATCH(F1602,Parâmetros!$B$6:$B$10,0)),""))</f>
        <v/>
      </c>
      <c r="R1602" s="5" t="str">
        <f aca="false">IF(OR(A1602="",P1602="",Q1602=""),"",P1602*Q1602)</f>
        <v/>
      </c>
      <c r="S1602" s="5" t="str">
        <f aca="false">IF(R1602="","",MAX(0,R1602-G1602))</f>
        <v/>
      </c>
      <c r="T1602" s="21" t="str">
        <f aca="false">IF(S1602="","",S1602*K1602)</f>
        <v/>
      </c>
      <c r="U1602" s="5" t="str">
        <f aca="false">IF(A1602="","",IF(J1602&gt;Parâmetros!$C$14,"SIM","NAO"))</f>
        <v/>
      </c>
      <c r="V1602" s="5" t="str">
        <f aca="false">IF(B1602="","",TRIM(LEFT(B1602,IFERROR(FIND(" ",B1602)-1,LEN(B1602)))))</f>
        <v/>
      </c>
      <c r="W1602" s="22"/>
      <c r="X1602" s="5" t="str">
        <f aca="false">IF(A1602="","",IF(W1602&lt;&gt;"",W1602,V1602))</f>
        <v/>
      </c>
      <c r="Y1602" s="5" t="str">
        <f aca="false">IF(A1602="","",IF(COUNTIFS($X$2:$X$2001,X1602,$D$2:$D$2001,"&lt;&gt;"&amp;D1602,$C$2:$C$2001,C1602)&gt;0,"SIM","NAO"))</f>
        <v/>
      </c>
      <c r="Z1602" s="5" t="str">
        <f aca="false">IF(A1602="","",IF(J1602="","",IFERROR(360/J1602,"")))</f>
        <v/>
      </c>
      <c r="AA1602" s="5" t="str">
        <f aca="false">IF(A1602="","",IF(H1602=0,"Parado (sem venda 90d)",IF(Z1602&gt;12,"Alto (&gt;12x/ano)",IF(Z1602&gt;=4,"Medio (4-12x/ano)","Baixo (&lt;4x/ano)"))))</f>
        <v/>
      </c>
    </row>
    <row r="1603" customFormat="false" ht="15" hidden="false" customHeight="true" outlineLevel="0" collapsed="false">
      <c r="A1603" s="6"/>
      <c r="B1603" s="6"/>
      <c r="C1603" s="6"/>
      <c r="D1603" s="6"/>
      <c r="E1603" s="6"/>
      <c r="F1603" s="6"/>
      <c r="G1603" s="6"/>
      <c r="H1603" s="6"/>
      <c r="I1603" s="6"/>
      <c r="J1603" s="6"/>
      <c r="K1603" s="18"/>
      <c r="L1603" s="19" t="str">
        <f aca="false">IF(A1603="","",G1603*K1603)</f>
        <v/>
      </c>
      <c r="M1603" s="20"/>
      <c r="N1603" s="6"/>
      <c r="O1603" s="6"/>
      <c r="P1603" s="5" t="str">
        <f aca="false">IF(A1603="","",H1603/90)</f>
        <v/>
      </c>
      <c r="Q1603" s="5" t="str">
        <f aca="false">IF(A1603="","",IFERROR(INDEX(Parâmetros!$C$6:$C$10,MATCH(F1603,Parâmetros!$B$6:$B$10,0)),""))</f>
        <v/>
      </c>
      <c r="R1603" s="5" t="str">
        <f aca="false">IF(OR(A1603="",P1603="",Q1603=""),"",P1603*Q1603)</f>
        <v/>
      </c>
      <c r="S1603" s="5" t="str">
        <f aca="false">IF(R1603="","",MAX(0,R1603-G1603))</f>
        <v/>
      </c>
      <c r="T1603" s="21" t="str">
        <f aca="false">IF(S1603="","",S1603*K1603)</f>
        <v/>
      </c>
      <c r="U1603" s="5" t="str">
        <f aca="false">IF(A1603="","",IF(J1603&gt;Parâmetros!$C$14,"SIM","NAO"))</f>
        <v/>
      </c>
      <c r="V1603" s="5" t="str">
        <f aca="false">IF(B1603="","",TRIM(LEFT(B1603,IFERROR(FIND(" ",B1603)-1,LEN(B1603)))))</f>
        <v/>
      </c>
      <c r="W1603" s="22"/>
      <c r="X1603" s="5" t="str">
        <f aca="false">IF(A1603="","",IF(W1603&lt;&gt;"",W1603,V1603))</f>
        <v/>
      </c>
      <c r="Y1603" s="5" t="str">
        <f aca="false">IF(A1603="","",IF(COUNTIFS($X$2:$X$2001,X1603,$D$2:$D$2001,"&lt;&gt;"&amp;D1603,$C$2:$C$2001,C1603)&gt;0,"SIM","NAO"))</f>
        <v/>
      </c>
      <c r="Z1603" s="5" t="str">
        <f aca="false">IF(A1603="","",IF(J1603="","",IFERROR(360/J1603,"")))</f>
        <v/>
      </c>
      <c r="AA1603" s="5" t="str">
        <f aca="false">IF(A1603="","",IF(H1603=0,"Parado (sem venda 90d)",IF(Z1603&gt;12,"Alto (&gt;12x/ano)",IF(Z1603&gt;=4,"Medio (4-12x/ano)","Baixo (&lt;4x/ano)"))))</f>
        <v/>
      </c>
    </row>
    <row r="1604" customFormat="false" ht="15" hidden="false" customHeight="true" outlineLevel="0" collapsed="false">
      <c r="A1604" s="6"/>
      <c r="B1604" s="6"/>
      <c r="C1604" s="6"/>
      <c r="D1604" s="6"/>
      <c r="E1604" s="6"/>
      <c r="F1604" s="6"/>
      <c r="G1604" s="6"/>
      <c r="H1604" s="6"/>
      <c r="I1604" s="6"/>
      <c r="J1604" s="6"/>
      <c r="K1604" s="18"/>
      <c r="L1604" s="19" t="str">
        <f aca="false">IF(A1604="","",G1604*K1604)</f>
        <v/>
      </c>
      <c r="M1604" s="20"/>
      <c r="N1604" s="6"/>
      <c r="O1604" s="6"/>
      <c r="P1604" s="5" t="str">
        <f aca="false">IF(A1604="","",H1604/90)</f>
        <v/>
      </c>
      <c r="Q1604" s="5" t="str">
        <f aca="false">IF(A1604="","",IFERROR(INDEX(Parâmetros!$C$6:$C$10,MATCH(F1604,Parâmetros!$B$6:$B$10,0)),""))</f>
        <v/>
      </c>
      <c r="R1604" s="5" t="str">
        <f aca="false">IF(OR(A1604="",P1604="",Q1604=""),"",P1604*Q1604)</f>
        <v/>
      </c>
      <c r="S1604" s="5" t="str">
        <f aca="false">IF(R1604="","",MAX(0,R1604-G1604))</f>
        <v/>
      </c>
      <c r="T1604" s="21" t="str">
        <f aca="false">IF(S1604="","",S1604*K1604)</f>
        <v/>
      </c>
      <c r="U1604" s="5" t="str">
        <f aca="false">IF(A1604="","",IF(J1604&gt;Parâmetros!$C$14,"SIM","NAO"))</f>
        <v/>
      </c>
      <c r="V1604" s="5" t="str">
        <f aca="false">IF(B1604="","",TRIM(LEFT(B1604,IFERROR(FIND(" ",B1604)-1,LEN(B1604)))))</f>
        <v/>
      </c>
      <c r="W1604" s="22"/>
      <c r="X1604" s="5" t="str">
        <f aca="false">IF(A1604="","",IF(W1604&lt;&gt;"",W1604,V1604))</f>
        <v/>
      </c>
      <c r="Y1604" s="5" t="str">
        <f aca="false">IF(A1604="","",IF(COUNTIFS($X$2:$X$2001,X1604,$D$2:$D$2001,"&lt;&gt;"&amp;D1604,$C$2:$C$2001,C1604)&gt;0,"SIM","NAO"))</f>
        <v/>
      </c>
      <c r="Z1604" s="5" t="str">
        <f aca="false">IF(A1604="","",IF(J1604="","",IFERROR(360/J1604,"")))</f>
        <v/>
      </c>
      <c r="AA1604" s="5" t="str">
        <f aca="false">IF(A1604="","",IF(H1604=0,"Parado (sem venda 90d)",IF(Z1604&gt;12,"Alto (&gt;12x/ano)",IF(Z1604&gt;=4,"Medio (4-12x/ano)","Baixo (&lt;4x/ano)"))))</f>
        <v/>
      </c>
    </row>
    <row r="1605" customFormat="false" ht="15" hidden="false" customHeight="true" outlineLevel="0" collapsed="false">
      <c r="A1605" s="6"/>
      <c r="B1605" s="6"/>
      <c r="C1605" s="6"/>
      <c r="D1605" s="6"/>
      <c r="E1605" s="6"/>
      <c r="F1605" s="6"/>
      <c r="G1605" s="6"/>
      <c r="H1605" s="6"/>
      <c r="I1605" s="6"/>
      <c r="J1605" s="6"/>
      <c r="K1605" s="18"/>
      <c r="L1605" s="19" t="str">
        <f aca="false">IF(A1605="","",G1605*K1605)</f>
        <v/>
      </c>
      <c r="M1605" s="20"/>
      <c r="N1605" s="6"/>
      <c r="O1605" s="6"/>
      <c r="P1605" s="5" t="str">
        <f aca="false">IF(A1605="","",H1605/90)</f>
        <v/>
      </c>
      <c r="Q1605" s="5" t="str">
        <f aca="false">IF(A1605="","",IFERROR(INDEX(Parâmetros!$C$6:$C$10,MATCH(F1605,Parâmetros!$B$6:$B$10,0)),""))</f>
        <v/>
      </c>
      <c r="R1605" s="5" t="str">
        <f aca="false">IF(OR(A1605="",P1605="",Q1605=""),"",P1605*Q1605)</f>
        <v/>
      </c>
      <c r="S1605" s="5" t="str">
        <f aca="false">IF(R1605="","",MAX(0,R1605-G1605))</f>
        <v/>
      </c>
      <c r="T1605" s="21" t="str">
        <f aca="false">IF(S1605="","",S1605*K1605)</f>
        <v/>
      </c>
      <c r="U1605" s="5" t="str">
        <f aca="false">IF(A1605="","",IF(J1605&gt;Parâmetros!$C$14,"SIM","NAO"))</f>
        <v/>
      </c>
      <c r="V1605" s="5" t="str">
        <f aca="false">IF(B1605="","",TRIM(LEFT(B1605,IFERROR(FIND(" ",B1605)-1,LEN(B1605)))))</f>
        <v/>
      </c>
      <c r="W1605" s="22"/>
      <c r="X1605" s="5" t="str">
        <f aca="false">IF(A1605="","",IF(W1605&lt;&gt;"",W1605,V1605))</f>
        <v/>
      </c>
      <c r="Y1605" s="5" t="str">
        <f aca="false">IF(A1605="","",IF(COUNTIFS($X$2:$X$2001,X1605,$D$2:$D$2001,"&lt;&gt;"&amp;D1605,$C$2:$C$2001,C1605)&gt;0,"SIM","NAO"))</f>
        <v/>
      </c>
      <c r="Z1605" s="5" t="str">
        <f aca="false">IF(A1605="","",IF(J1605="","",IFERROR(360/J1605,"")))</f>
        <v/>
      </c>
      <c r="AA1605" s="5" t="str">
        <f aca="false">IF(A1605="","",IF(H1605=0,"Parado (sem venda 90d)",IF(Z1605&gt;12,"Alto (&gt;12x/ano)",IF(Z1605&gt;=4,"Medio (4-12x/ano)","Baixo (&lt;4x/ano)"))))</f>
        <v/>
      </c>
    </row>
    <row r="1606" customFormat="false" ht="15" hidden="false" customHeight="true" outlineLevel="0" collapsed="false">
      <c r="A1606" s="6"/>
      <c r="B1606" s="6"/>
      <c r="C1606" s="6"/>
      <c r="D1606" s="6"/>
      <c r="E1606" s="6"/>
      <c r="F1606" s="6"/>
      <c r="G1606" s="6"/>
      <c r="H1606" s="6"/>
      <c r="I1606" s="6"/>
      <c r="J1606" s="6"/>
      <c r="K1606" s="18"/>
      <c r="L1606" s="19" t="str">
        <f aca="false">IF(A1606="","",G1606*K1606)</f>
        <v/>
      </c>
      <c r="M1606" s="20"/>
      <c r="N1606" s="6"/>
      <c r="O1606" s="6"/>
      <c r="P1606" s="5" t="str">
        <f aca="false">IF(A1606="","",H1606/90)</f>
        <v/>
      </c>
      <c r="Q1606" s="5" t="str">
        <f aca="false">IF(A1606="","",IFERROR(INDEX(Parâmetros!$C$6:$C$10,MATCH(F1606,Parâmetros!$B$6:$B$10,0)),""))</f>
        <v/>
      </c>
      <c r="R1606" s="5" t="str">
        <f aca="false">IF(OR(A1606="",P1606="",Q1606=""),"",P1606*Q1606)</f>
        <v/>
      </c>
      <c r="S1606" s="5" t="str">
        <f aca="false">IF(R1606="","",MAX(0,R1606-G1606))</f>
        <v/>
      </c>
      <c r="T1606" s="21" t="str">
        <f aca="false">IF(S1606="","",S1606*K1606)</f>
        <v/>
      </c>
      <c r="U1606" s="5" t="str">
        <f aca="false">IF(A1606="","",IF(J1606&gt;Parâmetros!$C$14,"SIM","NAO"))</f>
        <v/>
      </c>
      <c r="V1606" s="5" t="str">
        <f aca="false">IF(B1606="","",TRIM(LEFT(B1606,IFERROR(FIND(" ",B1606)-1,LEN(B1606)))))</f>
        <v/>
      </c>
      <c r="W1606" s="22"/>
      <c r="X1606" s="5" t="str">
        <f aca="false">IF(A1606="","",IF(W1606&lt;&gt;"",W1606,V1606))</f>
        <v/>
      </c>
      <c r="Y1606" s="5" t="str">
        <f aca="false">IF(A1606="","",IF(COUNTIFS($X$2:$X$2001,X1606,$D$2:$D$2001,"&lt;&gt;"&amp;D1606,$C$2:$C$2001,C1606)&gt;0,"SIM","NAO"))</f>
        <v/>
      </c>
      <c r="Z1606" s="5" t="str">
        <f aca="false">IF(A1606="","",IF(J1606="","",IFERROR(360/J1606,"")))</f>
        <v/>
      </c>
      <c r="AA1606" s="5" t="str">
        <f aca="false">IF(A1606="","",IF(H1606=0,"Parado (sem venda 90d)",IF(Z1606&gt;12,"Alto (&gt;12x/ano)",IF(Z1606&gt;=4,"Medio (4-12x/ano)","Baixo (&lt;4x/ano)"))))</f>
        <v/>
      </c>
    </row>
    <row r="1607" customFormat="false" ht="15" hidden="false" customHeight="true" outlineLevel="0" collapsed="false">
      <c r="A1607" s="6"/>
      <c r="B1607" s="6"/>
      <c r="C1607" s="6"/>
      <c r="D1607" s="6"/>
      <c r="E1607" s="6"/>
      <c r="F1607" s="6"/>
      <c r="G1607" s="6"/>
      <c r="H1607" s="6"/>
      <c r="I1607" s="6"/>
      <c r="J1607" s="6"/>
      <c r="K1607" s="18"/>
      <c r="L1607" s="19" t="str">
        <f aca="false">IF(A1607="","",G1607*K1607)</f>
        <v/>
      </c>
      <c r="M1607" s="20"/>
      <c r="N1607" s="6"/>
      <c r="O1607" s="6"/>
      <c r="P1607" s="5" t="str">
        <f aca="false">IF(A1607="","",H1607/90)</f>
        <v/>
      </c>
      <c r="Q1607" s="5" t="str">
        <f aca="false">IF(A1607="","",IFERROR(INDEX(Parâmetros!$C$6:$C$10,MATCH(F1607,Parâmetros!$B$6:$B$10,0)),""))</f>
        <v/>
      </c>
      <c r="R1607" s="5" t="str">
        <f aca="false">IF(OR(A1607="",P1607="",Q1607=""),"",P1607*Q1607)</f>
        <v/>
      </c>
      <c r="S1607" s="5" t="str">
        <f aca="false">IF(R1607="","",MAX(0,R1607-G1607))</f>
        <v/>
      </c>
      <c r="T1607" s="21" t="str">
        <f aca="false">IF(S1607="","",S1607*K1607)</f>
        <v/>
      </c>
      <c r="U1607" s="5" t="str">
        <f aca="false">IF(A1607="","",IF(J1607&gt;Parâmetros!$C$14,"SIM","NAO"))</f>
        <v/>
      </c>
      <c r="V1607" s="5" t="str">
        <f aca="false">IF(B1607="","",TRIM(LEFT(B1607,IFERROR(FIND(" ",B1607)-1,LEN(B1607)))))</f>
        <v/>
      </c>
      <c r="W1607" s="22"/>
      <c r="X1607" s="5" t="str">
        <f aca="false">IF(A1607="","",IF(W1607&lt;&gt;"",W1607,V1607))</f>
        <v/>
      </c>
      <c r="Y1607" s="5" t="str">
        <f aca="false">IF(A1607="","",IF(COUNTIFS($X$2:$X$2001,X1607,$D$2:$D$2001,"&lt;&gt;"&amp;D1607,$C$2:$C$2001,C1607)&gt;0,"SIM","NAO"))</f>
        <v/>
      </c>
      <c r="Z1607" s="5" t="str">
        <f aca="false">IF(A1607="","",IF(J1607="","",IFERROR(360/J1607,"")))</f>
        <v/>
      </c>
      <c r="AA1607" s="5" t="str">
        <f aca="false">IF(A1607="","",IF(H1607=0,"Parado (sem venda 90d)",IF(Z1607&gt;12,"Alto (&gt;12x/ano)",IF(Z1607&gt;=4,"Medio (4-12x/ano)","Baixo (&lt;4x/ano)"))))</f>
        <v/>
      </c>
    </row>
    <row r="1608" customFormat="false" ht="15" hidden="false" customHeight="true" outlineLevel="0" collapsed="false">
      <c r="A1608" s="6"/>
      <c r="B1608" s="6"/>
      <c r="C1608" s="6"/>
      <c r="D1608" s="6"/>
      <c r="E1608" s="6"/>
      <c r="F1608" s="6"/>
      <c r="G1608" s="6"/>
      <c r="H1608" s="6"/>
      <c r="I1608" s="6"/>
      <c r="J1608" s="6"/>
      <c r="K1608" s="18"/>
      <c r="L1608" s="19" t="str">
        <f aca="false">IF(A1608="","",G1608*K1608)</f>
        <v/>
      </c>
      <c r="M1608" s="20"/>
      <c r="N1608" s="6"/>
      <c r="O1608" s="6"/>
      <c r="P1608" s="5" t="str">
        <f aca="false">IF(A1608="","",H1608/90)</f>
        <v/>
      </c>
      <c r="Q1608" s="5" t="str">
        <f aca="false">IF(A1608="","",IFERROR(INDEX(Parâmetros!$C$6:$C$10,MATCH(F1608,Parâmetros!$B$6:$B$10,0)),""))</f>
        <v/>
      </c>
      <c r="R1608" s="5" t="str">
        <f aca="false">IF(OR(A1608="",P1608="",Q1608=""),"",P1608*Q1608)</f>
        <v/>
      </c>
      <c r="S1608" s="5" t="str">
        <f aca="false">IF(R1608="","",MAX(0,R1608-G1608))</f>
        <v/>
      </c>
      <c r="T1608" s="21" t="str">
        <f aca="false">IF(S1608="","",S1608*K1608)</f>
        <v/>
      </c>
      <c r="U1608" s="5" t="str">
        <f aca="false">IF(A1608="","",IF(J1608&gt;Parâmetros!$C$14,"SIM","NAO"))</f>
        <v/>
      </c>
      <c r="V1608" s="5" t="str">
        <f aca="false">IF(B1608="","",TRIM(LEFT(B1608,IFERROR(FIND(" ",B1608)-1,LEN(B1608)))))</f>
        <v/>
      </c>
      <c r="W1608" s="22"/>
      <c r="X1608" s="5" t="str">
        <f aca="false">IF(A1608="","",IF(W1608&lt;&gt;"",W1608,V1608))</f>
        <v/>
      </c>
      <c r="Y1608" s="5" t="str">
        <f aca="false">IF(A1608="","",IF(COUNTIFS($X$2:$X$2001,X1608,$D$2:$D$2001,"&lt;&gt;"&amp;D1608,$C$2:$C$2001,C1608)&gt;0,"SIM","NAO"))</f>
        <v/>
      </c>
      <c r="Z1608" s="5" t="str">
        <f aca="false">IF(A1608="","",IF(J1608="","",IFERROR(360/J1608,"")))</f>
        <v/>
      </c>
      <c r="AA1608" s="5" t="str">
        <f aca="false">IF(A1608="","",IF(H1608=0,"Parado (sem venda 90d)",IF(Z1608&gt;12,"Alto (&gt;12x/ano)",IF(Z1608&gt;=4,"Medio (4-12x/ano)","Baixo (&lt;4x/ano)"))))</f>
        <v/>
      </c>
    </row>
    <row r="1609" customFormat="false" ht="15" hidden="false" customHeight="true" outlineLevel="0" collapsed="false">
      <c r="A1609" s="6"/>
      <c r="B1609" s="6"/>
      <c r="C1609" s="6"/>
      <c r="D1609" s="6"/>
      <c r="E1609" s="6"/>
      <c r="F1609" s="6"/>
      <c r="G1609" s="6"/>
      <c r="H1609" s="6"/>
      <c r="I1609" s="6"/>
      <c r="J1609" s="6"/>
      <c r="K1609" s="18"/>
      <c r="L1609" s="19" t="str">
        <f aca="false">IF(A1609="","",G1609*K1609)</f>
        <v/>
      </c>
      <c r="M1609" s="20"/>
      <c r="N1609" s="6"/>
      <c r="O1609" s="6"/>
      <c r="P1609" s="5" t="str">
        <f aca="false">IF(A1609="","",H1609/90)</f>
        <v/>
      </c>
      <c r="Q1609" s="5" t="str">
        <f aca="false">IF(A1609="","",IFERROR(INDEX(Parâmetros!$C$6:$C$10,MATCH(F1609,Parâmetros!$B$6:$B$10,0)),""))</f>
        <v/>
      </c>
      <c r="R1609" s="5" t="str">
        <f aca="false">IF(OR(A1609="",P1609="",Q1609=""),"",P1609*Q1609)</f>
        <v/>
      </c>
      <c r="S1609" s="5" t="str">
        <f aca="false">IF(R1609="","",MAX(0,R1609-G1609))</f>
        <v/>
      </c>
      <c r="T1609" s="21" t="str">
        <f aca="false">IF(S1609="","",S1609*K1609)</f>
        <v/>
      </c>
      <c r="U1609" s="5" t="str">
        <f aca="false">IF(A1609="","",IF(J1609&gt;Parâmetros!$C$14,"SIM","NAO"))</f>
        <v/>
      </c>
      <c r="V1609" s="5" t="str">
        <f aca="false">IF(B1609="","",TRIM(LEFT(B1609,IFERROR(FIND(" ",B1609)-1,LEN(B1609)))))</f>
        <v/>
      </c>
      <c r="W1609" s="22"/>
      <c r="X1609" s="5" t="str">
        <f aca="false">IF(A1609="","",IF(W1609&lt;&gt;"",W1609,V1609))</f>
        <v/>
      </c>
      <c r="Y1609" s="5" t="str">
        <f aca="false">IF(A1609="","",IF(COUNTIFS($X$2:$X$2001,X1609,$D$2:$D$2001,"&lt;&gt;"&amp;D1609,$C$2:$C$2001,C1609)&gt;0,"SIM","NAO"))</f>
        <v/>
      </c>
      <c r="Z1609" s="5" t="str">
        <f aca="false">IF(A1609="","",IF(J1609="","",IFERROR(360/J1609,"")))</f>
        <v/>
      </c>
      <c r="AA1609" s="5" t="str">
        <f aca="false">IF(A1609="","",IF(H1609=0,"Parado (sem venda 90d)",IF(Z1609&gt;12,"Alto (&gt;12x/ano)",IF(Z1609&gt;=4,"Medio (4-12x/ano)","Baixo (&lt;4x/ano)"))))</f>
        <v/>
      </c>
    </row>
    <row r="1610" customFormat="false" ht="15" hidden="false" customHeight="true" outlineLevel="0" collapsed="false">
      <c r="A1610" s="6"/>
      <c r="B1610" s="6"/>
      <c r="C1610" s="6"/>
      <c r="D1610" s="6"/>
      <c r="E1610" s="6"/>
      <c r="F1610" s="6"/>
      <c r="G1610" s="6"/>
      <c r="H1610" s="6"/>
      <c r="I1610" s="6"/>
      <c r="J1610" s="6"/>
      <c r="K1610" s="18"/>
      <c r="L1610" s="19" t="str">
        <f aca="false">IF(A1610="","",G1610*K1610)</f>
        <v/>
      </c>
      <c r="M1610" s="20"/>
      <c r="N1610" s="6"/>
      <c r="O1610" s="6"/>
      <c r="P1610" s="5" t="str">
        <f aca="false">IF(A1610="","",H1610/90)</f>
        <v/>
      </c>
      <c r="Q1610" s="5" t="str">
        <f aca="false">IF(A1610="","",IFERROR(INDEX(Parâmetros!$C$6:$C$10,MATCH(F1610,Parâmetros!$B$6:$B$10,0)),""))</f>
        <v/>
      </c>
      <c r="R1610" s="5" t="str">
        <f aca="false">IF(OR(A1610="",P1610="",Q1610=""),"",P1610*Q1610)</f>
        <v/>
      </c>
      <c r="S1610" s="5" t="str">
        <f aca="false">IF(R1610="","",MAX(0,R1610-G1610))</f>
        <v/>
      </c>
      <c r="T1610" s="21" t="str">
        <f aca="false">IF(S1610="","",S1610*K1610)</f>
        <v/>
      </c>
      <c r="U1610" s="5" t="str">
        <f aca="false">IF(A1610="","",IF(J1610&gt;Parâmetros!$C$14,"SIM","NAO"))</f>
        <v/>
      </c>
      <c r="V1610" s="5" t="str">
        <f aca="false">IF(B1610="","",TRIM(LEFT(B1610,IFERROR(FIND(" ",B1610)-1,LEN(B1610)))))</f>
        <v/>
      </c>
      <c r="W1610" s="22"/>
      <c r="X1610" s="5" t="str">
        <f aca="false">IF(A1610="","",IF(W1610&lt;&gt;"",W1610,V1610))</f>
        <v/>
      </c>
      <c r="Y1610" s="5" t="str">
        <f aca="false">IF(A1610="","",IF(COUNTIFS($X$2:$X$2001,X1610,$D$2:$D$2001,"&lt;&gt;"&amp;D1610,$C$2:$C$2001,C1610)&gt;0,"SIM","NAO"))</f>
        <v/>
      </c>
      <c r="Z1610" s="5" t="str">
        <f aca="false">IF(A1610="","",IF(J1610="","",IFERROR(360/J1610,"")))</f>
        <v/>
      </c>
      <c r="AA1610" s="5" t="str">
        <f aca="false">IF(A1610="","",IF(H1610=0,"Parado (sem venda 90d)",IF(Z1610&gt;12,"Alto (&gt;12x/ano)",IF(Z1610&gt;=4,"Medio (4-12x/ano)","Baixo (&lt;4x/ano)"))))</f>
        <v/>
      </c>
    </row>
    <row r="1611" customFormat="false" ht="15" hidden="false" customHeight="true" outlineLevel="0" collapsed="false">
      <c r="A1611" s="6"/>
      <c r="B1611" s="6"/>
      <c r="C1611" s="6"/>
      <c r="D1611" s="6"/>
      <c r="E1611" s="6"/>
      <c r="F1611" s="6"/>
      <c r="G1611" s="6"/>
      <c r="H1611" s="6"/>
      <c r="I1611" s="6"/>
      <c r="J1611" s="6"/>
      <c r="K1611" s="18"/>
      <c r="L1611" s="19" t="str">
        <f aca="false">IF(A1611="","",G1611*K1611)</f>
        <v/>
      </c>
      <c r="M1611" s="20"/>
      <c r="N1611" s="6"/>
      <c r="O1611" s="6"/>
      <c r="P1611" s="5" t="str">
        <f aca="false">IF(A1611="","",H1611/90)</f>
        <v/>
      </c>
      <c r="Q1611" s="5" t="str">
        <f aca="false">IF(A1611="","",IFERROR(INDEX(Parâmetros!$C$6:$C$10,MATCH(F1611,Parâmetros!$B$6:$B$10,0)),""))</f>
        <v/>
      </c>
      <c r="R1611" s="5" t="str">
        <f aca="false">IF(OR(A1611="",P1611="",Q1611=""),"",P1611*Q1611)</f>
        <v/>
      </c>
      <c r="S1611" s="5" t="str">
        <f aca="false">IF(R1611="","",MAX(0,R1611-G1611))</f>
        <v/>
      </c>
      <c r="T1611" s="21" t="str">
        <f aca="false">IF(S1611="","",S1611*K1611)</f>
        <v/>
      </c>
      <c r="U1611" s="5" t="str">
        <f aca="false">IF(A1611="","",IF(J1611&gt;Parâmetros!$C$14,"SIM","NAO"))</f>
        <v/>
      </c>
      <c r="V1611" s="5" t="str">
        <f aca="false">IF(B1611="","",TRIM(LEFT(B1611,IFERROR(FIND(" ",B1611)-1,LEN(B1611)))))</f>
        <v/>
      </c>
      <c r="W1611" s="22"/>
      <c r="X1611" s="5" t="str">
        <f aca="false">IF(A1611="","",IF(W1611&lt;&gt;"",W1611,V1611))</f>
        <v/>
      </c>
      <c r="Y1611" s="5" t="str">
        <f aca="false">IF(A1611="","",IF(COUNTIFS($X$2:$X$2001,X1611,$D$2:$D$2001,"&lt;&gt;"&amp;D1611,$C$2:$C$2001,C1611)&gt;0,"SIM","NAO"))</f>
        <v/>
      </c>
      <c r="Z1611" s="5" t="str">
        <f aca="false">IF(A1611="","",IF(J1611="","",IFERROR(360/J1611,"")))</f>
        <v/>
      </c>
      <c r="AA1611" s="5" t="str">
        <f aca="false">IF(A1611="","",IF(H1611=0,"Parado (sem venda 90d)",IF(Z1611&gt;12,"Alto (&gt;12x/ano)",IF(Z1611&gt;=4,"Medio (4-12x/ano)","Baixo (&lt;4x/ano)"))))</f>
        <v/>
      </c>
    </row>
    <row r="1612" customFormat="false" ht="15" hidden="false" customHeight="true" outlineLevel="0" collapsed="false">
      <c r="A1612" s="6"/>
      <c r="B1612" s="6"/>
      <c r="C1612" s="6"/>
      <c r="D1612" s="6"/>
      <c r="E1612" s="6"/>
      <c r="F1612" s="6"/>
      <c r="G1612" s="6"/>
      <c r="H1612" s="6"/>
      <c r="I1612" s="6"/>
      <c r="J1612" s="6"/>
      <c r="K1612" s="18"/>
      <c r="L1612" s="19" t="str">
        <f aca="false">IF(A1612="","",G1612*K1612)</f>
        <v/>
      </c>
      <c r="M1612" s="20"/>
      <c r="N1612" s="6"/>
      <c r="O1612" s="6"/>
      <c r="P1612" s="5" t="str">
        <f aca="false">IF(A1612="","",H1612/90)</f>
        <v/>
      </c>
      <c r="Q1612" s="5" t="str">
        <f aca="false">IF(A1612="","",IFERROR(INDEX(Parâmetros!$C$6:$C$10,MATCH(F1612,Parâmetros!$B$6:$B$10,0)),""))</f>
        <v/>
      </c>
      <c r="R1612" s="5" t="str">
        <f aca="false">IF(OR(A1612="",P1612="",Q1612=""),"",P1612*Q1612)</f>
        <v/>
      </c>
      <c r="S1612" s="5" t="str">
        <f aca="false">IF(R1612="","",MAX(0,R1612-G1612))</f>
        <v/>
      </c>
      <c r="T1612" s="21" t="str">
        <f aca="false">IF(S1612="","",S1612*K1612)</f>
        <v/>
      </c>
      <c r="U1612" s="5" t="str">
        <f aca="false">IF(A1612="","",IF(J1612&gt;Parâmetros!$C$14,"SIM","NAO"))</f>
        <v/>
      </c>
      <c r="V1612" s="5" t="str">
        <f aca="false">IF(B1612="","",TRIM(LEFT(B1612,IFERROR(FIND(" ",B1612)-1,LEN(B1612)))))</f>
        <v/>
      </c>
      <c r="W1612" s="22"/>
      <c r="X1612" s="5" t="str">
        <f aca="false">IF(A1612="","",IF(W1612&lt;&gt;"",W1612,V1612))</f>
        <v/>
      </c>
      <c r="Y1612" s="5" t="str">
        <f aca="false">IF(A1612="","",IF(COUNTIFS($X$2:$X$2001,X1612,$D$2:$D$2001,"&lt;&gt;"&amp;D1612,$C$2:$C$2001,C1612)&gt;0,"SIM","NAO"))</f>
        <v/>
      </c>
      <c r="Z1612" s="5" t="str">
        <f aca="false">IF(A1612="","",IF(J1612="","",IFERROR(360/J1612,"")))</f>
        <v/>
      </c>
      <c r="AA1612" s="5" t="str">
        <f aca="false">IF(A1612="","",IF(H1612=0,"Parado (sem venda 90d)",IF(Z1612&gt;12,"Alto (&gt;12x/ano)",IF(Z1612&gt;=4,"Medio (4-12x/ano)","Baixo (&lt;4x/ano)"))))</f>
        <v/>
      </c>
    </row>
    <row r="1613" customFormat="false" ht="15" hidden="false" customHeight="true" outlineLevel="0" collapsed="false">
      <c r="A1613" s="6"/>
      <c r="B1613" s="6"/>
      <c r="C1613" s="6"/>
      <c r="D1613" s="6"/>
      <c r="E1613" s="6"/>
      <c r="F1613" s="6"/>
      <c r="G1613" s="6"/>
      <c r="H1613" s="6"/>
      <c r="I1613" s="6"/>
      <c r="J1613" s="6"/>
      <c r="K1613" s="18"/>
      <c r="L1613" s="19" t="str">
        <f aca="false">IF(A1613="","",G1613*K1613)</f>
        <v/>
      </c>
      <c r="M1613" s="20"/>
      <c r="N1613" s="6"/>
      <c r="O1613" s="6"/>
      <c r="P1613" s="5" t="str">
        <f aca="false">IF(A1613="","",H1613/90)</f>
        <v/>
      </c>
      <c r="Q1613" s="5" t="str">
        <f aca="false">IF(A1613="","",IFERROR(INDEX(Parâmetros!$C$6:$C$10,MATCH(F1613,Parâmetros!$B$6:$B$10,0)),""))</f>
        <v/>
      </c>
      <c r="R1613" s="5" t="str">
        <f aca="false">IF(OR(A1613="",P1613="",Q1613=""),"",P1613*Q1613)</f>
        <v/>
      </c>
      <c r="S1613" s="5" t="str">
        <f aca="false">IF(R1613="","",MAX(0,R1613-G1613))</f>
        <v/>
      </c>
      <c r="T1613" s="21" t="str">
        <f aca="false">IF(S1613="","",S1613*K1613)</f>
        <v/>
      </c>
      <c r="U1613" s="5" t="str">
        <f aca="false">IF(A1613="","",IF(J1613&gt;Parâmetros!$C$14,"SIM","NAO"))</f>
        <v/>
      </c>
      <c r="V1613" s="5" t="str">
        <f aca="false">IF(B1613="","",TRIM(LEFT(B1613,IFERROR(FIND(" ",B1613)-1,LEN(B1613)))))</f>
        <v/>
      </c>
      <c r="W1613" s="22"/>
      <c r="X1613" s="5" t="str">
        <f aca="false">IF(A1613="","",IF(W1613&lt;&gt;"",W1613,V1613))</f>
        <v/>
      </c>
      <c r="Y1613" s="5" t="str">
        <f aca="false">IF(A1613="","",IF(COUNTIFS($X$2:$X$2001,X1613,$D$2:$D$2001,"&lt;&gt;"&amp;D1613,$C$2:$C$2001,C1613)&gt;0,"SIM","NAO"))</f>
        <v/>
      </c>
      <c r="Z1613" s="5" t="str">
        <f aca="false">IF(A1613="","",IF(J1613="","",IFERROR(360/J1613,"")))</f>
        <v/>
      </c>
      <c r="AA1613" s="5" t="str">
        <f aca="false">IF(A1613="","",IF(H1613=0,"Parado (sem venda 90d)",IF(Z1613&gt;12,"Alto (&gt;12x/ano)",IF(Z1613&gt;=4,"Medio (4-12x/ano)","Baixo (&lt;4x/ano)"))))</f>
        <v/>
      </c>
    </row>
    <row r="1614" customFormat="false" ht="15" hidden="false" customHeight="true" outlineLevel="0" collapsed="false">
      <c r="A1614" s="6"/>
      <c r="B1614" s="6"/>
      <c r="C1614" s="6"/>
      <c r="D1614" s="6"/>
      <c r="E1614" s="6"/>
      <c r="F1614" s="6"/>
      <c r="G1614" s="6"/>
      <c r="H1614" s="6"/>
      <c r="I1614" s="6"/>
      <c r="J1614" s="6"/>
      <c r="K1614" s="18"/>
      <c r="L1614" s="19" t="str">
        <f aca="false">IF(A1614="","",G1614*K1614)</f>
        <v/>
      </c>
      <c r="M1614" s="20"/>
      <c r="N1614" s="6"/>
      <c r="O1614" s="6"/>
      <c r="P1614" s="5" t="str">
        <f aca="false">IF(A1614="","",H1614/90)</f>
        <v/>
      </c>
      <c r="Q1614" s="5" t="str">
        <f aca="false">IF(A1614="","",IFERROR(INDEX(Parâmetros!$C$6:$C$10,MATCH(F1614,Parâmetros!$B$6:$B$10,0)),""))</f>
        <v/>
      </c>
      <c r="R1614" s="5" t="str">
        <f aca="false">IF(OR(A1614="",P1614="",Q1614=""),"",P1614*Q1614)</f>
        <v/>
      </c>
      <c r="S1614" s="5" t="str">
        <f aca="false">IF(R1614="","",MAX(0,R1614-G1614))</f>
        <v/>
      </c>
      <c r="T1614" s="21" t="str">
        <f aca="false">IF(S1614="","",S1614*K1614)</f>
        <v/>
      </c>
      <c r="U1614" s="5" t="str">
        <f aca="false">IF(A1614="","",IF(J1614&gt;Parâmetros!$C$14,"SIM","NAO"))</f>
        <v/>
      </c>
      <c r="V1614" s="5" t="str">
        <f aca="false">IF(B1614="","",TRIM(LEFT(B1614,IFERROR(FIND(" ",B1614)-1,LEN(B1614)))))</f>
        <v/>
      </c>
      <c r="W1614" s="22"/>
      <c r="X1614" s="5" t="str">
        <f aca="false">IF(A1614="","",IF(W1614&lt;&gt;"",W1614,V1614))</f>
        <v/>
      </c>
      <c r="Y1614" s="5" t="str">
        <f aca="false">IF(A1614="","",IF(COUNTIFS($X$2:$X$2001,X1614,$D$2:$D$2001,"&lt;&gt;"&amp;D1614,$C$2:$C$2001,C1614)&gt;0,"SIM","NAO"))</f>
        <v/>
      </c>
      <c r="Z1614" s="5" t="str">
        <f aca="false">IF(A1614="","",IF(J1614="","",IFERROR(360/J1614,"")))</f>
        <v/>
      </c>
      <c r="AA1614" s="5" t="str">
        <f aca="false">IF(A1614="","",IF(H1614=0,"Parado (sem venda 90d)",IF(Z1614&gt;12,"Alto (&gt;12x/ano)",IF(Z1614&gt;=4,"Medio (4-12x/ano)","Baixo (&lt;4x/ano)"))))</f>
        <v/>
      </c>
    </row>
    <row r="1615" customFormat="false" ht="15" hidden="false" customHeight="true" outlineLevel="0" collapsed="false">
      <c r="A1615" s="6"/>
      <c r="B1615" s="6"/>
      <c r="C1615" s="6"/>
      <c r="D1615" s="6"/>
      <c r="E1615" s="6"/>
      <c r="F1615" s="6"/>
      <c r="G1615" s="6"/>
      <c r="H1615" s="6"/>
      <c r="I1615" s="6"/>
      <c r="J1615" s="6"/>
      <c r="K1615" s="18"/>
      <c r="L1615" s="19" t="str">
        <f aca="false">IF(A1615="","",G1615*K1615)</f>
        <v/>
      </c>
      <c r="M1615" s="20"/>
      <c r="N1615" s="6"/>
      <c r="O1615" s="6"/>
      <c r="P1615" s="5" t="str">
        <f aca="false">IF(A1615="","",H1615/90)</f>
        <v/>
      </c>
      <c r="Q1615" s="5" t="str">
        <f aca="false">IF(A1615="","",IFERROR(INDEX(Parâmetros!$C$6:$C$10,MATCH(F1615,Parâmetros!$B$6:$B$10,0)),""))</f>
        <v/>
      </c>
      <c r="R1615" s="5" t="str">
        <f aca="false">IF(OR(A1615="",P1615="",Q1615=""),"",P1615*Q1615)</f>
        <v/>
      </c>
      <c r="S1615" s="5" t="str">
        <f aca="false">IF(R1615="","",MAX(0,R1615-G1615))</f>
        <v/>
      </c>
      <c r="T1615" s="21" t="str">
        <f aca="false">IF(S1615="","",S1615*K1615)</f>
        <v/>
      </c>
      <c r="U1615" s="5" t="str">
        <f aca="false">IF(A1615="","",IF(J1615&gt;Parâmetros!$C$14,"SIM","NAO"))</f>
        <v/>
      </c>
      <c r="V1615" s="5" t="str">
        <f aca="false">IF(B1615="","",TRIM(LEFT(B1615,IFERROR(FIND(" ",B1615)-1,LEN(B1615)))))</f>
        <v/>
      </c>
      <c r="W1615" s="22"/>
      <c r="X1615" s="5" t="str">
        <f aca="false">IF(A1615="","",IF(W1615&lt;&gt;"",W1615,V1615))</f>
        <v/>
      </c>
      <c r="Y1615" s="5" t="str">
        <f aca="false">IF(A1615="","",IF(COUNTIFS($X$2:$X$2001,X1615,$D$2:$D$2001,"&lt;&gt;"&amp;D1615,$C$2:$C$2001,C1615)&gt;0,"SIM","NAO"))</f>
        <v/>
      </c>
      <c r="Z1615" s="5" t="str">
        <f aca="false">IF(A1615="","",IF(J1615="","",IFERROR(360/J1615,"")))</f>
        <v/>
      </c>
      <c r="AA1615" s="5" t="str">
        <f aca="false">IF(A1615="","",IF(H1615=0,"Parado (sem venda 90d)",IF(Z1615&gt;12,"Alto (&gt;12x/ano)",IF(Z1615&gt;=4,"Medio (4-12x/ano)","Baixo (&lt;4x/ano)"))))</f>
        <v/>
      </c>
    </row>
    <row r="1616" customFormat="false" ht="15" hidden="false" customHeight="true" outlineLevel="0" collapsed="false">
      <c r="A1616" s="6"/>
      <c r="B1616" s="6"/>
      <c r="C1616" s="6"/>
      <c r="D1616" s="6"/>
      <c r="E1616" s="6"/>
      <c r="F1616" s="6"/>
      <c r="G1616" s="6"/>
      <c r="H1616" s="6"/>
      <c r="I1616" s="6"/>
      <c r="J1616" s="6"/>
      <c r="K1616" s="18"/>
      <c r="L1616" s="19" t="str">
        <f aca="false">IF(A1616="","",G1616*K1616)</f>
        <v/>
      </c>
      <c r="M1616" s="20"/>
      <c r="N1616" s="6"/>
      <c r="O1616" s="6"/>
      <c r="P1616" s="5" t="str">
        <f aca="false">IF(A1616="","",H1616/90)</f>
        <v/>
      </c>
      <c r="Q1616" s="5" t="str">
        <f aca="false">IF(A1616="","",IFERROR(INDEX(Parâmetros!$C$6:$C$10,MATCH(F1616,Parâmetros!$B$6:$B$10,0)),""))</f>
        <v/>
      </c>
      <c r="R1616" s="5" t="str">
        <f aca="false">IF(OR(A1616="",P1616="",Q1616=""),"",P1616*Q1616)</f>
        <v/>
      </c>
      <c r="S1616" s="5" t="str">
        <f aca="false">IF(R1616="","",MAX(0,R1616-G1616))</f>
        <v/>
      </c>
      <c r="T1616" s="21" t="str">
        <f aca="false">IF(S1616="","",S1616*K1616)</f>
        <v/>
      </c>
      <c r="U1616" s="5" t="str">
        <f aca="false">IF(A1616="","",IF(J1616&gt;Parâmetros!$C$14,"SIM","NAO"))</f>
        <v/>
      </c>
      <c r="V1616" s="5" t="str">
        <f aca="false">IF(B1616="","",TRIM(LEFT(B1616,IFERROR(FIND(" ",B1616)-1,LEN(B1616)))))</f>
        <v/>
      </c>
      <c r="W1616" s="22"/>
      <c r="X1616" s="5" t="str">
        <f aca="false">IF(A1616="","",IF(W1616&lt;&gt;"",W1616,V1616))</f>
        <v/>
      </c>
      <c r="Y1616" s="5" t="str">
        <f aca="false">IF(A1616="","",IF(COUNTIFS($X$2:$X$2001,X1616,$D$2:$D$2001,"&lt;&gt;"&amp;D1616,$C$2:$C$2001,C1616)&gt;0,"SIM","NAO"))</f>
        <v/>
      </c>
      <c r="Z1616" s="5" t="str">
        <f aca="false">IF(A1616="","",IF(J1616="","",IFERROR(360/J1616,"")))</f>
        <v/>
      </c>
      <c r="AA1616" s="5" t="str">
        <f aca="false">IF(A1616="","",IF(H1616=0,"Parado (sem venda 90d)",IF(Z1616&gt;12,"Alto (&gt;12x/ano)",IF(Z1616&gt;=4,"Medio (4-12x/ano)","Baixo (&lt;4x/ano)"))))</f>
        <v/>
      </c>
    </row>
    <row r="1617" customFormat="false" ht="15" hidden="false" customHeight="true" outlineLevel="0" collapsed="false">
      <c r="A1617" s="6"/>
      <c r="B1617" s="6"/>
      <c r="C1617" s="6"/>
      <c r="D1617" s="6"/>
      <c r="E1617" s="6"/>
      <c r="F1617" s="6"/>
      <c r="G1617" s="6"/>
      <c r="H1617" s="6"/>
      <c r="I1617" s="6"/>
      <c r="J1617" s="6"/>
      <c r="K1617" s="18"/>
      <c r="L1617" s="19" t="str">
        <f aca="false">IF(A1617="","",G1617*K1617)</f>
        <v/>
      </c>
      <c r="M1617" s="20"/>
      <c r="N1617" s="6"/>
      <c r="O1617" s="6"/>
      <c r="P1617" s="5" t="str">
        <f aca="false">IF(A1617="","",H1617/90)</f>
        <v/>
      </c>
      <c r="Q1617" s="5" t="str">
        <f aca="false">IF(A1617="","",IFERROR(INDEX(Parâmetros!$C$6:$C$10,MATCH(F1617,Parâmetros!$B$6:$B$10,0)),""))</f>
        <v/>
      </c>
      <c r="R1617" s="5" t="str">
        <f aca="false">IF(OR(A1617="",P1617="",Q1617=""),"",P1617*Q1617)</f>
        <v/>
      </c>
      <c r="S1617" s="5" t="str">
        <f aca="false">IF(R1617="","",MAX(0,R1617-G1617))</f>
        <v/>
      </c>
      <c r="T1617" s="21" t="str">
        <f aca="false">IF(S1617="","",S1617*K1617)</f>
        <v/>
      </c>
      <c r="U1617" s="5" t="str">
        <f aca="false">IF(A1617="","",IF(J1617&gt;Parâmetros!$C$14,"SIM","NAO"))</f>
        <v/>
      </c>
      <c r="V1617" s="5" t="str">
        <f aca="false">IF(B1617="","",TRIM(LEFT(B1617,IFERROR(FIND(" ",B1617)-1,LEN(B1617)))))</f>
        <v/>
      </c>
      <c r="W1617" s="22"/>
      <c r="X1617" s="5" t="str">
        <f aca="false">IF(A1617="","",IF(W1617&lt;&gt;"",W1617,V1617))</f>
        <v/>
      </c>
      <c r="Y1617" s="5" t="str">
        <f aca="false">IF(A1617="","",IF(COUNTIFS($X$2:$X$2001,X1617,$D$2:$D$2001,"&lt;&gt;"&amp;D1617,$C$2:$C$2001,C1617)&gt;0,"SIM","NAO"))</f>
        <v/>
      </c>
      <c r="Z1617" s="5" t="str">
        <f aca="false">IF(A1617="","",IF(J1617="","",IFERROR(360/J1617,"")))</f>
        <v/>
      </c>
      <c r="AA1617" s="5" t="str">
        <f aca="false">IF(A1617="","",IF(H1617=0,"Parado (sem venda 90d)",IF(Z1617&gt;12,"Alto (&gt;12x/ano)",IF(Z1617&gt;=4,"Medio (4-12x/ano)","Baixo (&lt;4x/ano)"))))</f>
        <v/>
      </c>
    </row>
    <row r="1618" customFormat="false" ht="15" hidden="false" customHeight="true" outlineLevel="0" collapsed="false">
      <c r="A1618" s="6"/>
      <c r="B1618" s="6"/>
      <c r="C1618" s="6"/>
      <c r="D1618" s="6"/>
      <c r="E1618" s="6"/>
      <c r="F1618" s="6"/>
      <c r="G1618" s="6"/>
      <c r="H1618" s="6"/>
      <c r="I1618" s="6"/>
      <c r="J1618" s="6"/>
      <c r="K1618" s="18"/>
      <c r="L1618" s="19" t="str">
        <f aca="false">IF(A1618="","",G1618*K1618)</f>
        <v/>
      </c>
      <c r="M1618" s="20"/>
      <c r="N1618" s="6"/>
      <c r="O1618" s="6"/>
      <c r="P1618" s="5" t="str">
        <f aca="false">IF(A1618="","",H1618/90)</f>
        <v/>
      </c>
      <c r="Q1618" s="5" t="str">
        <f aca="false">IF(A1618="","",IFERROR(INDEX(Parâmetros!$C$6:$C$10,MATCH(F1618,Parâmetros!$B$6:$B$10,0)),""))</f>
        <v/>
      </c>
      <c r="R1618" s="5" t="str">
        <f aca="false">IF(OR(A1618="",P1618="",Q1618=""),"",P1618*Q1618)</f>
        <v/>
      </c>
      <c r="S1618" s="5" t="str">
        <f aca="false">IF(R1618="","",MAX(0,R1618-G1618))</f>
        <v/>
      </c>
      <c r="T1618" s="21" t="str">
        <f aca="false">IF(S1618="","",S1618*K1618)</f>
        <v/>
      </c>
      <c r="U1618" s="5" t="str">
        <f aca="false">IF(A1618="","",IF(J1618&gt;Parâmetros!$C$14,"SIM","NAO"))</f>
        <v/>
      </c>
      <c r="V1618" s="5" t="str">
        <f aca="false">IF(B1618="","",TRIM(LEFT(B1618,IFERROR(FIND(" ",B1618)-1,LEN(B1618)))))</f>
        <v/>
      </c>
      <c r="W1618" s="22"/>
      <c r="X1618" s="5" t="str">
        <f aca="false">IF(A1618="","",IF(W1618&lt;&gt;"",W1618,V1618))</f>
        <v/>
      </c>
      <c r="Y1618" s="5" t="str">
        <f aca="false">IF(A1618="","",IF(COUNTIFS($X$2:$X$2001,X1618,$D$2:$D$2001,"&lt;&gt;"&amp;D1618,$C$2:$C$2001,C1618)&gt;0,"SIM","NAO"))</f>
        <v/>
      </c>
      <c r="Z1618" s="5" t="str">
        <f aca="false">IF(A1618="","",IF(J1618="","",IFERROR(360/J1618,"")))</f>
        <v/>
      </c>
      <c r="AA1618" s="5" t="str">
        <f aca="false">IF(A1618="","",IF(H1618=0,"Parado (sem venda 90d)",IF(Z1618&gt;12,"Alto (&gt;12x/ano)",IF(Z1618&gt;=4,"Medio (4-12x/ano)","Baixo (&lt;4x/ano)"))))</f>
        <v/>
      </c>
    </row>
    <row r="1619" customFormat="false" ht="15" hidden="false" customHeight="true" outlineLevel="0" collapsed="false">
      <c r="A1619" s="6"/>
      <c r="B1619" s="6"/>
      <c r="C1619" s="6"/>
      <c r="D1619" s="6"/>
      <c r="E1619" s="6"/>
      <c r="F1619" s="6"/>
      <c r="G1619" s="6"/>
      <c r="H1619" s="6"/>
      <c r="I1619" s="6"/>
      <c r="J1619" s="6"/>
      <c r="K1619" s="18"/>
      <c r="L1619" s="19" t="str">
        <f aca="false">IF(A1619="","",G1619*K1619)</f>
        <v/>
      </c>
      <c r="M1619" s="20"/>
      <c r="N1619" s="6"/>
      <c r="O1619" s="6"/>
      <c r="P1619" s="5" t="str">
        <f aca="false">IF(A1619="","",H1619/90)</f>
        <v/>
      </c>
      <c r="Q1619" s="5" t="str">
        <f aca="false">IF(A1619="","",IFERROR(INDEX(Parâmetros!$C$6:$C$10,MATCH(F1619,Parâmetros!$B$6:$B$10,0)),""))</f>
        <v/>
      </c>
      <c r="R1619" s="5" t="str">
        <f aca="false">IF(OR(A1619="",P1619="",Q1619=""),"",P1619*Q1619)</f>
        <v/>
      </c>
      <c r="S1619" s="5" t="str">
        <f aca="false">IF(R1619="","",MAX(0,R1619-G1619))</f>
        <v/>
      </c>
      <c r="T1619" s="21" t="str">
        <f aca="false">IF(S1619="","",S1619*K1619)</f>
        <v/>
      </c>
      <c r="U1619" s="5" t="str">
        <f aca="false">IF(A1619="","",IF(J1619&gt;Parâmetros!$C$14,"SIM","NAO"))</f>
        <v/>
      </c>
      <c r="V1619" s="5" t="str">
        <f aca="false">IF(B1619="","",TRIM(LEFT(B1619,IFERROR(FIND(" ",B1619)-1,LEN(B1619)))))</f>
        <v/>
      </c>
      <c r="W1619" s="22"/>
      <c r="X1619" s="5" t="str">
        <f aca="false">IF(A1619="","",IF(W1619&lt;&gt;"",W1619,V1619))</f>
        <v/>
      </c>
      <c r="Y1619" s="5" t="str">
        <f aca="false">IF(A1619="","",IF(COUNTIFS($X$2:$X$2001,X1619,$D$2:$D$2001,"&lt;&gt;"&amp;D1619,$C$2:$C$2001,C1619)&gt;0,"SIM","NAO"))</f>
        <v/>
      </c>
      <c r="Z1619" s="5" t="str">
        <f aca="false">IF(A1619="","",IF(J1619="","",IFERROR(360/J1619,"")))</f>
        <v/>
      </c>
      <c r="AA1619" s="5" t="str">
        <f aca="false">IF(A1619="","",IF(H1619=0,"Parado (sem venda 90d)",IF(Z1619&gt;12,"Alto (&gt;12x/ano)",IF(Z1619&gt;=4,"Medio (4-12x/ano)","Baixo (&lt;4x/ano)"))))</f>
        <v/>
      </c>
    </row>
    <row r="1620" customFormat="false" ht="15" hidden="false" customHeight="true" outlineLevel="0" collapsed="false">
      <c r="A1620" s="6"/>
      <c r="B1620" s="6"/>
      <c r="C1620" s="6"/>
      <c r="D1620" s="6"/>
      <c r="E1620" s="6"/>
      <c r="F1620" s="6"/>
      <c r="G1620" s="6"/>
      <c r="H1620" s="6"/>
      <c r="I1620" s="6"/>
      <c r="J1620" s="6"/>
      <c r="K1620" s="18"/>
      <c r="L1620" s="19" t="str">
        <f aca="false">IF(A1620="","",G1620*K1620)</f>
        <v/>
      </c>
      <c r="M1620" s="20"/>
      <c r="N1620" s="6"/>
      <c r="O1620" s="6"/>
      <c r="P1620" s="5" t="str">
        <f aca="false">IF(A1620="","",H1620/90)</f>
        <v/>
      </c>
      <c r="Q1620" s="5" t="str">
        <f aca="false">IF(A1620="","",IFERROR(INDEX(Parâmetros!$C$6:$C$10,MATCH(F1620,Parâmetros!$B$6:$B$10,0)),""))</f>
        <v/>
      </c>
      <c r="R1620" s="5" t="str">
        <f aca="false">IF(OR(A1620="",P1620="",Q1620=""),"",P1620*Q1620)</f>
        <v/>
      </c>
      <c r="S1620" s="5" t="str">
        <f aca="false">IF(R1620="","",MAX(0,R1620-G1620))</f>
        <v/>
      </c>
      <c r="T1620" s="21" t="str">
        <f aca="false">IF(S1620="","",S1620*K1620)</f>
        <v/>
      </c>
      <c r="U1620" s="5" t="str">
        <f aca="false">IF(A1620="","",IF(J1620&gt;Parâmetros!$C$14,"SIM","NAO"))</f>
        <v/>
      </c>
      <c r="V1620" s="5" t="str">
        <f aca="false">IF(B1620="","",TRIM(LEFT(B1620,IFERROR(FIND(" ",B1620)-1,LEN(B1620)))))</f>
        <v/>
      </c>
      <c r="W1620" s="22"/>
      <c r="X1620" s="5" t="str">
        <f aca="false">IF(A1620="","",IF(W1620&lt;&gt;"",W1620,V1620))</f>
        <v/>
      </c>
      <c r="Y1620" s="5" t="str">
        <f aca="false">IF(A1620="","",IF(COUNTIFS($X$2:$X$2001,X1620,$D$2:$D$2001,"&lt;&gt;"&amp;D1620,$C$2:$C$2001,C1620)&gt;0,"SIM","NAO"))</f>
        <v/>
      </c>
      <c r="Z1620" s="5" t="str">
        <f aca="false">IF(A1620="","",IF(J1620="","",IFERROR(360/J1620,"")))</f>
        <v/>
      </c>
      <c r="AA1620" s="5" t="str">
        <f aca="false">IF(A1620="","",IF(H1620=0,"Parado (sem venda 90d)",IF(Z1620&gt;12,"Alto (&gt;12x/ano)",IF(Z1620&gt;=4,"Medio (4-12x/ano)","Baixo (&lt;4x/ano)"))))</f>
        <v/>
      </c>
    </row>
    <row r="1621" customFormat="false" ht="15" hidden="false" customHeight="true" outlineLevel="0" collapsed="false">
      <c r="A1621" s="6"/>
      <c r="B1621" s="6"/>
      <c r="C1621" s="6"/>
      <c r="D1621" s="6"/>
      <c r="E1621" s="6"/>
      <c r="F1621" s="6"/>
      <c r="G1621" s="6"/>
      <c r="H1621" s="6"/>
      <c r="I1621" s="6"/>
      <c r="J1621" s="6"/>
      <c r="K1621" s="18"/>
      <c r="L1621" s="19" t="str">
        <f aca="false">IF(A1621="","",G1621*K1621)</f>
        <v/>
      </c>
      <c r="M1621" s="20"/>
      <c r="N1621" s="6"/>
      <c r="O1621" s="6"/>
      <c r="P1621" s="5" t="str">
        <f aca="false">IF(A1621="","",H1621/90)</f>
        <v/>
      </c>
      <c r="Q1621" s="5" t="str">
        <f aca="false">IF(A1621="","",IFERROR(INDEX(Parâmetros!$C$6:$C$10,MATCH(F1621,Parâmetros!$B$6:$B$10,0)),""))</f>
        <v/>
      </c>
      <c r="R1621" s="5" t="str">
        <f aca="false">IF(OR(A1621="",P1621="",Q1621=""),"",P1621*Q1621)</f>
        <v/>
      </c>
      <c r="S1621" s="5" t="str">
        <f aca="false">IF(R1621="","",MAX(0,R1621-G1621))</f>
        <v/>
      </c>
      <c r="T1621" s="21" t="str">
        <f aca="false">IF(S1621="","",S1621*K1621)</f>
        <v/>
      </c>
      <c r="U1621" s="5" t="str">
        <f aca="false">IF(A1621="","",IF(J1621&gt;Parâmetros!$C$14,"SIM","NAO"))</f>
        <v/>
      </c>
      <c r="V1621" s="5" t="str">
        <f aca="false">IF(B1621="","",TRIM(LEFT(B1621,IFERROR(FIND(" ",B1621)-1,LEN(B1621)))))</f>
        <v/>
      </c>
      <c r="W1621" s="22"/>
      <c r="X1621" s="5" t="str">
        <f aca="false">IF(A1621="","",IF(W1621&lt;&gt;"",W1621,V1621))</f>
        <v/>
      </c>
      <c r="Y1621" s="5" t="str">
        <f aca="false">IF(A1621="","",IF(COUNTIFS($X$2:$X$2001,X1621,$D$2:$D$2001,"&lt;&gt;"&amp;D1621,$C$2:$C$2001,C1621)&gt;0,"SIM","NAO"))</f>
        <v/>
      </c>
      <c r="Z1621" s="5" t="str">
        <f aca="false">IF(A1621="","",IF(J1621="","",IFERROR(360/J1621,"")))</f>
        <v/>
      </c>
      <c r="AA1621" s="5" t="str">
        <f aca="false">IF(A1621="","",IF(H1621=0,"Parado (sem venda 90d)",IF(Z1621&gt;12,"Alto (&gt;12x/ano)",IF(Z1621&gt;=4,"Medio (4-12x/ano)","Baixo (&lt;4x/ano)"))))</f>
        <v/>
      </c>
    </row>
    <row r="1622" customFormat="false" ht="15" hidden="false" customHeight="true" outlineLevel="0" collapsed="false">
      <c r="A1622" s="6"/>
      <c r="B1622" s="6"/>
      <c r="C1622" s="6"/>
      <c r="D1622" s="6"/>
      <c r="E1622" s="6"/>
      <c r="F1622" s="6"/>
      <c r="G1622" s="6"/>
      <c r="H1622" s="6"/>
      <c r="I1622" s="6"/>
      <c r="J1622" s="6"/>
      <c r="K1622" s="18"/>
      <c r="L1622" s="19" t="str">
        <f aca="false">IF(A1622="","",G1622*K1622)</f>
        <v/>
      </c>
      <c r="M1622" s="20"/>
      <c r="N1622" s="6"/>
      <c r="O1622" s="6"/>
      <c r="P1622" s="5" t="str">
        <f aca="false">IF(A1622="","",H1622/90)</f>
        <v/>
      </c>
      <c r="Q1622" s="5" t="str">
        <f aca="false">IF(A1622="","",IFERROR(INDEX(Parâmetros!$C$6:$C$10,MATCH(F1622,Parâmetros!$B$6:$B$10,0)),""))</f>
        <v/>
      </c>
      <c r="R1622" s="5" t="str">
        <f aca="false">IF(OR(A1622="",P1622="",Q1622=""),"",P1622*Q1622)</f>
        <v/>
      </c>
      <c r="S1622" s="5" t="str">
        <f aca="false">IF(R1622="","",MAX(0,R1622-G1622))</f>
        <v/>
      </c>
      <c r="T1622" s="21" t="str">
        <f aca="false">IF(S1622="","",S1622*K1622)</f>
        <v/>
      </c>
      <c r="U1622" s="5" t="str">
        <f aca="false">IF(A1622="","",IF(J1622&gt;Parâmetros!$C$14,"SIM","NAO"))</f>
        <v/>
      </c>
      <c r="V1622" s="5" t="str">
        <f aca="false">IF(B1622="","",TRIM(LEFT(B1622,IFERROR(FIND(" ",B1622)-1,LEN(B1622)))))</f>
        <v/>
      </c>
      <c r="W1622" s="22"/>
      <c r="X1622" s="5" t="str">
        <f aca="false">IF(A1622="","",IF(W1622&lt;&gt;"",W1622,V1622))</f>
        <v/>
      </c>
      <c r="Y1622" s="5" t="str">
        <f aca="false">IF(A1622="","",IF(COUNTIFS($X$2:$X$2001,X1622,$D$2:$D$2001,"&lt;&gt;"&amp;D1622,$C$2:$C$2001,C1622)&gt;0,"SIM","NAO"))</f>
        <v/>
      </c>
      <c r="Z1622" s="5" t="str">
        <f aca="false">IF(A1622="","",IF(J1622="","",IFERROR(360/J1622,"")))</f>
        <v/>
      </c>
      <c r="AA1622" s="5" t="str">
        <f aca="false">IF(A1622="","",IF(H1622=0,"Parado (sem venda 90d)",IF(Z1622&gt;12,"Alto (&gt;12x/ano)",IF(Z1622&gt;=4,"Medio (4-12x/ano)","Baixo (&lt;4x/ano)"))))</f>
        <v/>
      </c>
    </row>
    <row r="1623" customFormat="false" ht="15" hidden="false" customHeight="true" outlineLevel="0" collapsed="false">
      <c r="A1623" s="6"/>
      <c r="B1623" s="6"/>
      <c r="C1623" s="6"/>
      <c r="D1623" s="6"/>
      <c r="E1623" s="6"/>
      <c r="F1623" s="6"/>
      <c r="G1623" s="6"/>
      <c r="H1623" s="6"/>
      <c r="I1623" s="6"/>
      <c r="J1623" s="6"/>
      <c r="K1623" s="18"/>
      <c r="L1623" s="19" t="str">
        <f aca="false">IF(A1623="","",G1623*K1623)</f>
        <v/>
      </c>
      <c r="M1623" s="20"/>
      <c r="N1623" s="6"/>
      <c r="O1623" s="6"/>
      <c r="P1623" s="5" t="str">
        <f aca="false">IF(A1623="","",H1623/90)</f>
        <v/>
      </c>
      <c r="Q1623" s="5" t="str">
        <f aca="false">IF(A1623="","",IFERROR(INDEX(Parâmetros!$C$6:$C$10,MATCH(F1623,Parâmetros!$B$6:$B$10,0)),""))</f>
        <v/>
      </c>
      <c r="R1623" s="5" t="str">
        <f aca="false">IF(OR(A1623="",P1623="",Q1623=""),"",P1623*Q1623)</f>
        <v/>
      </c>
      <c r="S1623" s="5" t="str">
        <f aca="false">IF(R1623="","",MAX(0,R1623-G1623))</f>
        <v/>
      </c>
      <c r="T1623" s="21" t="str">
        <f aca="false">IF(S1623="","",S1623*K1623)</f>
        <v/>
      </c>
      <c r="U1623" s="5" t="str">
        <f aca="false">IF(A1623="","",IF(J1623&gt;Parâmetros!$C$14,"SIM","NAO"))</f>
        <v/>
      </c>
      <c r="V1623" s="5" t="str">
        <f aca="false">IF(B1623="","",TRIM(LEFT(B1623,IFERROR(FIND(" ",B1623)-1,LEN(B1623)))))</f>
        <v/>
      </c>
      <c r="W1623" s="22"/>
      <c r="X1623" s="5" t="str">
        <f aca="false">IF(A1623="","",IF(W1623&lt;&gt;"",W1623,V1623))</f>
        <v/>
      </c>
      <c r="Y1623" s="5" t="str">
        <f aca="false">IF(A1623="","",IF(COUNTIFS($X$2:$X$2001,X1623,$D$2:$D$2001,"&lt;&gt;"&amp;D1623,$C$2:$C$2001,C1623)&gt;0,"SIM","NAO"))</f>
        <v/>
      </c>
      <c r="Z1623" s="5" t="str">
        <f aca="false">IF(A1623="","",IF(J1623="","",IFERROR(360/J1623,"")))</f>
        <v/>
      </c>
      <c r="AA1623" s="5" t="str">
        <f aca="false">IF(A1623="","",IF(H1623=0,"Parado (sem venda 90d)",IF(Z1623&gt;12,"Alto (&gt;12x/ano)",IF(Z1623&gt;=4,"Medio (4-12x/ano)","Baixo (&lt;4x/ano)"))))</f>
        <v/>
      </c>
    </row>
    <row r="1624" customFormat="false" ht="15" hidden="false" customHeight="true" outlineLevel="0" collapsed="false">
      <c r="A1624" s="6"/>
      <c r="B1624" s="6"/>
      <c r="C1624" s="6"/>
      <c r="D1624" s="6"/>
      <c r="E1624" s="6"/>
      <c r="F1624" s="6"/>
      <c r="G1624" s="6"/>
      <c r="H1624" s="6"/>
      <c r="I1624" s="6"/>
      <c r="J1624" s="6"/>
      <c r="K1624" s="18"/>
      <c r="L1624" s="19" t="str">
        <f aca="false">IF(A1624="","",G1624*K1624)</f>
        <v/>
      </c>
      <c r="M1624" s="20"/>
      <c r="N1624" s="6"/>
      <c r="O1624" s="6"/>
      <c r="P1624" s="5" t="str">
        <f aca="false">IF(A1624="","",H1624/90)</f>
        <v/>
      </c>
      <c r="Q1624" s="5" t="str">
        <f aca="false">IF(A1624="","",IFERROR(INDEX(Parâmetros!$C$6:$C$10,MATCH(F1624,Parâmetros!$B$6:$B$10,0)),""))</f>
        <v/>
      </c>
      <c r="R1624" s="5" t="str">
        <f aca="false">IF(OR(A1624="",P1624="",Q1624=""),"",P1624*Q1624)</f>
        <v/>
      </c>
      <c r="S1624" s="5" t="str">
        <f aca="false">IF(R1624="","",MAX(0,R1624-G1624))</f>
        <v/>
      </c>
      <c r="T1624" s="21" t="str">
        <f aca="false">IF(S1624="","",S1624*K1624)</f>
        <v/>
      </c>
      <c r="U1624" s="5" t="str">
        <f aca="false">IF(A1624="","",IF(J1624&gt;Parâmetros!$C$14,"SIM","NAO"))</f>
        <v/>
      </c>
      <c r="V1624" s="5" t="str">
        <f aca="false">IF(B1624="","",TRIM(LEFT(B1624,IFERROR(FIND(" ",B1624)-1,LEN(B1624)))))</f>
        <v/>
      </c>
      <c r="W1624" s="22"/>
      <c r="X1624" s="5" t="str">
        <f aca="false">IF(A1624="","",IF(W1624&lt;&gt;"",W1624,V1624))</f>
        <v/>
      </c>
      <c r="Y1624" s="5" t="str">
        <f aca="false">IF(A1624="","",IF(COUNTIFS($X$2:$X$2001,X1624,$D$2:$D$2001,"&lt;&gt;"&amp;D1624,$C$2:$C$2001,C1624)&gt;0,"SIM","NAO"))</f>
        <v/>
      </c>
      <c r="Z1624" s="5" t="str">
        <f aca="false">IF(A1624="","",IF(J1624="","",IFERROR(360/J1624,"")))</f>
        <v/>
      </c>
      <c r="AA1624" s="5" t="str">
        <f aca="false">IF(A1624="","",IF(H1624=0,"Parado (sem venda 90d)",IF(Z1624&gt;12,"Alto (&gt;12x/ano)",IF(Z1624&gt;=4,"Medio (4-12x/ano)","Baixo (&lt;4x/ano)"))))</f>
        <v/>
      </c>
    </row>
    <row r="1625" customFormat="false" ht="15" hidden="false" customHeight="true" outlineLevel="0" collapsed="false">
      <c r="A1625" s="6"/>
      <c r="B1625" s="6"/>
      <c r="C1625" s="6"/>
      <c r="D1625" s="6"/>
      <c r="E1625" s="6"/>
      <c r="F1625" s="6"/>
      <c r="G1625" s="6"/>
      <c r="H1625" s="6"/>
      <c r="I1625" s="6"/>
      <c r="J1625" s="6"/>
      <c r="K1625" s="18"/>
      <c r="L1625" s="19" t="str">
        <f aca="false">IF(A1625="","",G1625*K1625)</f>
        <v/>
      </c>
      <c r="M1625" s="20"/>
      <c r="N1625" s="6"/>
      <c r="O1625" s="6"/>
      <c r="P1625" s="5" t="str">
        <f aca="false">IF(A1625="","",H1625/90)</f>
        <v/>
      </c>
      <c r="Q1625" s="5" t="str">
        <f aca="false">IF(A1625="","",IFERROR(INDEX(Parâmetros!$C$6:$C$10,MATCH(F1625,Parâmetros!$B$6:$B$10,0)),""))</f>
        <v/>
      </c>
      <c r="R1625" s="5" t="str">
        <f aca="false">IF(OR(A1625="",P1625="",Q1625=""),"",P1625*Q1625)</f>
        <v/>
      </c>
      <c r="S1625" s="5" t="str">
        <f aca="false">IF(R1625="","",MAX(0,R1625-G1625))</f>
        <v/>
      </c>
      <c r="T1625" s="21" t="str">
        <f aca="false">IF(S1625="","",S1625*K1625)</f>
        <v/>
      </c>
      <c r="U1625" s="5" t="str">
        <f aca="false">IF(A1625="","",IF(J1625&gt;Parâmetros!$C$14,"SIM","NAO"))</f>
        <v/>
      </c>
      <c r="V1625" s="5" t="str">
        <f aca="false">IF(B1625="","",TRIM(LEFT(B1625,IFERROR(FIND(" ",B1625)-1,LEN(B1625)))))</f>
        <v/>
      </c>
      <c r="W1625" s="22"/>
      <c r="X1625" s="5" t="str">
        <f aca="false">IF(A1625="","",IF(W1625&lt;&gt;"",W1625,V1625))</f>
        <v/>
      </c>
      <c r="Y1625" s="5" t="str">
        <f aca="false">IF(A1625="","",IF(COUNTIFS($X$2:$X$2001,X1625,$D$2:$D$2001,"&lt;&gt;"&amp;D1625,$C$2:$C$2001,C1625)&gt;0,"SIM","NAO"))</f>
        <v/>
      </c>
      <c r="Z1625" s="5" t="str">
        <f aca="false">IF(A1625="","",IF(J1625="","",IFERROR(360/J1625,"")))</f>
        <v/>
      </c>
      <c r="AA1625" s="5" t="str">
        <f aca="false">IF(A1625="","",IF(H1625=0,"Parado (sem venda 90d)",IF(Z1625&gt;12,"Alto (&gt;12x/ano)",IF(Z1625&gt;=4,"Medio (4-12x/ano)","Baixo (&lt;4x/ano)"))))</f>
        <v/>
      </c>
    </row>
    <row r="1626" customFormat="false" ht="15" hidden="false" customHeight="true" outlineLevel="0" collapsed="false">
      <c r="A1626" s="6"/>
      <c r="B1626" s="6"/>
      <c r="C1626" s="6"/>
      <c r="D1626" s="6"/>
      <c r="E1626" s="6"/>
      <c r="F1626" s="6"/>
      <c r="G1626" s="6"/>
      <c r="H1626" s="6"/>
      <c r="I1626" s="6"/>
      <c r="J1626" s="6"/>
      <c r="K1626" s="18"/>
      <c r="L1626" s="19" t="str">
        <f aca="false">IF(A1626="","",G1626*K1626)</f>
        <v/>
      </c>
      <c r="M1626" s="20"/>
      <c r="N1626" s="6"/>
      <c r="O1626" s="6"/>
      <c r="P1626" s="5" t="str">
        <f aca="false">IF(A1626="","",H1626/90)</f>
        <v/>
      </c>
      <c r="Q1626" s="5" t="str">
        <f aca="false">IF(A1626="","",IFERROR(INDEX(Parâmetros!$C$6:$C$10,MATCH(F1626,Parâmetros!$B$6:$B$10,0)),""))</f>
        <v/>
      </c>
      <c r="R1626" s="5" t="str">
        <f aca="false">IF(OR(A1626="",P1626="",Q1626=""),"",P1626*Q1626)</f>
        <v/>
      </c>
      <c r="S1626" s="5" t="str">
        <f aca="false">IF(R1626="","",MAX(0,R1626-G1626))</f>
        <v/>
      </c>
      <c r="T1626" s="21" t="str">
        <f aca="false">IF(S1626="","",S1626*K1626)</f>
        <v/>
      </c>
      <c r="U1626" s="5" t="str">
        <f aca="false">IF(A1626="","",IF(J1626&gt;Parâmetros!$C$14,"SIM","NAO"))</f>
        <v/>
      </c>
      <c r="V1626" s="5" t="str">
        <f aca="false">IF(B1626="","",TRIM(LEFT(B1626,IFERROR(FIND(" ",B1626)-1,LEN(B1626)))))</f>
        <v/>
      </c>
      <c r="W1626" s="22"/>
      <c r="X1626" s="5" t="str">
        <f aca="false">IF(A1626="","",IF(W1626&lt;&gt;"",W1626,V1626))</f>
        <v/>
      </c>
      <c r="Y1626" s="5" t="str">
        <f aca="false">IF(A1626="","",IF(COUNTIFS($X$2:$X$2001,X1626,$D$2:$D$2001,"&lt;&gt;"&amp;D1626,$C$2:$C$2001,C1626)&gt;0,"SIM","NAO"))</f>
        <v/>
      </c>
      <c r="Z1626" s="5" t="str">
        <f aca="false">IF(A1626="","",IF(J1626="","",IFERROR(360/J1626,"")))</f>
        <v/>
      </c>
      <c r="AA1626" s="5" t="str">
        <f aca="false">IF(A1626="","",IF(H1626=0,"Parado (sem venda 90d)",IF(Z1626&gt;12,"Alto (&gt;12x/ano)",IF(Z1626&gt;=4,"Medio (4-12x/ano)","Baixo (&lt;4x/ano)"))))</f>
        <v/>
      </c>
    </row>
    <row r="1627" customFormat="false" ht="15" hidden="false" customHeight="true" outlineLevel="0" collapsed="false">
      <c r="A1627" s="6"/>
      <c r="B1627" s="6"/>
      <c r="C1627" s="6"/>
      <c r="D1627" s="6"/>
      <c r="E1627" s="6"/>
      <c r="F1627" s="6"/>
      <c r="G1627" s="6"/>
      <c r="H1627" s="6"/>
      <c r="I1627" s="6"/>
      <c r="J1627" s="6"/>
      <c r="K1627" s="18"/>
      <c r="L1627" s="19" t="str">
        <f aca="false">IF(A1627="","",G1627*K1627)</f>
        <v/>
      </c>
      <c r="M1627" s="20"/>
      <c r="N1627" s="6"/>
      <c r="O1627" s="6"/>
      <c r="P1627" s="5" t="str">
        <f aca="false">IF(A1627="","",H1627/90)</f>
        <v/>
      </c>
      <c r="Q1627" s="5" t="str">
        <f aca="false">IF(A1627="","",IFERROR(INDEX(Parâmetros!$C$6:$C$10,MATCH(F1627,Parâmetros!$B$6:$B$10,0)),""))</f>
        <v/>
      </c>
      <c r="R1627" s="5" t="str">
        <f aca="false">IF(OR(A1627="",P1627="",Q1627=""),"",P1627*Q1627)</f>
        <v/>
      </c>
      <c r="S1627" s="5" t="str">
        <f aca="false">IF(R1627="","",MAX(0,R1627-G1627))</f>
        <v/>
      </c>
      <c r="T1627" s="21" t="str">
        <f aca="false">IF(S1627="","",S1627*K1627)</f>
        <v/>
      </c>
      <c r="U1627" s="5" t="str">
        <f aca="false">IF(A1627="","",IF(J1627&gt;Parâmetros!$C$14,"SIM","NAO"))</f>
        <v/>
      </c>
      <c r="V1627" s="5" t="str">
        <f aca="false">IF(B1627="","",TRIM(LEFT(B1627,IFERROR(FIND(" ",B1627)-1,LEN(B1627)))))</f>
        <v/>
      </c>
      <c r="W1627" s="22"/>
      <c r="X1627" s="5" t="str">
        <f aca="false">IF(A1627="","",IF(W1627&lt;&gt;"",W1627,V1627))</f>
        <v/>
      </c>
      <c r="Y1627" s="5" t="str">
        <f aca="false">IF(A1627="","",IF(COUNTIFS($X$2:$X$2001,X1627,$D$2:$D$2001,"&lt;&gt;"&amp;D1627,$C$2:$C$2001,C1627)&gt;0,"SIM","NAO"))</f>
        <v/>
      </c>
      <c r="Z1627" s="5" t="str">
        <f aca="false">IF(A1627="","",IF(J1627="","",IFERROR(360/J1627,"")))</f>
        <v/>
      </c>
      <c r="AA1627" s="5" t="str">
        <f aca="false">IF(A1627="","",IF(H1627=0,"Parado (sem venda 90d)",IF(Z1627&gt;12,"Alto (&gt;12x/ano)",IF(Z1627&gt;=4,"Medio (4-12x/ano)","Baixo (&lt;4x/ano)"))))</f>
        <v/>
      </c>
    </row>
    <row r="1628" customFormat="false" ht="15" hidden="false" customHeight="true" outlineLevel="0" collapsed="false">
      <c r="A1628" s="6"/>
      <c r="B1628" s="6"/>
      <c r="C1628" s="6"/>
      <c r="D1628" s="6"/>
      <c r="E1628" s="6"/>
      <c r="F1628" s="6"/>
      <c r="G1628" s="6"/>
      <c r="H1628" s="6"/>
      <c r="I1628" s="6"/>
      <c r="J1628" s="6"/>
      <c r="K1628" s="18"/>
      <c r="L1628" s="19" t="str">
        <f aca="false">IF(A1628="","",G1628*K1628)</f>
        <v/>
      </c>
      <c r="M1628" s="20"/>
      <c r="N1628" s="6"/>
      <c r="O1628" s="6"/>
      <c r="P1628" s="5" t="str">
        <f aca="false">IF(A1628="","",H1628/90)</f>
        <v/>
      </c>
      <c r="Q1628" s="5" t="str">
        <f aca="false">IF(A1628="","",IFERROR(INDEX(Parâmetros!$C$6:$C$10,MATCH(F1628,Parâmetros!$B$6:$B$10,0)),""))</f>
        <v/>
      </c>
      <c r="R1628" s="5" t="str">
        <f aca="false">IF(OR(A1628="",P1628="",Q1628=""),"",P1628*Q1628)</f>
        <v/>
      </c>
      <c r="S1628" s="5" t="str">
        <f aca="false">IF(R1628="","",MAX(0,R1628-G1628))</f>
        <v/>
      </c>
      <c r="T1628" s="21" t="str">
        <f aca="false">IF(S1628="","",S1628*K1628)</f>
        <v/>
      </c>
      <c r="U1628" s="5" t="str">
        <f aca="false">IF(A1628="","",IF(J1628&gt;Parâmetros!$C$14,"SIM","NAO"))</f>
        <v/>
      </c>
      <c r="V1628" s="5" t="str">
        <f aca="false">IF(B1628="","",TRIM(LEFT(B1628,IFERROR(FIND(" ",B1628)-1,LEN(B1628)))))</f>
        <v/>
      </c>
      <c r="W1628" s="22"/>
      <c r="X1628" s="5" t="str">
        <f aca="false">IF(A1628="","",IF(W1628&lt;&gt;"",W1628,V1628))</f>
        <v/>
      </c>
      <c r="Y1628" s="5" t="str">
        <f aca="false">IF(A1628="","",IF(COUNTIFS($X$2:$X$2001,X1628,$D$2:$D$2001,"&lt;&gt;"&amp;D1628,$C$2:$C$2001,C1628)&gt;0,"SIM","NAO"))</f>
        <v/>
      </c>
      <c r="Z1628" s="5" t="str">
        <f aca="false">IF(A1628="","",IF(J1628="","",IFERROR(360/J1628,"")))</f>
        <v/>
      </c>
      <c r="AA1628" s="5" t="str">
        <f aca="false">IF(A1628="","",IF(H1628=0,"Parado (sem venda 90d)",IF(Z1628&gt;12,"Alto (&gt;12x/ano)",IF(Z1628&gt;=4,"Medio (4-12x/ano)","Baixo (&lt;4x/ano)"))))</f>
        <v/>
      </c>
    </row>
    <row r="1629" customFormat="false" ht="15" hidden="false" customHeight="true" outlineLevel="0" collapsed="false">
      <c r="A1629" s="6"/>
      <c r="B1629" s="6"/>
      <c r="C1629" s="6"/>
      <c r="D1629" s="6"/>
      <c r="E1629" s="6"/>
      <c r="F1629" s="6"/>
      <c r="G1629" s="6"/>
      <c r="H1629" s="6"/>
      <c r="I1629" s="6"/>
      <c r="J1629" s="6"/>
      <c r="K1629" s="18"/>
      <c r="L1629" s="19" t="str">
        <f aca="false">IF(A1629="","",G1629*K1629)</f>
        <v/>
      </c>
      <c r="M1629" s="20"/>
      <c r="N1629" s="6"/>
      <c r="O1629" s="6"/>
      <c r="P1629" s="5" t="str">
        <f aca="false">IF(A1629="","",H1629/90)</f>
        <v/>
      </c>
      <c r="Q1629" s="5" t="str">
        <f aca="false">IF(A1629="","",IFERROR(INDEX(Parâmetros!$C$6:$C$10,MATCH(F1629,Parâmetros!$B$6:$B$10,0)),""))</f>
        <v/>
      </c>
      <c r="R1629" s="5" t="str">
        <f aca="false">IF(OR(A1629="",P1629="",Q1629=""),"",P1629*Q1629)</f>
        <v/>
      </c>
      <c r="S1629" s="5" t="str">
        <f aca="false">IF(R1629="","",MAX(0,R1629-G1629))</f>
        <v/>
      </c>
      <c r="T1629" s="21" t="str">
        <f aca="false">IF(S1629="","",S1629*K1629)</f>
        <v/>
      </c>
      <c r="U1629" s="5" t="str">
        <f aca="false">IF(A1629="","",IF(J1629&gt;Parâmetros!$C$14,"SIM","NAO"))</f>
        <v/>
      </c>
      <c r="V1629" s="5" t="str">
        <f aca="false">IF(B1629="","",TRIM(LEFT(B1629,IFERROR(FIND(" ",B1629)-1,LEN(B1629)))))</f>
        <v/>
      </c>
      <c r="W1629" s="22"/>
      <c r="X1629" s="5" t="str">
        <f aca="false">IF(A1629="","",IF(W1629&lt;&gt;"",W1629,V1629))</f>
        <v/>
      </c>
      <c r="Y1629" s="5" t="str">
        <f aca="false">IF(A1629="","",IF(COUNTIFS($X$2:$X$2001,X1629,$D$2:$D$2001,"&lt;&gt;"&amp;D1629,$C$2:$C$2001,C1629)&gt;0,"SIM","NAO"))</f>
        <v/>
      </c>
      <c r="Z1629" s="5" t="str">
        <f aca="false">IF(A1629="","",IF(J1629="","",IFERROR(360/J1629,"")))</f>
        <v/>
      </c>
      <c r="AA1629" s="5" t="str">
        <f aca="false">IF(A1629="","",IF(H1629=0,"Parado (sem venda 90d)",IF(Z1629&gt;12,"Alto (&gt;12x/ano)",IF(Z1629&gt;=4,"Medio (4-12x/ano)","Baixo (&lt;4x/ano)"))))</f>
        <v/>
      </c>
    </row>
    <row r="1630" customFormat="false" ht="15" hidden="false" customHeight="true" outlineLevel="0" collapsed="false">
      <c r="A1630" s="6"/>
      <c r="B1630" s="6"/>
      <c r="C1630" s="6"/>
      <c r="D1630" s="6"/>
      <c r="E1630" s="6"/>
      <c r="F1630" s="6"/>
      <c r="G1630" s="6"/>
      <c r="H1630" s="6"/>
      <c r="I1630" s="6"/>
      <c r="J1630" s="6"/>
      <c r="K1630" s="18"/>
      <c r="L1630" s="19" t="str">
        <f aca="false">IF(A1630="","",G1630*K1630)</f>
        <v/>
      </c>
      <c r="M1630" s="20"/>
      <c r="N1630" s="6"/>
      <c r="O1630" s="6"/>
      <c r="P1630" s="5" t="str">
        <f aca="false">IF(A1630="","",H1630/90)</f>
        <v/>
      </c>
      <c r="Q1630" s="5" t="str">
        <f aca="false">IF(A1630="","",IFERROR(INDEX(Parâmetros!$C$6:$C$10,MATCH(F1630,Parâmetros!$B$6:$B$10,0)),""))</f>
        <v/>
      </c>
      <c r="R1630" s="5" t="str">
        <f aca="false">IF(OR(A1630="",P1630="",Q1630=""),"",P1630*Q1630)</f>
        <v/>
      </c>
      <c r="S1630" s="5" t="str">
        <f aca="false">IF(R1630="","",MAX(0,R1630-G1630))</f>
        <v/>
      </c>
      <c r="T1630" s="21" t="str">
        <f aca="false">IF(S1630="","",S1630*K1630)</f>
        <v/>
      </c>
      <c r="U1630" s="5" t="str">
        <f aca="false">IF(A1630="","",IF(J1630&gt;Parâmetros!$C$14,"SIM","NAO"))</f>
        <v/>
      </c>
      <c r="V1630" s="5" t="str">
        <f aca="false">IF(B1630="","",TRIM(LEFT(B1630,IFERROR(FIND(" ",B1630)-1,LEN(B1630)))))</f>
        <v/>
      </c>
      <c r="W1630" s="22"/>
      <c r="X1630" s="5" t="str">
        <f aca="false">IF(A1630="","",IF(W1630&lt;&gt;"",W1630,V1630))</f>
        <v/>
      </c>
      <c r="Y1630" s="5" t="str">
        <f aca="false">IF(A1630="","",IF(COUNTIFS($X$2:$X$2001,X1630,$D$2:$D$2001,"&lt;&gt;"&amp;D1630,$C$2:$C$2001,C1630)&gt;0,"SIM","NAO"))</f>
        <v/>
      </c>
      <c r="Z1630" s="5" t="str">
        <f aca="false">IF(A1630="","",IF(J1630="","",IFERROR(360/J1630,"")))</f>
        <v/>
      </c>
      <c r="AA1630" s="5" t="str">
        <f aca="false">IF(A1630="","",IF(H1630=0,"Parado (sem venda 90d)",IF(Z1630&gt;12,"Alto (&gt;12x/ano)",IF(Z1630&gt;=4,"Medio (4-12x/ano)","Baixo (&lt;4x/ano)"))))</f>
        <v/>
      </c>
    </row>
    <row r="1631" customFormat="false" ht="15" hidden="false" customHeight="true" outlineLevel="0" collapsed="false">
      <c r="A1631" s="6"/>
      <c r="B1631" s="6"/>
      <c r="C1631" s="6"/>
      <c r="D1631" s="6"/>
      <c r="E1631" s="6"/>
      <c r="F1631" s="6"/>
      <c r="G1631" s="6"/>
      <c r="H1631" s="6"/>
      <c r="I1631" s="6"/>
      <c r="J1631" s="6"/>
      <c r="K1631" s="18"/>
      <c r="L1631" s="19" t="str">
        <f aca="false">IF(A1631="","",G1631*K1631)</f>
        <v/>
      </c>
      <c r="M1631" s="20"/>
      <c r="N1631" s="6"/>
      <c r="O1631" s="6"/>
      <c r="P1631" s="5" t="str">
        <f aca="false">IF(A1631="","",H1631/90)</f>
        <v/>
      </c>
      <c r="Q1631" s="5" t="str">
        <f aca="false">IF(A1631="","",IFERROR(INDEX(Parâmetros!$C$6:$C$10,MATCH(F1631,Parâmetros!$B$6:$B$10,0)),""))</f>
        <v/>
      </c>
      <c r="R1631" s="5" t="str">
        <f aca="false">IF(OR(A1631="",P1631="",Q1631=""),"",P1631*Q1631)</f>
        <v/>
      </c>
      <c r="S1631" s="5" t="str">
        <f aca="false">IF(R1631="","",MAX(0,R1631-G1631))</f>
        <v/>
      </c>
      <c r="T1631" s="21" t="str">
        <f aca="false">IF(S1631="","",S1631*K1631)</f>
        <v/>
      </c>
      <c r="U1631" s="5" t="str">
        <f aca="false">IF(A1631="","",IF(J1631&gt;Parâmetros!$C$14,"SIM","NAO"))</f>
        <v/>
      </c>
      <c r="V1631" s="5" t="str">
        <f aca="false">IF(B1631="","",TRIM(LEFT(B1631,IFERROR(FIND(" ",B1631)-1,LEN(B1631)))))</f>
        <v/>
      </c>
      <c r="W1631" s="22"/>
      <c r="X1631" s="5" t="str">
        <f aca="false">IF(A1631="","",IF(W1631&lt;&gt;"",W1631,V1631))</f>
        <v/>
      </c>
      <c r="Y1631" s="5" t="str">
        <f aca="false">IF(A1631="","",IF(COUNTIFS($X$2:$X$2001,X1631,$D$2:$D$2001,"&lt;&gt;"&amp;D1631,$C$2:$C$2001,C1631)&gt;0,"SIM","NAO"))</f>
        <v/>
      </c>
      <c r="Z1631" s="5" t="str">
        <f aca="false">IF(A1631="","",IF(J1631="","",IFERROR(360/J1631,"")))</f>
        <v/>
      </c>
      <c r="AA1631" s="5" t="str">
        <f aca="false">IF(A1631="","",IF(H1631=0,"Parado (sem venda 90d)",IF(Z1631&gt;12,"Alto (&gt;12x/ano)",IF(Z1631&gt;=4,"Medio (4-12x/ano)","Baixo (&lt;4x/ano)"))))</f>
        <v/>
      </c>
    </row>
    <row r="1632" customFormat="false" ht="15" hidden="false" customHeight="true" outlineLevel="0" collapsed="false">
      <c r="A1632" s="6"/>
      <c r="B1632" s="6"/>
      <c r="C1632" s="6"/>
      <c r="D1632" s="6"/>
      <c r="E1632" s="6"/>
      <c r="F1632" s="6"/>
      <c r="G1632" s="6"/>
      <c r="H1632" s="6"/>
      <c r="I1632" s="6"/>
      <c r="J1632" s="6"/>
      <c r="K1632" s="18"/>
      <c r="L1632" s="19" t="str">
        <f aca="false">IF(A1632="","",G1632*K1632)</f>
        <v/>
      </c>
      <c r="M1632" s="20"/>
      <c r="N1632" s="6"/>
      <c r="O1632" s="6"/>
      <c r="P1632" s="5" t="str">
        <f aca="false">IF(A1632="","",H1632/90)</f>
        <v/>
      </c>
      <c r="Q1632" s="5" t="str">
        <f aca="false">IF(A1632="","",IFERROR(INDEX(Parâmetros!$C$6:$C$10,MATCH(F1632,Parâmetros!$B$6:$B$10,0)),""))</f>
        <v/>
      </c>
      <c r="R1632" s="5" t="str">
        <f aca="false">IF(OR(A1632="",P1632="",Q1632=""),"",P1632*Q1632)</f>
        <v/>
      </c>
      <c r="S1632" s="5" t="str">
        <f aca="false">IF(R1632="","",MAX(0,R1632-G1632))</f>
        <v/>
      </c>
      <c r="T1632" s="21" t="str">
        <f aca="false">IF(S1632="","",S1632*K1632)</f>
        <v/>
      </c>
      <c r="U1632" s="5" t="str">
        <f aca="false">IF(A1632="","",IF(J1632&gt;Parâmetros!$C$14,"SIM","NAO"))</f>
        <v/>
      </c>
      <c r="V1632" s="5" t="str">
        <f aca="false">IF(B1632="","",TRIM(LEFT(B1632,IFERROR(FIND(" ",B1632)-1,LEN(B1632)))))</f>
        <v/>
      </c>
      <c r="W1632" s="22"/>
      <c r="X1632" s="5" t="str">
        <f aca="false">IF(A1632="","",IF(W1632&lt;&gt;"",W1632,V1632))</f>
        <v/>
      </c>
      <c r="Y1632" s="5" t="str">
        <f aca="false">IF(A1632="","",IF(COUNTIFS($X$2:$X$2001,X1632,$D$2:$D$2001,"&lt;&gt;"&amp;D1632,$C$2:$C$2001,C1632)&gt;0,"SIM","NAO"))</f>
        <v/>
      </c>
      <c r="Z1632" s="5" t="str">
        <f aca="false">IF(A1632="","",IF(J1632="","",IFERROR(360/J1632,"")))</f>
        <v/>
      </c>
      <c r="AA1632" s="5" t="str">
        <f aca="false">IF(A1632="","",IF(H1632=0,"Parado (sem venda 90d)",IF(Z1632&gt;12,"Alto (&gt;12x/ano)",IF(Z1632&gt;=4,"Medio (4-12x/ano)","Baixo (&lt;4x/ano)"))))</f>
        <v/>
      </c>
    </row>
    <row r="1633" customFormat="false" ht="15" hidden="false" customHeight="true" outlineLevel="0" collapsed="false">
      <c r="A1633" s="6"/>
      <c r="B1633" s="6"/>
      <c r="C1633" s="6"/>
      <c r="D1633" s="6"/>
      <c r="E1633" s="6"/>
      <c r="F1633" s="6"/>
      <c r="G1633" s="6"/>
      <c r="H1633" s="6"/>
      <c r="I1633" s="6"/>
      <c r="J1633" s="6"/>
      <c r="K1633" s="18"/>
      <c r="L1633" s="19" t="str">
        <f aca="false">IF(A1633="","",G1633*K1633)</f>
        <v/>
      </c>
      <c r="M1633" s="20"/>
      <c r="N1633" s="6"/>
      <c r="O1633" s="6"/>
      <c r="P1633" s="5" t="str">
        <f aca="false">IF(A1633="","",H1633/90)</f>
        <v/>
      </c>
      <c r="Q1633" s="5" t="str">
        <f aca="false">IF(A1633="","",IFERROR(INDEX(Parâmetros!$C$6:$C$10,MATCH(F1633,Parâmetros!$B$6:$B$10,0)),""))</f>
        <v/>
      </c>
      <c r="R1633" s="5" t="str">
        <f aca="false">IF(OR(A1633="",P1633="",Q1633=""),"",P1633*Q1633)</f>
        <v/>
      </c>
      <c r="S1633" s="5" t="str">
        <f aca="false">IF(R1633="","",MAX(0,R1633-G1633))</f>
        <v/>
      </c>
      <c r="T1633" s="21" t="str">
        <f aca="false">IF(S1633="","",S1633*K1633)</f>
        <v/>
      </c>
      <c r="U1633" s="5" t="str">
        <f aca="false">IF(A1633="","",IF(J1633&gt;Parâmetros!$C$14,"SIM","NAO"))</f>
        <v/>
      </c>
      <c r="V1633" s="5" t="str">
        <f aca="false">IF(B1633="","",TRIM(LEFT(B1633,IFERROR(FIND(" ",B1633)-1,LEN(B1633)))))</f>
        <v/>
      </c>
      <c r="W1633" s="22"/>
      <c r="X1633" s="5" t="str">
        <f aca="false">IF(A1633="","",IF(W1633&lt;&gt;"",W1633,V1633))</f>
        <v/>
      </c>
      <c r="Y1633" s="5" t="str">
        <f aca="false">IF(A1633="","",IF(COUNTIFS($X$2:$X$2001,X1633,$D$2:$D$2001,"&lt;&gt;"&amp;D1633,$C$2:$C$2001,C1633)&gt;0,"SIM","NAO"))</f>
        <v/>
      </c>
      <c r="Z1633" s="5" t="str">
        <f aca="false">IF(A1633="","",IF(J1633="","",IFERROR(360/J1633,"")))</f>
        <v/>
      </c>
      <c r="AA1633" s="5" t="str">
        <f aca="false">IF(A1633="","",IF(H1633=0,"Parado (sem venda 90d)",IF(Z1633&gt;12,"Alto (&gt;12x/ano)",IF(Z1633&gt;=4,"Medio (4-12x/ano)","Baixo (&lt;4x/ano)"))))</f>
        <v/>
      </c>
    </row>
    <row r="1634" customFormat="false" ht="15" hidden="false" customHeight="true" outlineLevel="0" collapsed="false">
      <c r="A1634" s="6"/>
      <c r="B1634" s="6"/>
      <c r="C1634" s="6"/>
      <c r="D1634" s="6"/>
      <c r="E1634" s="6"/>
      <c r="F1634" s="6"/>
      <c r="G1634" s="6"/>
      <c r="H1634" s="6"/>
      <c r="I1634" s="6"/>
      <c r="J1634" s="6"/>
      <c r="K1634" s="18"/>
      <c r="L1634" s="19" t="str">
        <f aca="false">IF(A1634="","",G1634*K1634)</f>
        <v/>
      </c>
      <c r="M1634" s="20"/>
      <c r="N1634" s="6"/>
      <c r="O1634" s="6"/>
      <c r="P1634" s="5" t="str">
        <f aca="false">IF(A1634="","",H1634/90)</f>
        <v/>
      </c>
      <c r="Q1634" s="5" t="str">
        <f aca="false">IF(A1634="","",IFERROR(INDEX(Parâmetros!$C$6:$C$10,MATCH(F1634,Parâmetros!$B$6:$B$10,0)),""))</f>
        <v/>
      </c>
      <c r="R1634" s="5" t="str">
        <f aca="false">IF(OR(A1634="",P1634="",Q1634=""),"",P1634*Q1634)</f>
        <v/>
      </c>
      <c r="S1634" s="5" t="str">
        <f aca="false">IF(R1634="","",MAX(0,R1634-G1634))</f>
        <v/>
      </c>
      <c r="T1634" s="21" t="str">
        <f aca="false">IF(S1634="","",S1634*K1634)</f>
        <v/>
      </c>
      <c r="U1634" s="5" t="str">
        <f aca="false">IF(A1634="","",IF(J1634&gt;Parâmetros!$C$14,"SIM","NAO"))</f>
        <v/>
      </c>
      <c r="V1634" s="5" t="str">
        <f aca="false">IF(B1634="","",TRIM(LEFT(B1634,IFERROR(FIND(" ",B1634)-1,LEN(B1634)))))</f>
        <v/>
      </c>
      <c r="W1634" s="22"/>
      <c r="X1634" s="5" t="str">
        <f aca="false">IF(A1634="","",IF(W1634&lt;&gt;"",W1634,V1634))</f>
        <v/>
      </c>
      <c r="Y1634" s="5" t="str">
        <f aca="false">IF(A1634="","",IF(COUNTIFS($X$2:$X$2001,X1634,$D$2:$D$2001,"&lt;&gt;"&amp;D1634,$C$2:$C$2001,C1634)&gt;0,"SIM","NAO"))</f>
        <v/>
      </c>
      <c r="Z1634" s="5" t="str">
        <f aca="false">IF(A1634="","",IF(J1634="","",IFERROR(360/J1634,"")))</f>
        <v/>
      </c>
      <c r="AA1634" s="5" t="str">
        <f aca="false">IF(A1634="","",IF(H1634=0,"Parado (sem venda 90d)",IF(Z1634&gt;12,"Alto (&gt;12x/ano)",IF(Z1634&gt;=4,"Medio (4-12x/ano)","Baixo (&lt;4x/ano)"))))</f>
        <v/>
      </c>
    </row>
    <row r="1635" customFormat="false" ht="15" hidden="false" customHeight="true" outlineLevel="0" collapsed="false">
      <c r="A1635" s="6"/>
      <c r="B1635" s="6"/>
      <c r="C1635" s="6"/>
      <c r="D1635" s="6"/>
      <c r="E1635" s="6"/>
      <c r="F1635" s="6"/>
      <c r="G1635" s="6"/>
      <c r="H1635" s="6"/>
      <c r="I1635" s="6"/>
      <c r="J1635" s="6"/>
      <c r="K1635" s="18"/>
      <c r="L1635" s="19" t="str">
        <f aca="false">IF(A1635="","",G1635*K1635)</f>
        <v/>
      </c>
      <c r="M1635" s="20"/>
      <c r="N1635" s="6"/>
      <c r="O1635" s="6"/>
      <c r="P1635" s="5" t="str">
        <f aca="false">IF(A1635="","",H1635/90)</f>
        <v/>
      </c>
      <c r="Q1635" s="5" t="str">
        <f aca="false">IF(A1635="","",IFERROR(INDEX(Parâmetros!$C$6:$C$10,MATCH(F1635,Parâmetros!$B$6:$B$10,0)),""))</f>
        <v/>
      </c>
      <c r="R1635" s="5" t="str">
        <f aca="false">IF(OR(A1635="",P1635="",Q1635=""),"",P1635*Q1635)</f>
        <v/>
      </c>
      <c r="S1635" s="5" t="str">
        <f aca="false">IF(R1635="","",MAX(0,R1635-G1635))</f>
        <v/>
      </c>
      <c r="T1635" s="21" t="str">
        <f aca="false">IF(S1635="","",S1635*K1635)</f>
        <v/>
      </c>
      <c r="U1635" s="5" t="str">
        <f aca="false">IF(A1635="","",IF(J1635&gt;Parâmetros!$C$14,"SIM","NAO"))</f>
        <v/>
      </c>
      <c r="V1635" s="5" t="str">
        <f aca="false">IF(B1635="","",TRIM(LEFT(B1635,IFERROR(FIND(" ",B1635)-1,LEN(B1635)))))</f>
        <v/>
      </c>
      <c r="W1635" s="22"/>
      <c r="X1635" s="5" t="str">
        <f aca="false">IF(A1635="","",IF(W1635&lt;&gt;"",W1635,V1635))</f>
        <v/>
      </c>
      <c r="Y1635" s="5" t="str">
        <f aca="false">IF(A1635="","",IF(COUNTIFS($X$2:$X$2001,X1635,$D$2:$D$2001,"&lt;&gt;"&amp;D1635,$C$2:$C$2001,C1635)&gt;0,"SIM","NAO"))</f>
        <v/>
      </c>
      <c r="Z1635" s="5" t="str">
        <f aca="false">IF(A1635="","",IF(J1635="","",IFERROR(360/J1635,"")))</f>
        <v/>
      </c>
      <c r="AA1635" s="5" t="str">
        <f aca="false">IF(A1635="","",IF(H1635=0,"Parado (sem venda 90d)",IF(Z1635&gt;12,"Alto (&gt;12x/ano)",IF(Z1635&gt;=4,"Medio (4-12x/ano)","Baixo (&lt;4x/ano)"))))</f>
        <v/>
      </c>
    </row>
    <row r="1636" customFormat="false" ht="15" hidden="false" customHeight="true" outlineLevel="0" collapsed="false">
      <c r="A1636" s="6"/>
      <c r="B1636" s="6"/>
      <c r="C1636" s="6"/>
      <c r="D1636" s="6"/>
      <c r="E1636" s="6"/>
      <c r="F1636" s="6"/>
      <c r="G1636" s="6"/>
      <c r="H1636" s="6"/>
      <c r="I1636" s="6"/>
      <c r="J1636" s="6"/>
      <c r="K1636" s="18"/>
      <c r="L1636" s="19" t="str">
        <f aca="false">IF(A1636="","",G1636*K1636)</f>
        <v/>
      </c>
      <c r="M1636" s="20"/>
      <c r="N1636" s="6"/>
      <c r="O1636" s="6"/>
      <c r="P1636" s="5" t="str">
        <f aca="false">IF(A1636="","",H1636/90)</f>
        <v/>
      </c>
      <c r="Q1636" s="5" t="str">
        <f aca="false">IF(A1636="","",IFERROR(INDEX(Parâmetros!$C$6:$C$10,MATCH(F1636,Parâmetros!$B$6:$B$10,0)),""))</f>
        <v/>
      </c>
      <c r="R1636" s="5" t="str">
        <f aca="false">IF(OR(A1636="",P1636="",Q1636=""),"",P1636*Q1636)</f>
        <v/>
      </c>
      <c r="S1636" s="5" t="str">
        <f aca="false">IF(R1636="","",MAX(0,R1636-G1636))</f>
        <v/>
      </c>
      <c r="T1636" s="21" t="str">
        <f aca="false">IF(S1636="","",S1636*K1636)</f>
        <v/>
      </c>
      <c r="U1636" s="5" t="str">
        <f aca="false">IF(A1636="","",IF(J1636&gt;Parâmetros!$C$14,"SIM","NAO"))</f>
        <v/>
      </c>
      <c r="V1636" s="5" t="str">
        <f aca="false">IF(B1636="","",TRIM(LEFT(B1636,IFERROR(FIND(" ",B1636)-1,LEN(B1636)))))</f>
        <v/>
      </c>
      <c r="W1636" s="22"/>
      <c r="X1636" s="5" t="str">
        <f aca="false">IF(A1636="","",IF(W1636&lt;&gt;"",W1636,V1636))</f>
        <v/>
      </c>
      <c r="Y1636" s="5" t="str">
        <f aca="false">IF(A1636="","",IF(COUNTIFS($X$2:$X$2001,X1636,$D$2:$D$2001,"&lt;&gt;"&amp;D1636,$C$2:$C$2001,C1636)&gt;0,"SIM","NAO"))</f>
        <v/>
      </c>
      <c r="Z1636" s="5" t="str">
        <f aca="false">IF(A1636="","",IF(J1636="","",IFERROR(360/J1636,"")))</f>
        <v/>
      </c>
      <c r="AA1636" s="5" t="str">
        <f aca="false">IF(A1636="","",IF(H1636=0,"Parado (sem venda 90d)",IF(Z1636&gt;12,"Alto (&gt;12x/ano)",IF(Z1636&gt;=4,"Medio (4-12x/ano)","Baixo (&lt;4x/ano)"))))</f>
        <v/>
      </c>
    </row>
    <row r="1637" customFormat="false" ht="15" hidden="false" customHeight="true" outlineLevel="0" collapsed="false">
      <c r="A1637" s="6"/>
      <c r="B1637" s="6"/>
      <c r="C1637" s="6"/>
      <c r="D1637" s="6"/>
      <c r="E1637" s="6"/>
      <c r="F1637" s="6"/>
      <c r="G1637" s="6"/>
      <c r="H1637" s="6"/>
      <c r="I1637" s="6"/>
      <c r="J1637" s="6"/>
      <c r="K1637" s="18"/>
      <c r="L1637" s="19" t="str">
        <f aca="false">IF(A1637="","",G1637*K1637)</f>
        <v/>
      </c>
      <c r="M1637" s="20"/>
      <c r="N1637" s="6"/>
      <c r="O1637" s="6"/>
      <c r="P1637" s="5" t="str">
        <f aca="false">IF(A1637="","",H1637/90)</f>
        <v/>
      </c>
      <c r="Q1637" s="5" t="str">
        <f aca="false">IF(A1637="","",IFERROR(INDEX(Parâmetros!$C$6:$C$10,MATCH(F1637,Parâmetros!$B$6:$B$10,0)),""))</f>
        <v/>
      </c>
      <c r="R1637" s="5" t="str">
        <f aca="false">IF(OR(A1637="",P1637="",Q1637=""),"",P1637*Q1637)</f>
        <v/>
      </c>
      <c r="S1637" s="5" t="str">
        <f aca="false">IF(R1637="","",MAX(0,R1637-G1637))</f>
        <v/>
      </c>
      <c r="T1637" s="21" t="str">
        <f aca="false">IF(S1637="","",S1637*K1637)</f>
        <v/>
      </c>
      <c r="U1637" s="5" t="str">
        <f aca="false">IF(A1637="","",IF(J1637&gt;Parâmetros!$C$14,"SIM","NAO"))</f>
        <v/>
      </c>
      <c r="V1637" s="5" t="str">
        <f aca="false">IF(B1637="","",TRIM(LEFT(B1637,IFERROR(FIND(" ",B1637)-1,LEN(B1637)))))</f>
        <v/>
      </c>
      <c r="W1637" s="22"/>
      <c r="X1637" s="5" t="str">
        <f aca="false">IF(A1637="","",IF(W1637&lt;&gt;"",W1637,V1637))</f>
        <v/>
      </c>
      <c r="Y1637" s="5" t="str">
        <f aca="false">IF(A1637="","",IF(COUNTIFS($X$2:$X$2001,X1637,$D$2:$D$2001,"&lt;&gt;"&amp;D1637,$C$2:$C$2001,C1637)&gt;0,"SIM","NAO"))</f>
        <v/>
      </c>
      <c r="Z1637" s="5" t="str">
        <f aca="false">IF(A1637="","",IF(J1637="","",IFERROR(360/J1637,"")))</f>
        <v/>
      </c>
      <c r="AA1637" s="5" t="str">
        <f aca="false">IF(A1637="","",IF(H1637=0,"Parado (sem venda 90d)",IF(Z1637&gt;12,"Alto (&gt;12x/ano)",IF(Z1637&gt;=4,"Medio (4-12x/ano)","Baixo (&lt;4x/ano)"))))</f>
        <v/>
      </c>
    </row>
    <row r="1638" customFormat="false" ht="15" hidden="false" customHeight="true" outlineLevel="0" collapsed="false">
      <c r="A1638" s="6"/>
      <c r="B1638" s="6"/>
      <c r="C1638" s="6"/>
      <c r="D1638" s="6"/>
      <c r="E1638" s="6"/>
      <c r="F1638" s="6"/>
      <c r="G1638" s="6"/>
      <c r="H1638" s="6"/>
      <c r="I1638" s="6"/>
      <c r="J1638" s="6"/>
      <c r="K1638" s="18"/>
      <c r="L1638" s="19" t="str">
        <f aca="false">IF(A1638="","",G1638*K1638)</f>
        <v/>
      </c>
      <c r="M1638" s="20"/>
      <c r="N1638" s="6"/>
      <c r="O1638" s="6"/>
      <c r="P1638" s="5" t="str">
        <f aca="false">IF(A1638="","",H1638/90)</f>
        <v/>
      </c>
      <c r="Q1638" s="5" t="str">
        <f aca="false">IF(A1638="","",IFERROR(INDEX(Parâmetros!$C$6:$C$10,MATCH(F1638,Parâmetros!$B$6:$B$10,0)),""))</f>
        <v/>
      </c>
      <c r="R1638" s="5" t="str">
        <f aca="false">IF(OR(A1638="",P1638="",Q1638=""),"",P1638*Q1638)</f>
        <v/>
      </c>
      <c r="S1638" s="5" t="str">
        <f aca="false">IF(R1638="","",MAX(0,R1638-G1638))</f>
        <v/>
      </c>
      <c r="T1638" s="21" t="str">
        <f aca="false">IF(S1638="","",S1638*K1638)</f>
        <v/>
      </c>
      <c r="U1638" s="5" t="str">
        <f aca="false">IF(A1638="","",IF(J1638&gt;Parâmetros!$C$14,"SIM","NAO"))</f>
        <v/>
      </c>
      <c r="V1638" s="5" t="str">
        <f aca="false">IF(B1638="","",TRIM(LEFT(B1638,IFERROR(FIND(" ",B1638)-1,LEN(B1638)))))</f>
        <v/>
      </c>
      <c r="W1638" s="22"/>
      <c r="X1638" s="5" t="str">
        <f aca="false">IF(A1638="","",IF(W1638&lt;&gt;"",W1638,V1638))</f>
        <v/>
      </c>
      <c r="Y1638" s="5" t="str">
        <f aca="false">IF(A1638="","",IF(COUNTIFS($X$2:$X$2001,X1638,$D$2:$D$2001,"&lt;&gt;"&amp;D1638,$C$2:$C$2001,C1638)&gt;0,"SIM","NAO"))</f>
        <v/>
      </c>
      <c r="Z1638" s="5" t="str">
        <f aca="false">IF(A1638="","",IF(J1638="","",IFERROR(360/J1638,"")))</f>
        <v/>
      </c>
      <c r="AA1638" s="5" t="str">
        <f aca="false">IF(A1638="","",IF(H1638=0,"Parado (sem venda 90d)",IF(Z1638&gt;12,"Alto (&gt;12x/ano)",IF(Z1638&gt;=4,"Medio (4-12x/ano)","Baixo (&lt;4x/ano)"))))</f>
        <v/>
      </c>
    </row>
    <row r="1639" customFormat="false" ht="15" hidden="false" customHeight="true" outlineLevel="0" collapsed="false">
      <c r="A1639" s="6"/>
      <c r="B1639" s="6"/>
      <c r="C1639" s="6"/>
      <c r="D1639" s="6"/>
      <c r="E1639" s="6"/>
      <c r="F1639" s="6"/>
      <c r="G1639" s="6"/>
      <c r="H1639" s="6"/>
      <c r="I1639" s="6"/>
      <c r="J1639" s="6"/>
      <c r="K1639" s="18"/>
      <c r="L1639" s="19" t="str">
        <f aca="false">IF(A1639="","",G1639*K1639)</f>
        <v/>
      </c>
      <c r="M1639" s="20"/>
      <c r="N1639" s="6"/>
      <c r="O1639" s="6"/>
      <c r="P1639" s="5" t="str">
        <f aca="false">IF(A1639="","",H1639/90)</f>
        <v/>
      </c>
      <c r="Q1639" s="5" t="str">
        <f aca="false">IF(A1639="","",IFERROR(INDEX(Parâmetros!$C$6:$C$10,MATCH(F1639,Parâmetros!$B$6:$B$10,0)),""))</f>
        <v/>
      </c>
      <c r="R1639" s="5" t="str">
        <f aca="false">IF(OR(A1639="",P1639="",Q1639=""),"",P1639*Q1639)</f>
        <v/>
      </c>
      <c r="S1639" s="5" t="str">
        <f aca="false">IF(R1639="","",MAX(0,R1639-G1639))</f>
        <v/>
      </c>
      <c r="T1639" s="21" t="str">
        <f aca="false">IF(S1639="","",S1639*K1639)</f>
        <v/>
      </c>
      <c r="U1639" s="5" t="str">
        <f aca="false">IF(A1639="","",IF(J1639&gt;Parâmetros!$C$14,"SIM","NAO"))</f>
        <v/>
      </c>
      <c r="V1639" s="5" t="str">
        <f aca="false">IF(B1639="","",TRIM(LEFT(B1639,IFERROR(FIND(" ",B1639)-1,LEN(B1639)))))</f>
        <v/>
      </c>
      <c r="W1639" s="22"/>
      <c r="X1639" s="5" t="str">
        <f aca="false">IF(A1639="","",IF(W1639&lt;&gt;"",W1639,V1639))</f>
        <v/>
      </c>
      <c r="Y1639" s="5" t="str">
        <f aca="false">IF(A1639="","",IF(COUNTIFS($X$2:$X$2001,X1639,$D$2:$D$2001,"&lt;&gt;"&amp;D1639,$C$2:$C$2001,C1639)&gt;0,"SIM","NAO"))</f>
        <v/>
      </c>
      <c r="Z1639" s="5" t="str">
        <f aca="false">IF(A1639="","",IF(J1639="","",IFERROR(360/J1639,"")))</f>
        <v/>
      </c>
      <c r="AA1639" s="5" t="str">
        <f aca="false">IF(A1639="","",IF(H1639=0,"Parado (sem venda 90d)",IF(Z1639&gt;12,"Alto (&gt;12x/ano)",IF(Z1639&gt;=4,"Medio (4-12x/ano)","Baixo (&lt;4x/ano)"))))</f>
        <v/>
      </c>
    </row>
    <row r="1640" customFormat="false" ht="15" hidden="false" customHeight="true" outlineLevel="0" collapsed="false">
      <c r="A1640" s="6"/>
      <c r="B1640" s="6"/>
      <c r="C1640" s="6"/>
      <c r="D1640" s="6"/>
      <c r="E1640" s="6"/>
      <c r="F1640" s="6"/>
      <c r="G1640" s="6"/>
      <c r="H1640" s="6"/>
      <c r="I1640" s="6"/>
      <c r="J1640" s="6"/>
      <c r="K1640" s="18"/>
      <c r="L1640" s="19" t="str">
        <f aca="false">IF(A1640="","",G1640*K1640)</f>
        <v/>
      </c>
      <c r="M1640" s="20"/>
      <c r="N1640" s="6"/>
      <c r="O1640" s="6"/>
      <c r="P1640" s="5" t="str">
        <f aca="false">IF(A1640="","",H1640/90)</f>
        <v/>
      </c>
      <c r="Q1640" s="5" t="str">
        <f aca="false">IF(A1640="","",IFERROR(INDEX(Parâmetros!$C$6:$C$10,MATCH(F1640,Parâmetros!$B$6:$B$10,0)),""))</f>
        <v/>
      </c>
      <c r="R1640" s="5" t="str">
        <f aca="false">IF(OR(A1640="",P1640="",Q1640=""),"",P1640*Q1640)</f>
        <v/>
      </c>
      <c r="S1640" s="5" t="str">
        <f aca="false">IF(R1640="","",MAX(0,R1640-G1640))</f>
        <v/>
      </c>
      <c r="T1640" s="21" t="str">
        <f aca="false">IF(S1640="","",S1640*K1640)</f>
        <v/>
      </c>
      <c r="U1640" s="5" t="str">
        <f aca="false">IF(A1640="","",IF(J1640&gt;Parâmetros!$C$14,"SIM","NAO"))</f>
        <v/>
      </c>
      <c r="V1640" s="5" t="str">
        <f aca="false">IF(B1640="","",TRIM(LEFT(B1640,IFERROR(FIND(" ",B1640)-1,LEN(B1640)))))</f>
        <v/>
      </c>
      <c r="W1640" s="22"/>
      <c r="X1640" s="5" t="str">
        <f aca="false">IF(A1640="","",IF(W1640&lt;&gt;"",W1640,V1640))</f>
        <v/>
      </c>
      <c r="Y1640" s="5" t="str">
        <f aca="false">IF(A1640="","",IF(COUNTIFS($X$2:$X$2001,X1640,$D$2:$D$2001,"&lt;&gt;"&amp;D1640,$C$2:$C$2001,C1640)&gt;0,"SIM","NAO"))</f>
        <v/>
      </c>
      <c r="Z1640" s="5" t="str">
        <f aca="false">IF(A1640="","",IF(J1640="","",IFERROR(360/J1640,"")))</f>
        <v/>
      </c>
      <c r="AA1640" s="5" t="str">
        <f aca="false">IF(A1640="","",IF(H1640=0,"Parado (sem venda 90d)",IF(Z1640&gt;12,"Alto (&gt;12x/ano)",IF(Z1640&gt;=4,"Medio (4-12x/ano)","Baixo (&lt;4x/ano)"))))</f>
        <v/>
      </c>
    </row>
    <row r="1641" customFormat="false" ht="15" hidden="false" customHeight="true" outlineLevel="0" collapsed="false">
      <c r="A1641" s="6"/>
      <c r="B1641" s="6"/>
      <c r="C1641" s="6"/>
      <c r="D1641" s="6"/>
      <c r="E1641" s="6"/>
      <c r="F1641" s="6"/>
      <c r="G1641" s="6"/>
      <c r="H1641" s="6"/>
      <c r="I1641" s="6"/>
      <c r="J1641" s="6"/>
      <c r="K1641" s="18"/>
      <c r="L1641" s="19" t="str">
        <f aca="false">IF(A1641="","",G1641*K1641)</f>
        <v/>
      </c>
      <c r="M1641" s="20"/>
      <c r="N1641" s="6"/>
      <c r="O1641" s="6"/>
      <c r="P1641" s="5" t="str">
        <f aca="false">IF(A1641="","",H1641/90)</f>
        <v/>
      </c>
      <c r="Q1641" s="5" t="str">
        <f aca="false">IF(A1641="","",IFERROR(INDEX(Parâmetros!$C$6:$C$10,MATCH(F1641,Parâmetros!$B$6:$B$10,0)),""))</f>
        <v/>
      </c>
      <c r="R1641" s="5" t="str">
        <f aca="false">IF(OR(A1641="",P1641="",Q1641=""),"",P1641*Q1641)</f>
        <v/>
      </c>
      <c r="S1641" s="5" t="str">
        <f aca="false">IF(R1641="","",MAX(0,R1641-G1641))</f>
        <v/>
      </c>
      <c r="T1641" s="21" t="str">
        <f aca="false">IF(S1641="","",S1641*K1641)</f>
        <v/>
      </c>
      <c r="U1641" s="5" t="str">
        <f aca="false">IF(A1641="","",IF(J1641&gt;Parâmetros!$C$14,"SIM","NAO"))</f>
        <v/>
      </c>
      <c r="V1641" s="5" t="str">
        <f aca="false">IF(B1641="","",TRIM(LEFT(B1641,IFERROR(FIND(" ",B1641)-1,LEN(B1641)))))</f>
        <v/>
      </c>
      <c r="W1641" s="22"/>
      <c r="X1641" s="5" t="str">
        <f aca="false">IF(A1641="","",IF(W1641&lt;&gt;"",W1641,V1641))</f>
        <v/>
      </c>
      <c r="Y1641" s="5" t="str">
        <f aca="false">IF(A1641="","",IF(COUNTIFS($X$2:$X$2001,X1641,$D$2:$D$2001,"&lt;&gt;"&amp;D1641,$C$2:$C$2001,C1641)&gt;0,"SIM","NAO"))</f>
        <v/>
      </c>
      <c r="Z1641" s="5" t="str">
        <f aca="false">IF(A1641="","",IF(J1641="","",IFERROR(360/J1641,"")))</f>
        <v/>
      </c>
      <c r="AA1641" s="5" t="str">
        <f aca="false">IF(A1641="","",IF(H1641=0,"Parado (sem venda 90d)",IF(Z1641&gt;12,"Alto (&gt;12x/ano)",IF(Z1641&gt;=4,"Medio (4-12x/ano)","Baixo (&lt;4x/ano)"))))</f>
        <v/>
      </c>
    </row>
    <row r="1642" customFormat="false" ht="15" hidden="false" customHeight="true" outlineLevel="0" collapsed="false">
      <c r="A1642" s="6"/>
      <c r="B1642" s="6"/>
      <c r="C1642" s="6"/>
      <c r="D1642" s="6"/>
      <c r="E1642" s="6"/>
      <c r="F1642" s="6"/>
      <c r="G1642" s="6"/>
      <c r="H1642" s="6"/>
      <c r="I1642" s="6"/>
      <c r="J1642" s="6"/>
      <c r="K1642" s="18"/>
      <c r="L1642" s="19" t="str">
        <f aca="false">IF(A1642="","",G1642*K1642)</f>
        <v/>
      </c>
      <c r="M1642" s="20"/>
      <c r="N1642" s="6"/>
      <c r="O1642" s="6"/>
      <c r="P1642" s="5" t="str">
        <f aca="false">IF(A1642="","",H1642/90)</f>
        <v/>
      </c>
      <c r="Q1642" s="5" t="str">
        <f aca="false">IF(A1642="","",IFERROR(INDEX(Parâmetros!$C$6:$C$10,MATCH(F1642,Parâmetros!$B$6:$B$10,0)),""))</f>
        <v/>
      </c>
      <c r="R1642" s="5" t="str">
        <f aca="false">IF(OR(A1642="",P1642="",Q1642=""),"",P1642*Q1642)</f>
        <v/>
      </c>
      <c r="S1642" s="5" t="str">
        <f aca="false">IF(R1642="","",MAX(0,R1642-G1642))</f>
        <v/>
      </c>
      <c r="T1642" s="21" t="str">
        <f aca="false">IF(S1642="","",S1642*K1642)</f>
        <v/>
      </c>
      <c r="U1642" s="5" t="str">
        <f aca="false">IF(A1642="","",IF(J1642&gt;Parâmetros!$C$14,"SIM","NAO"))</f>
        <v/>
      </c>
      <c r="V1642" s="5" t="str">
        <f aca="false">IF(B1642="","",TRIM(LEFT(B1642,IFERROR(FIND(" ",B1642)-1,LEN(B1642)))))</f>
        <v/>
      </c>
      <c r="W1642" s="22"/>
      <c r="X1642" s="5" t="str">
        <f aca="false">IF(A1642="","",IF(W1642&lt;&gt;"",W1642,V1642))</f>
        <v/>
      </c>
      <c r="Y1642" s="5" t="str">
        <f aca="false">IF(A1642="","",IF(COUNTIFS($X$2:$X$2001,X1642,$D$2:$D$2001,"&lt;&gt;"&amp;D1642,$C$2:$C$2001,C1642)&gt;0,"SIM","NAO"))</f>
        <v/>
      </c>
      <c r="Z1642" s="5" t="str">
        <f aca="false">IF(A1642="","",IF(J1642="","",IFERROR(360/J1642,"")))</f>
        <v/>
      </c>
      <c r="AA1642" s="5" t="str">
        <f aca="false">IF(A1642="","",IF(H1642=0,"Parado (sem venda 90d)",IF(Z1642&gt;12,"Alto (&gt;12x/ano)",IF(Z1642&gt;=4,"Medio (4-12x/ano)","Baixo (&lt;4x/ano)"))))</f>
        <v/>
      </c>
    </row>
    <row r="1643" customFormat="false" ht="15" hidden="false" customHeight="true" outlineLevel="0" collapsed="false">
      <c r="A1643" s="6"/>
      <c r="B1643" s="6"/>
      <c r="C1643" s="6"/>
      <c r="D1643" s="6"/>
      <c r="E1643" s="6"/>
      <c r="F1643" s="6"/>
      <c r="G1643" s="6"/>
      <c r="H1643" s="6"/>
      <c r="I1643" s="6"/>
      <c r="J1643" s="6"/>
      <c r="K1643" s="18"/>
      <c r="L1643" s="19" t="str">
        <f aca="false">IF(A1643="","",G1643*K1643)</f>
        <v/>
      </c>
      <c r="M1643" s="20"/>
      <c r="N1643" s="6"/>
      <c r="O1643" s="6"/>
      <c r="P1643" s="5" t="str">
        <f aca="false">IF(A1643="","",H1643/90)</f>
        <v/>
      </c>
      <c r="Q1643" s="5" t="str">
        <f aca="false">IF(A1643="","",IFERROR(INDEX(Parâmetros!$C$6:$C$10,MATCH(F1643,Parâmetros!$B$6:$B$10,0)),""))</f>
        <v/>
      </c>
      <c r="R1643" s="5" t="str">
        <f aca="false">IF(OR(A1643="",P1643="",Q1643=""),"",P1643*Q1643)</f>
        <v/>
      </c>
      <c r="S1643" s="5" t="str">
        <f aca="false">IF(R1643="","",MAX(0,R1643-G1643))</f>
        <v/>
      </c>
      <c r="T1643" s="21" t="str">
        <f aca="false">IF(S1643="","",S1643*K1643)</f>
        <v/>
      </c>
      <c r="U1643" s="5" t="str">
        <f aca="false">IF(A1643="","",IF(J1643&gt;Parâmetros!$C$14,"SIM","NAO"))</f>
        <v/>
      </c>
      <c r="V1643" s="5" t="str">
        <f aca="false">IF(B1643="","",TRIM(LEFT(B1643,IFERROR(FIND(" ",B1643)-1,LEN(B1643)))))</f>
        <v/>
      </c>
      <c r="W1643" s="22"/>
      <c r="X1643" s="5" t="str">
        <f aca="false">IF(A1643="","",IF(W1643&lt;&gt;"",W1643,V1643))</f>
        <v/>
      </c>
      <c r="Y1643" s="5" t="str">
        <f aca="false">IF(A1643="","",IF(COUNTIFS($X$2:$X$2001,X1643,$D$2:$D$2001,"&lt;&gt;"&amp;D1643,$C$2:$C$2001,C1643)&gt;0,"SIM","NAO"))</f>
        <v/>
      </c>
      <c r="Z1643" s="5" t="str">
        <f aca="false">IF(A1643="","",IF(J1643="","",IFERROR(360/J1643,"")))</f>
        <v/>
      </c>
      <c r="AA1643" s="5" t="str">
        <f aca="false">IF(A1643="","",IF(H1643=0,"Parado (sem venda 90d)",IF(Z1643&gt;12,"Alto (&gt;12x/ano)",IF(Z1643&gt;=4,"Medio (4-12x/ano)","Baixo (&lt;4x/ano)"))))</f>
        <v/>
      </c>
    </row>
    <row r="1644" customFormat="false" ht="15" hidden="false" customHeight="true" outlineLevel="0" collapsed="false">
      <c r="A1644" s="6"/>
      <c r="B1644" s="6"/>
      <c r="C1644" s="6"/>
      <c r="D1644" s="6"/>
      <c r="E1644" s="6"/>
      <c r="F1644" s="6"/>
      <c r="G1644" s="6"/>
      <c r="H1644" s="6"/>
      <c r="I1644" s="6"/>
      <c r="J1644" s="6"/>
      <c r="K1644" s="18"/>
      <c r="L1644" s="19" t="str">
        <f aca="false">IF(A1644="","",G1644*K1644)</f>
        <v/>
      </c>
      <c r="M1644" s="20"/>
      <c r="N1644" s="6"/>
      <c r="O1644" s="6"/>
      <c r="P1644" s="5" t="str">
        <f aca="false">IF(A1644="","",H1644/90)</f>
        <v/>
      </c>
      <c r="Q1644" s="5" t="str">
        <f aca="false">IF(A1644="","",IFERROR(INDEX(Parâmetros!$C$6:$C$10,MATCH(F1644,Parâmetros!$B$6:$B$10,0)),""))</f>
        <v/>
      </c>
      <c r="R1644" s="5" t="str">
        <f aca="false">IF(OR(A1644="",P1644="",Q1644=""),"",P1644*Q1644)</f>
        <v/>
      </c>
      <c r="S1644" s="5" t="str">
        <f aca="false">IF(R1644="","",MAX(0,R1644-G1644))</f>
        <v/>
      </c>
      <c r="T1644" s="21" t="str">
        <f aca="false">IF(S1644="","",S1644*K1644)</f>
        <v/>
      </c>
      <c r="U1644" s="5" t="str">
        <f aca="false">IF(A1644="","",IF(J1644&gt;Parâmetros!$C$14,"SIM","NAO"))</f>
        <v/>
      </c>
      <c r="V1644" s="5" t="str">
        <f aca="false">IF(B1644="","",TRIM(LEFT(B1644,IFERROR(FIND(" ",B1644)-1,LEN(B1644)))))</f>
        <v/>
      </c>
      <c r="W1644" s="22"/>
      <c r="X1644" s="5" t="str">
        <f aca="false">IF(A1644="","",IF(W1644&lt;&gt;"",W1644,V1644))</f>
        <v/>
      </c>
      <c r="Y1644" s="5" t="str">
        <f aca="false">IF(A1644="","",IF(COUNTIFS($X$2:$X$2001,X1644,$D$2:$D$2001,"&lt;&gt;"&amp;D1644,$C$2:$C$2001,C1644)&gt;0,"SIM","NAO"))</f>
        <v/>
      </c>
      <c r="Z1644" s="5" t="str">
        <f aca="false">IF(A1644="","",IF(J1644="","",IFERROR(360/J1644,"")))</f>
        <v/>
      </c>
      <c r="AA1644" s="5" t="str">
        <f aca="false">IF(A1644="","",IF(H1644=0,"Parado (sem venda 90d)",IF(Z1644&gt;12,"Alto (&gt;12x/ano)",IF(Z1644&gt;=4,"Medio (4-12x/ano)","Baixo (&lt;4x/ano)"))))</f>
        <v/>
      </c>
    </row>
    <row r="1645" customFormat="false" ht="15" hidden="false" customHeight="true" outlineLevel="0" collapsed="false">
      <c r="A1645" s="6"/>
      <c r="B1645" s="6"/>
      <c r="C1645" s="6"/>
      <c r="D1645" s="6"/>
      <c r="E1645" s="6"/>
      <c r="F1645" s="6"/>
      <c r="G1645" s="6"/>
      <c r="H1645" s="6"/>
      <c r="I1645" s="6"/>
      <c r="J1645" s="6"/>
      <c r="K1645" s="18"/>
      <c r="L1645" s="19" t="str">
        <f aca="false">IF(A1645="","",G1645*K1645)</f>
        <v/>
      </c>
      <c r="M1645" s="20"/>
      <c r="N1645" s="6"/>
      <c r="O1645" s="6"/>
      <c r="P1645" s="5" t="str">
        <f aca="false">IF(A1645="","",H1645/90)</f>
        <v/>
      </c>
      <c r="Q1645" s="5" t="str">
        <f aca="false">IF(A1645="","",IFERROR(INDEX(Parâmetros!$C$6:$C$10,MATCH(F1645,Parâmetros!$B$6:$B$10,0)),""))</f>
        <v/>
      </c>
      <c r="R1645" s="5" t="str">
        <f aca="false">IF(OR(A1645="",P1645="",Q1645=""),"",P1645*Q1645)</f>
        <v/>
      </c>
      <c r="S1645" s="5" t="str">
        <f aca="false">IF(R1645="","",MAX(0,R1645-G1645))</f>
        <v/>
      </c>
      <c r="T1645" s="21" t="str">
        <f aca="false">IF(S1645="","",S1645*K1645)</f>
        <v/>
      </c>
      <c r="U1645" s="5" t="str">
        <f aca="false">IF(A1645="","",IF(J1645&gt;Parâmetros!$C$14,"SIM","NAO"))</f>
        <v/>
      </c>
      <c r="V1645" s="5" t="str">
        <f aca="false">IF(B1645="","",TRIM(LEFT(B1645,IFERROR(FIND(" ",B1645)-1,LEN(B1645)))))</f>
        <v/>
      </c>
      <c r="W1645" s="22"/>
      <c r="X1645" s="5" t="str">
        <f aca="false">IF(A1645="","",IF(W1645&lt;&gt;"",W1645,V1645))</f>
        <v/>
      </c>
      <c r="Y1645" s="5" t="str">
        <f aca="false">IF(A1645="","",IF(COUNTIFS($X$2:$X$2001,X1645,$D$2:$D$2001,"&lt;&gt;"&amp;D1645,$C$2:$C$2001,C1645)&gt;0,"SIM","NAO"))</f>
        <v/>
      </c>
      <c r="Z1645" s="5" t="str">
        <f aca="false">IF(A1645="","",IF(J1645="","",IFERROR(360/J1645,"")))</f>
        <v/>
      </c>
      <c r="AA1645" s="5" t="str">
        <f aca="false">IF(A1645="","",IF(H1645=0,"Parado (sem venda 90d)",IF(Z1645&gt;12,"Alto (&gt;12x/ano)",IF(Z1645&gt;=4,"Medio (4-12x/ano)","Baixo (&lt;4x/ano)"))))</f>
        <v/>
      </c>
    </row>
    <row r="1646" customFormat="false" ht="15" hidden="false" customHeight="true" outlineLevel="0" collapsed="false">
      <c r="A1646" s="6"/>
      <c r="B1646" s="6"/>
      <c r="C1646" s="6"/>
      <c r="D1646" s="6"/>
      <c r="E1646" s="6"/>
      <c r="F1646" s="6"/>
      <c r="G1646" s="6"/>
      <c r="H1646" s="6"/>
      <c r="I1646" s="6"/>
      <c r="J1646" s="6"/>
      <c r="K1646" s="18"/>
      <c r="L1646" s="19" t="str">
        <f aca="false">IF(A1646="","",G1646*K1646)</f>
        <v/>
      </c>
      <c r="M1646" s="20"/>
      <c r="N1646" s="6"/>
      <c r="O1646" s="6"/>
      <c r="P1646" s="5" t="str">
        <f aca="false">IF(A1646="","",H1646/90)</f>
        <v/>
      </c>
      <c r="Q1646" s="5" t="str">
        <f aca="false">IF(A1646="","",IFERROR(INDEX(Parâmetros!$C$6:$C$10,MATCH(F1646,Parâmetros!$B$6:$B$10,0)),""))</f>
        <v/>
      </c>
      <c r="R1646" s="5" t="str">
        <f aca="false">IF(OR(A1646="",P1646="",Q1646=""),"",P1646*Q1646)</f>
        <v/>
      </c>
      <c r="S1646" s="5" t="str">
        <f aca="false">IF(R1646="","",MAX(0,R1646-G1646))</f>
        <v/>
      </c>
      <c r="T1646" s="21" t="str">
        <f aca="false">IF(S1646="","",S1646*K1646)</f>
        <v/>
      </c>
      <c r="U1646" s="5" t="str">
        <f aca="false">IF(A1646="","",IF(J1646&gt;Parâmetros!$C$14,"SIM","NAO"))</f>
        <v/>
      </c>
      <c r="V1646" s="5" t="str">
        <f aca="false">IF(B1646="","",TRIM(LEFT(B1646,IFERROR(FIND(" ",B1646)-1,LEN(B1646)))))</f>
        <v/>
      </c>
      <c r="W1646" s="22"/>
      <c r="X1646" s="5" t="str">
        <f aca="false">IF(A1646="","",IF(W1646&lt;&gt;"",W1646,V1646))</f>
        <v/>
      </c>
      <c r="Y1646" s="5" t="str">
        <f aca="false">IF(A1646="","",IF(COUNTIFS($X$2:$X$2001,X1646,$D$2:$D$2001,"&lt;&gt;"&amp;D1646,$C$2:$C$2001,C1646)&gt;0,"SIM","NAO"))</f>
        <v/>
      </c>
      <c r="Z1646" s="5" t="str">
        <f aca="false">IF(A1646="","",IF(J1646="","",IFERROR(360/J1646,"")))</f>
        <v/>
      </c>
      <c r="AA1646" s="5" t="str">
        <f aca="false">IF(A1646="","",IF(H1646=0,"Parado (sem venda 90d)",IF(Z1646&gt;12,"Alto (&gt;12x/ano)",IF(Z1646&gt;=4,"Medio (4-12x/ano)","Baixo (&lt;4x/ano)"))))</f>
        <v/>
      </c>
    </row>
    <row r="1647" customFormat="false" ht="15" hidden="false" customHeight="true" outlineLevel="0" collapsed="false">
      <c r="A1647" s="6"/>
      <c r="B1647" s="6"/>
      <c r="C1647" s="6"/>
      <c r="D1647" s="6"/>
      <c r="E1647" s="6"/>
      <c r="F1647" s="6"/>
      <c r="G1647" s="6"/>
      <c r="H1647" s="6"/>
      <c r="I1647" s="6"/>
      <c r="J1647" s="6"/>
      <c r="K1647" s="18"/>
      <c r="L1647" s="19" t="str">
        <f aca="false">IF(A1647="","",G1647*K1647)</f>
        <v/>
      </c>
      <c r="M1647" s="20"/>
      <c r="N1647" s="6"/>
      <c r="O1647" s="6"/>
      <c r="P1647" s="5" t="str">
        <f aca="false">IF(A1647="","",H1647/90)</f>
        <v/>
      </c>
      <c r="Q1647" s="5" t="str">
        <f aca="false">IF(A1647="","",IFERROR(INDEX(Parâmetros!$C$6:$C$10,MATCH(F1647,Parâmetros!$B$6:$B$10,0)),""))</f>
        <v/>
      </c>
      <c r="R1647" s="5" t="str">
        <f aca="false">IF(OR(A1647="",P1647="",Q1647=""),"",P1647*Q1647)</f>
        <v/>
      </c>
      <c r="S1647" s="5" t="str">
        <f aca="false">IF(R1647="","",MAX(0,R1647-G1647))</f>
        <v/>
      </c>
      <c r="T1647" s="21" t="str">
        <f aca="false">IF(S1647="","",S1647*K1647)</f>
        <v/>
      </c>
      <c r="U1647" s="5" t="str">
        <f aca="false">IF(A1647="","",IF(J1647&gt;Parâmetros!$C$14,"SIM","NAO"))</f>
        <v/>
      </c>
      <c r="V1647" s="5" t="str">
        <f aca="false">IF(B1647="","",TRIM(LEFT(B1647,IFERROR(FIND(" ",B1647)-1,LEN(B1647)))))</f>
        <v/>
      </c>
      <c r="W1647" s="22"/>
      <c r="X1647" s="5" t="str">
        <f aca="false">IF(A1647="","",IF(W1647&lt;&gt;"",W1647,V1647))</f>
        <v/>
      </c>
      <c r="Y1647" s="5" t="str">
        <f aca="false">IF(A1647="","",IF(COUNTIFS($X$2:$X$2001,X1647,$D$2:$D$2001,"&lt;&gt;"&amp;D1647,$C$2:$C$2001,C1647)&gt;0,"SIM","NAO"))</f>
        <v/>
      </c>
      <c r="Z1647" s="5" t="str">
        <f aca="false">IF(A1647="","",IF(J1647="","",IFERROR(360/J1647,"")))</f>
        <v/>
      </c>
      <c r="AA1647" s="5" t="str">
        <f aca="false">IF(A1647="","",IF(H1647=0,"Parado (sem venda 90d)",IF(Z1647&gt;12,"Alto (&gt;12x/ano)",IF(Z1647&gt;=4,"Medio (4-12x/ano)","Baixo (&lt;4x/ano)"))))</f>
        <v/>
      </c>
    </row>
    <row r="1648" customFormat="false" ht="15" hidden="false" customHeight="true" outlineLevel="0" collapsed="false">
      <c r="A1648" s="6"/>
      <c r="B1648" s="6"/>
      <c r="C1648" s="6"/>
      <c r="D1648" s="6"/>
      <c r="E1648" s="6"/>
      <c r="F1648" s="6"/>
      <c r="G1648" s="6"/>
      <c r="H1648" s="6"/>
      <c r="I1648" s="6"/>
      <c r="J1648" s="6"/>
      <c r="K1648" s="18"/>
      <c r="L1648" s="19" t="str">
        <f aca="false">IF(A1648="","",G1648*K1648)</f>
        <v/>
      </c>
      <c r="M1648" s="20"/>
      <c r="N1648" s="6"/>
      <c r="O1648" s="6"/>
      <c r="P1648" s="5" t="str">
        <f aca="false">IF(A1648="","",H1648/90)</f>
        <v/>
      </c>
      <c r="Q1648" s="5" t="str">
        <f aca="false">IF(A1648="","",IFERROR(INDEX(Parâmetros!$C$6:$C$10,MATCH(F1648,Parâmetros!$B$6:$B$10,0)),""))</f>
        <v/>
      </c>
      <c r="R1648" s="5" t="str">
        <f aca="false">IF(OR(A1648="",P1648="",Q1648=""),"",P1648*Q1648)</f>
        <v/>
      </c>
      <c r="S1648" s="5" t="str">
        <f aca="false">IF(R1648="","",MAX(0,R1648-G1648))</f>
        <v/>
      </c>
      <c r="T1648" s="21" t="str">
        <f aca="false">IF(S1648="","",S1648*K1648)</f>
        <v/>
      </c>
      <c r="U1648" s="5" t="str">
        <f aca="false">IF(A1648="","",IF(J1648&gt;Parâmetros!$C$14,"SIM","NAO"))</f>
        <v/>
      </c>
      <c r="V1648" s="5" t="str">
        <f aca="false">IF(B1648="","",TRIM(LEFT(B1648,IFERROR(FIND(" ",B1648)-1,LEN(B1648)))))</f>
        <v/>
      </c>
      <c r="W1648" s="22"/>
      <c r="X1648" s="5" t="str">
        <f aca="false">IF(A1648="","",IF(W1648&lt;&gt;"",W1648,V1648))</f>
        <v/>
      </c>
      <c r="Y1648" s="5" t="str">
        <f aca="false">IF(A1648="","",IF(COUNTIFS($X$2:$X$2001,X1648,$D$2:$D$2001,"&lt;&gt;"&amp;D1648,$C$2:$C$2001,C1648)&gt;0,"SIM","NAO"))</f>
        <v/>
      </c>
      <c r="Z1648" s="5" t="str">
        <f aca="false">IF(A1648="","",IF(J1648="","",IFERROR(360/J1648,"")))</f>
        <v/>
      </c>
      <c r="AA1648" s="5" t="str">
        <f aca="false">IF(A1648="","",IF(H1648=0,"Parado (sem venda 90d)",IF(Z1648&gt;12,"Alto (&gt;12x/ano)",IF(Z1648&gt;=4,"Medio (4-12x/ano)","Baixo (&lt;4x/ano)"))))</f>
        <v/>
      </c>
    </row>
    <row r="1649" customFormat="false" ht="15" hidden="false" customHeight="true" outlineLevel="0" collapsed="false">
      <c r="A1649" s="6"/>
      <c r="B1649" s="6"/>
      <c r="C1649" s="6"/>
      <c r="D1649" s="6"/>
      <c r="E1649" s="6"/>
      <c r="F1649" s="6"/>
      <c r="G1649" s="6"/>
      <c r="H1649" s="6"/>
      <c r="I1649" s="6"/>
      <c r="J1649" s="6"/>
      <c r="K1649" s="18"/>
      <c r="L1649" s="19" t="str">
        <f aca="false">IF(A1649="","",G1649*K1649)</f>
        <v/>
      </c>
      <c r="M1649" s="20"/>
      <c r="N1649" s="6"/>
      <c r="O1649" s="6"/>
      <c r="P1649" s="5" t="str">
        <f aca="false">IF(A1649="","",H1649/90)</f>
        <v/>
      </c>
      <c r="Q1649" s="5" t="str">
        <f aca="false">IF(A1649="","",IFERROR(INDEX(Parâmetros!$C$6:$C$10,MATCH(F1649,Parâmetros!$B$6:$B$10,0)),""))</f>
        <v/>
      </c>
      <c r="R1649" s="5" t="str">
        <f aca="false">IF(OR(A1649="",P1649="",Q1649=""),"",P1649*Q1649)</f>
        <v/>
      </c>
      <c r="S1649" s="5" t="str">
        <f aca="false">IF(R1649="","",MAX(0,R1649-G1649))</f>
        <v/>
      </c>
      <c r="T1649" s="21" t="str">
        <f aca="false">IF(S1649="","",S1649*K1649)</f>
        <v/>
      </c>
      <c r="U1649" s="5" t="str">
        <f aca="false">IF(A1649="","",IF(J1649&gt;Parâmetros!$C$14,"SIM","NAO"))</f>
        <v/>
      </c>
      <c r="V1649" s="5" t="str">
        <f aca="false">IF(B1649="","",TRIM(LEFT(B1649,IFERROR(FIND(" ",B1649)-1,LEN(B1649)))))</f>
        <v/>
      </c>
      <c r="W1649" s="22"/>
      <c r="X1649" s="5" t="str">
        <f aca="false">IF(A1649="","",IF(W1649&lt;&gt;"",W1649,V1649))</f>
        <v/>
      </c>
      <c r="Y1649" s="5" t="str">
        <f aca="false">IF(A1649="","",IF(COUNTIFS($X$2:$X$2001,X1649,$D$2:$D$2001,"&lt;&gt;"&amp;D1649,$C$2:$C$2001,C1649)&gt;0,"SIM","NAO"))</f>
        <v/>
      </c>
      <c r="Z1649" s="5" t="str">
        <f aca="false">IF(A1649="","",IF(J1649="","",IFERROR(360/J1649,"")))</f>
        <v/>
      </c>
      <c r="AA1649" s="5" t="str">
        <f aca="false">IF(A1649="","",IF(H1649=0,"Parado (sem venda 90d)",IF(Z1649&gt;12,"Alto (&gt;12x/ano)",IF(Z1649&gt;=4,"Medio (4-12x/ano)","Baixo (&lt;4x/ano)"))))</f>
        <v/>
      </c>
    </row>
    <row r="1650" customFormat="false" ht="15" hidden="false" customHeight="true" outlineLevel="0" collapsed="false">
      <c r="A1650" s="6"/>
      <c r="B1650" s="6"/>
      <c r="C1650" s="6"/>
      <c r="D1650" s="6"/>
      <c r="E1650" s="6"/>
      <c r="F1650" s="6"/>
      <c r="G1650" s="6"/>
      <c r="H1650" s="6"/>
      <c r="I1650" s="6"/>
      <c r="J1650" s="6"/>
      <c r="K1650" s="18"/>
      <c r="L1650" s="19" t="str">
        <f aca="false">IF(A1650="","",G1650*K1650)</f>
        <v/>
      </c>
      <c r="M1650" s="20"/>
      <c r="N1650" s="6"/>
      <c r="O1650" s="6"/>
      <c r="P1650" s="5" t="str">
        <f aca="false">IF(A1650="","",H1650/90)</f>
        <v/>
      </c>
      <c r="Q1650" s="5" t="str">
        <f aca="false">IF(A1650="","",IFERROR(INDEX(Parâmetros!$C$6:$C$10,MATCH(F1650,Parâmetros!$B$6:$B$10,0)),""))</f>
        <v/>
      </c>
      <c r="R1650" s="5" t="str">
        <f aca="false">IF(OR(A1650="",P1650="",Q1650=""),"",P1650*Q1650)</f>
        <v/>
      </c>
      <c r="S1650" s="5" t="str">
        <f aca="false">IF(R1650="","",MAX(0,R1650-G1650))</f>
        <v/>
      </c>
      <c r="T1650" s="21" t="str">
        <f aca="false">IF(S1650="","",S1650*K1650)</f>
        <v/>
      </c>
      <c r="U1650" s="5" t="str">
        <f aca="false">IF(A1650="","",IF(J1650&gt;Parâmetros!$C$14,"SIM","NAO"))</f>
        <v/>
      </c>
      <c r="V1650" s="5" t="str">
        <f aca="false">IF(B1650="","",TRIM(LEFT(B1650,IFERROR(FIND(" ",B1650)-1,LEN(B1650)))))</f>
        <v/>
      </c>
      <c r="W1650" s="22"/>
      <c r="X1650" s="5" t="str">
        <f aca="false">IF(A1650="","",IF(W1650&lt;&gt;"",W1650,V1650))</f>
        <v/>
      </c>
      <c r="Y1650" s="5" t="str">
        <f aca="false">IF(A1650="","",IF(COUNTIFS($X$2:$X$2001,X1650,$D$2:$D$2001,"&lt;&gt;"&amp;D1650,$C$2:$C$2001,C1650)&gt;0,"SIM","NAO"))</f>
        <v/>
      </c>
      <c r="Z1650" s="5" t="str">
        <f aca="false">IF(A1650="","",IF(J1650="","",IFERROR(360/J1650,"")))</f>
        <v/>
      </c>
      <c r="AA1650" s="5" t="str">
        <f aca="false">IF(A1650="","",IF(H1650=0,"Parado (sem venda 90d)",IF(Z1650&gt;12,"Alto (&gt;12x/ano)",IF(Z1650&gt;=4,"Medio (4-12x/ano)","Baixo (&lt;4x/ano)"))))</f>
        <v/>
      </c>
    </row>
    <row r="1651" customFormat="false" ht="15" hidden="false" customHeight="true" outlineLevel="0" collapsed="false">
      <c r="A1651" s="6"/>
      <c r="B1651" s="6"/>
      <c r="C1651" s="6"/>
      <c r="D1651" s="6"/>
      <c r="E1651" s="6"/>
      <c r="F1651" s="6"/>
      <c r="G1651" s="6"/>
      <c r="H1651" s="6"/>
      <c r="I1651" s="6"/>
      <c r="J1651" s="6"/>
      <c r="K1651" s="18"/>
      <c r="L1651" s="19" t="str">
        <f aca="false">IF(A1651="","",G1651*K1651)</f>
        <v/>
      </c>
      <c r="M1651" s="20"/>
      <c r="N1651" s="6"/>
      <c r="O1651" s="6"/>
      <c r="P1651" s="5" t="str">
        <f aca="false">IF(A1651="","",H1651/90)</f>
        <v/>
      </c>
      <c r="Q1651" s="5" t="str">
        <f aca="false">IF(A1651="","",IFERROR(INDEX(Parâmetros!$C$6:$C$10,MATCH(F1651,Parâmetros!$B$6:$B$10,0)),""))</f>
        <v/>
      </c>
      <c r="R1651" s="5" t="str">
        <f aca="false">IF(OR(A1651="",P1651="",Q1651=""),"",P1651*Q1651)</f>
        <v/>
      </c>
      <c r="S1651" s="5" t="str">
        <f aca="false">IF(R1651="","",MAX(0,R1651-G1651))</f>
        <v/>
      </c>
      <c r="T1651" s="21" t="str">
        <f aca="false">IF(S1651="","",S1651*K1651)</f>
        <v/>
      </c>
      <c r="U1651" s="5" t="str">
        <f aca="false">IF(A1651="","",IF(J1651&gt;Parâmetros!$C$14,"SIM","NAO"))</f>
        <v/>
      </c>
      <c r="V1651" s="5" t="str">
        <f aca="false">IF(B1651="","",TRIM(LEFT(B1651,IFERROR(FIND(" ",B1651)-1,LEN(B1651)))))</f>
        <v/>
      </c>
      <c r="W1651" s="22"/>
      <c r="X1651" s="5" t="str">
        <f aca="false">IF(A1651="","",IF(W1651&lt;&gt;"",W1651,V1651))</f>
        <v/>
      </c>
      <c r="Y1651" s="5" t="str">
        <f aca="false">IF(A1651="","",IF(COUNTIFS($X$2:$X$2001,X1651,$D$2:$D$2001,"&lt;&gt;"&amp;D1651,$C$2:$C$2001,C1651)&gt;0,"SIM","NAO"))</f>
        <v/>
      </c>
      <c r="Z1651" s="5" t="str">
        <f aca="false">IF(A1651="","",IF(J1651="","",IFERROR(360/J1651,"")))</f>
        <v/>
      </c>
      <c r="AA1651" s="5" t="str">
        <f aca="false">IF(A1651="","",IF(H1651=0,"Parado (sem venda 90d)",IF(Z1651&gt;12,"Alto (&gt;12x/ano)",IF(Z1651&gt;=4,"Medio (4-12x/ano)","Baixo (&lt;4x/ano)"))))</f>
        <v/>
      </c>
    </row>
    <row r="1652" customFormat="false" ht="15" hidden="false" customHeight="true" outlineLevel="0" collapsed="false">
      <c r="A1652" s="6"/>
      <c r="B1652" s="6"/>
      <c r="C1652" s="6"/>
      <c r="D1652" s="6"/>
      <c r="E1652" s="6"/>
      <c r="F1652" s="6"/>
      <c r="G1652" s="6"/>
      <c r="H1652" s="6"/>
      <c r="I1652" s="6"/>
      <c r="J1652" s="6"/>
      <c r="K1652" s="18"/>
      <c r="L1652" s="19" t="str">
        <f aca="false">IF(A1652="","",G1652*K1652)</f>
        <v/>
      </c>
      <c r="M1652" s="20"/>
      <c r="N1652" s="6"/>
      <c r="O1652" s="6"/>
      <c r="P1652" s="5" t="str">
        <f aca="false">IF(A1652="","",H1652/90)</f>
        <v/>
      </c>
      <c r="Q1652" s="5" t="str">
        <f aca="false">IF(A1652="","",IFERROR(INDEX(Parâmetros!$C$6:$C$10,MATCH(F1652,Parâmetros!$B$6:$B$10,0)),""))</f>
        <v/>
      </c>
      <c r="R1652" s="5" t="str">
        <f aca="false">IF(OR(A1652="",P1652="",Q1652=""),"",P1652*Q1652)</f>
        <v/>
      </c>
      <c r="S1652" s="5" t="str">
        <f aca="false">IF(R1652="","",MAX(0,R1652-G1652))</f>
        <v/>
      </c>
      <c r="T1652" s="21" t="str">
        <f aca="false">IF(S1652="","",S1652*K1652)</f>
        <v/>
      </c>
      <c r="U1652" s="5" t="str">
        <f aca="false">IF(A1652="","",IF(J1652&gt;Parâmetros!$C$14,"SIM","NAO"))</f>
        <v/>
      </c>
      <c r="V1652" s="5" t="str">
        <f aca="false">IF(B1652="","",TRIM(LEFT(B1652,IFERROR(FIND(" ",B1652)-1,LEN(B1652)))))</f>
        <v/>
      </c>
      <c r="W1652" s="22"/>
      <c r="X1652" s="5" t="str">
        <f aca="false">IF(A1652="","",IF(W1652&lt;&gt;"",W1652,V1652))</f>
        <v/>
      </c>
      <c r="Y1652" s="5" t="str">
        <f aca="false">IF(A1652="","",IF(COUNTIFS($X$2:$X$2001,X1652,$D$2:$D$2001,"&lt;&gt;"&amp;D1652,$C$2:$C$2001,C1652)&gt;0,"SIM","NAO"))</f>
        <v/>
      </c>
      <c r="Z1652" s="5" t="str">
        <f aca="false">IF(A1652="","",IF(J1652="","",IFERROR(360/J1652,"")))</f>
        <v/>
      </c>
      <c r="AA1652" s="5" t="str">
        <f aca="false">IF(A1652="","",IF(H1652=0,"Parado (sem venda 90d)",IF(Z1652&gt;12,"Alto (&gt;12x/ano)",IF(Z1652&gt;=4,"Medio (4-12x/ano)","Baixo (&lt;4x/ano)"))))</f>
        <v/>
      </c>
    </row>
    <row r="1653" customFormat="false" ht="15" hidden="false" customHeight="true" outlineLevel="0" collapsed="false">
      <c r="A1653" s="6"/>
      <c r="B1653" s="6"/>
      <c r="C1653" s="6"/>
      <c r="D1653" s="6"/>
      <c r="E1653" s="6"/>
      <c r="F1653" s="6"/>
      <c r="G1653" s="6"/>
      <c r="H1653" s="6"/>
      <c r="I1653" s="6"/>
      <c r="J1653" s="6"/>
      <c r="K1653" s="18"/>
      <c r="L1653" s="19" t="str">
        <f aca="false">IF(A1653="","",G1653*K1653)</f>
        <v/>
      </c>
      <c r="M1653" s="20"/>
      <c r="N1653" s="6"/>
      <c r="O1653" s="6"/>
      <c r="P1653" s="5" t="str">
        <f aca="false">IF(A1653="","",H1653/90)</f>
        <v/>
      </c>
      <c r="Q1653" s="5" t="str">
        <f aca="false">IF(A1653="","",IFERROR(INDEX(Parâmetros!$C$6:$C$10,MATCH(F1653,Parâmetros!$B$6:$B$10,0)),""))</f>
        <v/>
      </c>
      <c r="R1653" s="5" t="str">
        <f aca="false">IF(OR(A1653="",P1653="",Q1653=""),"",P1653*Q1653)</f>
        <v/>
      </c>
      <c r="S1653" s="5" t="str">
        <f aca="false">IF(R1653="","",MAX(0,R1653-G1653))</f>
        <v/>
      </c>
      <c r="T1653" s="21" t="str">
        <f aca="false">IF(S1653="","",S1653*K1653)</f>
        <v/>
      </c>
      <c r="U1653" s="5" t="str">
        <f aca="false">IF(A1653="","",IF(J1653&gt;Parâmetros!$C$14,"SIM","NAO"))</f>
        <v/>
      </c>
      <c r="V1653" s="5" t="str">
        <f aca="false">IF(B1653="","",TRIM(LEFT(B1653,IFERROR(FIND(" ",B1653)-1,LEN(B1653)))))</f>
        <v/>
      </c>
      <c r="W1653" s="22"/>
      <c r="X1653" s="5" t="str">
        <f aca="false">IF(A1653="","",IF(W1653&lt;&gt;"",W1653,V1653))</f>
        <v/>
      </c>
      <c r="Y1653" s="5" t="str">
        <f aca="false">IF(A1653="","",IF(COUNTIFS($X$2:$X$2001,X1653,$D$2:$D$2001,"&lt;&gt;"&amp;D1653,$C$2:$C$2001,C1653)&gt;0,"SIM","NAO"))</f>
        <v/>
      </c>
      <c r="Z1653" s="5" t="str">
        <f aca="false">IF(A1653="","",IF(J1653="","",IFERROR(360/J1653,"")))</f>
        <v/>
      </c>
      <c r="AA1653" s="5" t="str">
        <f aca="false">IF(A1653="","",IF(H1653=0,"Parado (sem venda 90d)",IF(Z1653&gt;12,"Alto (&gt;12x/ano)",IF(Z1653&gt;=4,"Medio (4-12x/ano)","Baixo (&lt;4x/ano)"))))</f>
        <v/>
      </c>
    </row>
    <row r="1654" customFormat="false" ht="15" hidden="false" customHeight="true" outlineLevel="0" collapsed="false">
      <c r="A1654" s="6"/>
      <c r="B1654" s="6"/>
      <c r="C1654" s="6"/>
      <c r="D1654" s="6"/>
      <c r="E1654" s="6"/>
      <c r="F1654" s="6"/>
      <c r="G1654" s="6"/>
      <c r="H1654" s="6"/>
      <c r="I1654" s="6"/>
      <c r="J1654" s="6"/>
      <c r="K1654" s="18"/>
      <c r="L1654" s="19" t="str">
        <f aca="false">IF(A1654="","",G1654*K1654)</f>
        <v/>
      </c>
      <c r="M1654" s="20"/>
      <c r="N1654" s="6"/>
      <c r="O1654" s="6"/>
      <c r="P1654" s="5" t="str">
        <f aca="false">IF(A1654="","",H1654/90)</f>
        <v/>
      </c>
      <c r="Q1654" s="5" t="str">
        <f aca="false">IF(A1654="","",IFERROR(INDEX(Parâmetros!$C$6:$C$10,MATCH(F1654,Parâmetros!$B$6:$B$10,0)),""))</f>
        <v/>
      </c>
      <c r="R1654" s="5" t="str">
        <f aca="false">IF(OR(A1654="",P1654="",Q1654=""),"",P1654*Q1654)</f>
        <v/>
      </c>
      <c r="S1654" s="5" t="str">
        <f aca="false">IF(R1654="","",MAX(0,R1654-G1654))</f>
        <v/>
      </c>
      <c r="T1654" s="21" t="str">
        <f aca="false">IF(S1654="","",S1654*K1654)</f>
        <v/>
      </c>
      <c r="U1654" s="5" t="str">
        <f aca="false">IF(A1654="","",IF(J1654&gt;Parâmetros!$C$14,"SIM","NAO"))</f>
        <v/>
      </c>
      <c r="V1654" s="5" t="str">
        <f aca="false">IF(B1654="","",TRIM(LEFT(B1654,IFERROR(FIND(" ",B1654)-1,LEN(B1654)))))</f>
        <v/>
      </c>
      <c r="W1654" s="22"/>
      <c r="X1654" s="5" t="str">
        <f aca="false">IF(A1654="","",IF(W1654&lt;&gt;"",W1654,V1654))</f>
        <v/>
      </c>
      <c r="Y1654" s="5" t="str">
        <f aca="false">IF(A1654="","",IF(COUNTIFS($X$2:$X$2001,X1654,$D$2:$D$2001,"&lt;&gt;"&amp;D1654,$C$2:$C$2001,C1654)&gt;0,"SIM","NAO"))</f>
        <v/>
      </c>
      <c r="Z1654" s="5" t="str">
        <f aca="false">IF(A1654="","",IF(J1654="","",IFERROR(360/J1654,"")))</f>
        <v/>
      </c>
      <c r="AA1654" s="5" t="str">
        <f aca="false">IF(A1654="","",IF(H1654=0,"Parado (sem venda 90d)",IF(Z1654&gt;12,"Alto (&gt;12x/ano)",IF(Z1654&gt;=4,"Medio (4-12x/ano)","Baixo (&lt;4x/ano)"))))</f>
        <v/>
      </c>
    </row>
    <row r="1655" customFormat="false" ht="15" hidden="false" customHeight="true" outlineLevel="0" collapsed="false">
      <c r="A1655" s="6"/>
      <c r="B1655" s="6"/>
      <c r="C1655" s="6"/>
      <c r="D1655" s="6"/>
      <c r="E1655" s="6"/>
      <c r="F1655" s="6"/>
      <c r="G1655" s="6"/>
      <c r="H1655" s="6"/>
      <c r="I1655" s="6"/>
      <c r="J1655" s="6"/>
      <c r="K1655" s="18"/>
      <c r="L1655" s="19" t="str">
        <f aca="false">IF(A1655="","",G1655*K1655)</f>
        <v/>
      </c>
      <c r="M1655" s="20"/>
      <c r="N1655" s="6"/>
      <c r="O1655" s="6"/>
      <c r="P1655" s="5" t="str">
        <f aca="false">IF(A1655="","",H1655/90)</f>
        <v/>
      </c>
      <c r="Q1655" s="5" t="str">
        <f aca="false">IF(A1655="","",IFERROR(INDEX(Parâmetros!$C$6:$C$10,MATCH(F1655,Parâmetros!$B$6:$B$10,0)),""))</f>
        <v/>
      </c>
      <c r="R1655" s="5" t="str">
        <f aca="false">IF(OR(A1655="",P1655="",Q1655=""),"",P1655*Q1655)</f>
        <v/>
      </c>
      <c r="S1655" s="5" t="str">
        <f aca="false">IF(R1655="","",MAX(0,R1655-G1655))</f>
        <v/>
      </c>
      <c r="T1655" s="21" t="str">
        <f aca="false">IF(S1655="","",S1655*K1655)</f>
        <v/>
      </c>
      <c r="U1655" s="5" t="str">
        <f aca="false">IF(A1655="","",IF(J1655&gt;Parâmetros!$C$14,"SIM","NAO"))</f>
        <v/>
      </c>
      <c r="V1655" s="5" t="str">
        <f aca="false">IF(B1655="","",TRIM(LEFT(B1655,IFERROR(FIND(" ",B1655)-1,LEN(B1655)))))</f>
        <v/>
      </c>
      <c r="W1655" s="22"/>
      <c r="X1655" s="5" t="str">
        <f aca="false">IF(A1655="","",IF(W1655&lt;&gt;"",W1655,V1655))</f>
        <v/>
      </c>
      <c r="Y1655" s="5" t="str">
        <f aca="false">IF(A1655="","",IF(COUNTIFS($X$2:$X$2001,X1655,$D$2:$D$2001,"&lt;&gt;"&amp;D1655,$C$2:$C$2001,C1655)&gt;0,"SIM","NAO"))</f>
        <v/>
      </c>
      <c r="Z1655" s="5" t="str">
        <f aca="false">IF(A1655="","",IF(J1655="","",IFERROR(360/J1655,"")))</f>
        <v/>
      </c>
      <c r="AA1655" s="5" t="str">
        <f aca="false">IF(A1655="","",IF(H1655=0,"Parado (sem venda 90d)",IF(Z1655&gt;12,"Alto (&gt;12x/ano)",IF(Z1655&gt;=4,"Medio (4-12x/ano)","Baixo (&lt;4x/ano)"))))</f>
        <v/>
      </c>
    </row>
    <row r="1656" customFormat="false" ht="15" hidden="false" customHeight="true" outlineLevel="0" collapsed="false">
      <c r="A1656" s="6"/>
      <c r="B1656" s="6"/>
      <c r="C1656" s="6"/>
      <c r="D1656" s="6"/>
      <c r="E1656" s="6"/>
      <c r="F1656" s="6"/>
      <c r="G1656" s="6"/>
      <c r="H1656" s="6"/>
      <c r="I1656" s="6"/>
      <c r="J1656" s="6"/>
      <c r="K1656" s="18"/>
      <c r="L1656" s="19" t="str">
        <f aca="false">IF(A1656="","",G1656*K1656)</f>
        <v/>
      </c>
      <c r="M1656" s="20"/>
      <c r="N1656" s="6"/>
      <c r="O1656" s="6"/>
      <c r="P1656" s="5" t="str">
        <f aca="false">IF(A1656="","",H1656/90)</f>
        <v/>
      </c>
      <c r="Q1656" s="5" t="str">
        <f aca="false">IF(A1656="","",IFERROR(INDEX(Parâmetros!$C$6:$C$10,MATCH(F1656,Parâmetros!$B$6:$B$10,0)),""))</f>
        <v/>
      </c>
      <c r="R1656" s="5" t="str">
        <f aca="false">IF(OR(A1656="",P1656="",Q1656=""),"",P1656*Q1656)</f>
        <v/>
      </c>
      <c r="S1656" s="5" t="str">
        <f aca="false">IF(R1656="","",MAX(0,R1656-G1656))</f>
        <v/>
      </c>
      <c r="T1656" s="21" t="str">
        <f aca="false">IF(S1656="","",S1656*K1656)</f>
        <v/>
      </c>
      <c r="U1656" s="5" t="str">
        <f aca="false">IF(A1656="","",IF(J1656&gt;Parâmetros!$C$14,"SIM","NAO"))</f>
        <v/>
      </c>
      <c r="V1656" s="5" t="str">
        <f aca="false">IF(B1656="","",TRIM(LEFT(B1656,IFERROR(FIND(" ",B1656)-1,LEN(B1656)))))</f>
        <v/>
      </c>
      <c r="W1656" s="22"/>
      <c r="X1656" s="5" t="str">
        <f aca="false">IF(A1656="","",IF(W1656&lt;&gt;"",W1656,V1656))</f>
        <v/>
      </c>
      <c r="Y1656" s="5" t="str">
        <f aca="false">IF(A1656="","",IF(COUNTIFS($X$2:$X$2001,X1656,$D$2:$D$2001,"&lt;&gt;"&amp;D1656,$C$2:$C$2001,C1656)&gt;0,"SIM","NAO"))</f>
        <v/>
      </c>
      <c r="Z1656" s="5" t="str">
        <f aca="false">IF(A1656="","",IF(J1656="","",IFERROR(360/J1656,"")))</f>
        <v/>
      </c>
      <c r="AA1656" s="5" t="str">
        <f aca="false">IF(A1656="","",IF(H1656=0,"Parado (sem venda 90d)",IF(Z1656&gt;12,"Alto (&gt;12x/ano)",IF(Z1656&gt;=4,"Medio (4-12x/ano)","Baixo (&lt;4x/ano)"))))</f>
        <v/>
      </c>
    </row>
    <row r="1657" customFormat="false" ht="15" hidden="false" customHeight="true" outlineLevel="0" collapsed="false">
      <c r="A1657" s="6"/>
      <c r="B1657" s="6"/>
      <c r="C1657" s="6"/>
      <c r="D1657" s="6"/>
      <c r="E1657" s="6"/>
      <c r="F1657" s="6"/>
      <c r="G1657" s="6"/>
      <c r="H1657" s="6"/>
      <c r="I1657" s="6"/>
      <c r="J1657" s="6"/>
      <c r="K1657" s="18"/>
      <c r="L1657" s="19" t="str">
        <f aca="false">IF(A1657="","",G1657*K1657)</f>
        <v/>
      </c>
      <c r="M1657" s="20"/>
      <c r="N1657" s="6"/>
      <c r="O1657" s="6"/>
      <c r="P1657" s="5" t="str">
        <f aca="false">IF(A1657="","",H1657/90)</f>
        <v/>
      </c>
      <c r="Q1657" s="5" t="str">
        <f aca="false">IF(A1657="","",IFERROR(INDEX(Parâmetros!$C$6:$C$10,MATCH(F1657,Parâmetros!$B$6:$B$10,0)),""))</f>
        <v/>
      </c>
      <c r="R1657" s="5" t="str">
        <f aca="false">IF(OR(A1657="",P1657="",Q1657=""),"",P1657*Q1657)</f>
        <v/>
      </c>
      <c r="S1657" s="5" t="str">
        <f aca="false">IF(R1657="","",MAX(0,R1657-G1657))</f>
        <v/>
      </c>
      <c r="T1657" s="21" t="str">
        <f aca="false">IF(S1657="","",S1657*K1657)</f>
        <v/>
      </c>
      <c r="U1657" s="5" t="str">
        <f aca="false">IF(A1657="","",IF(J1657&gt;Parâmetros!$C$14,"SIM","NAO"))</f>
        <v/>
      </c>
      <c r="V1657" s="5" t="str">
        <f aca="false">IF(B1657="","",TRIM(LEFT(B1657,IFERROR(FIND(" ",B1657)-1,LEN(B1657)))))</f>
        <v/>
      </c>
      <c r="W1657" s="22"/>
      <c r="X1657" s="5" t="str">
        <f aca="false">IF(A1657="","",IF(W1657&lt;&gt;"",W1657,V1657))</f>
        <v/>
      </c>
      <c r="Y1657" s="5" t="str">
        <f aca="false">IF(A1657="","",IF(COUNTIFS($X$2:$X$2001,X1657,$D$2:$D$2001,"&lt;&gt;"&amp;D1657,$C$2:$C$2001,C1657)&gt;0,"SIM","NAO"))</f>
        <v/>
      </c>
      <c r="Z1657" s="5" t="str">
        <f aca="false">IF(A1657="","",IF(J1657="","",IFERROR(360/J1657,"")))</f>
        <v/>
      </c>
      <c r="AA1657" s="5" t="str">
        <f aca="false">IF(A1657="","",IF(H1657=0,"Parado (sem venda 90d)",IF(Z1657&gt;12,"Alto (&gt;12x/ano)",IF(Z1657&gt;=4,"Medio (4-12x/ano)","Baixo (&lt;4x/ano)"))))</f>
        <v/>
      </c>
    </row>
    <row r="1658" customFormat="false" ht="15" hidden="false" customHeight="true" outlineLevel="0" collapsed="false">
      <c r="A1658" s="6"/>
      <c r="B1658" s="6"/>
      <c r="C1658" s="6"/>
      <c r="D1658" s="6"/>
      <c r="E1658" s="6"/>
      <c r="F1658" s="6"/>
      <c r="G1658" s="6"/>
      <c r="H1658" s="6"/>
      <c r="I1658" s="6"/>
      <c r="J1658" s="6"/>
      <c r="K1658" s="18"/>
      <c r="L1658" s="19" t="str">
        <f aca="false">IF(A1658="","",G1658*K1658)</f>
        <v/>
      </c>
      <c r="M1658" s="20"/>
      <c r="N1658" s="6"/>
      <c r="O1658" s="6"/>
      <c r="P1658" s="5" t="str">
        <f aca="false">IF(A1658="","",H1658/90)</f>
        <v/>
      </c>
      <c r="Q1658" s="5" t="str">
        <f aca="false">IF(A1658="","",IFERROR(INDEX(Parâmetros!$C$6:$C$10,MATCH(F1658,Parâmetros!$B$6:$B$10,0)),""))</f>
        <v/>
      </c>
      <c r="R1658" s="5" t="str">
        <f aca="false">IF(OR(A1658="",P1658="",Q1658=""),"",P1658*Q1658)</f>
        <v/>
      </c>
      <c r="S1658" s="5" t="str">
        <f aca="false">IF(R1658="","",MAX(0,R1658-G1658))</f>
        <v/>
      </c>
      <c r="T1658" s="21" t="str">
        <f aca="false">IF(S1658="","",S1658*K1658)</f>
        <v/>
      </c>
      <c r="U1658" s="5" t="str">
        <f aca="false">IF(A1658="","",IF(J1658&gt;Parâmetros!$C$14,"SIM","NAO"))</f>
        <v/>
      </c>
      <c r="V1658" s="5" t="str">
        <f aca="false">IF(B1658="","",TRIM(LEFT(B1658,IFERROR(FIND(" ",B1658)-1,LEN(B1658)))))</f>
        <v/>
      </c>
      <c r="W1658" s="22"/>
      <c r="X1658" s="5" t="str">
        <f aca="false">IF(A1658="","",IF(W1658&lt;&gt;"",W1658,V1658))</f>
        <v/>
      </c>
      <c r="Y1658" s="5" t="str">
        <f aca="false">IF(A1658="","",IF(COUNTIFS($X$2:$X$2001,X1658,$D$2:$D$2001,"&lt;&gt;"&amp;D1658,$C$2:$C$2001,C1658)&gt;0,"SIM","NAO"))</f>
        <v/>
      </c>
      <c r="Z1658" s="5" t="str">
        <f aca="false">IF(A1658="","",IF(J1658="","",IFERROR(360/J1658,"")))</f>
        <v/>
      </c>
      <c r="AA1658" s="5" t="str">
        <f aca="false">IF(A1658="","",IF(H1658=0,"Parado (sem venda 90d)",IF(Z1658&gt;12,"Alto (&gt;12x/ano)",IF(Z1658&gt;=4,"Medio (4-12x/ano)","Baixo (&lt;4x/ano)"))))</f>
        <v/>
      </c>
    </row>
    <row r="1659" customFormat="false" ht="15" hidden="false" customHeight="true" outlineLevel="0" collapsed="false">
      <c r="A1659" s="6"/>
      <c r="B1659" s="6"/>
      <c r="C1659" s="6"/>
      <c r="D1659" s="6"/>
      <c r="E1659" s="6"/>
      <c r="F1659" s="6"/>
      <c r="G1659" s="6"/>
      <c r="H1659" s="6"/>
      <c r="I1659" s="6"/>
      <c r="J1659" s="6"/>
      <c r="K1659" s="18"/>
      <c r="L1659" s="19" t="str">
        <f aca="false">IF(A1659="","",G1659*K1659)</f>
        <v/>
      </c>
      <c r="M1659" s="20"/>
      <c r="N1659" s="6"/>
      <c r="O1659" s="6"/>
      <c r="P1659" s="5" t="str">
        <f aca="false">IF(A1659="","",H1659/90)</f>
        <v/>
      </c>
      <c r="Q1659" s="5" t="str">
        <f aca="false">IF(A1659="","",IFERROR(INDEX(Parâmetros!$C$6:$C$10,MATCH(F1659,Parâmetros!$B$6:$B$10,0)),""))</f>
        <v/>
      </c>
      <c r="R1659" s="5" t="str">
        <f aca="false">IF(OR(A1659="",P1659="",Q1659=""),"",P1659*Q1659)</f>
        <v/>
      </c>
      <c r="S1659" s="5" t="str">
        <f aca="false">IF(R1659="","",MAX(0,R1659-G1659))</f>
        <v/>
      </c>
      <c r="T1659" s="21" t="str">
        <f aca="false">IF(S1659="","",S1659*K1659)</f>
        <v/>
      </c>
      <c r="U1659" s="5" t="str">
        <f aca="false">IF(A1659="","",IF(J1659&gt;Parâmetros!$C$14,"SIM","NAO"))</f>
        <v/>
      </c>
      <c r="V1659" s="5" t="str">
        <f aca="false">IF(B1659="","",TRIM(LEFT(B1659,IFERROR(FIND(" ",B1659)-1,LEN(B1659)))))</f>
        <v/>
      </c>
      <c r="W1659" s="22"/>
      <c r="X1659" s="5" t="str">
        <f aca="false">IF(A1659="","",IF(W1659&lt;&gt;"",W1659,V1659))</f>
        <v/>
      </c>
      <c r="Y1659" s="5" t="str">
        <f aca="false">IF(A1659="","",IF(COUNTIFS($X$2:$X$2001,X1659,$D$2:$D$2001,"&lt;&gt;"&amp;D1659,$C$2:$C$2001,C1659)&gt;0,"SIM","NAO"))</f>
        <v/>
      </c>
      <c r="Z1659" s="5" t="str">
        <f aca="false">IF(A1659="","",IF(J1659="","",IFERROR(360/J1659,"")))</f>
        <v/>
      </c>
      <c r="AA1659" s="5" t="str">
        <f aca="false">IF(A1659="","",IF(H1659=0,"Parado (sem venda 90d)",IF(Z1659&gt;12,"Alto (&gt;12x/ano)",IF(Z1659&gt;=4,"Medio (4-12x/ano)","Baixo (&lt;4x/ano)"))))</f>
        <v/>
      </c>
    </row>
    <row r="1660" customFormat="false" ht="15" hidden="false" customHeight="true" outlineLevel="0" collapsed="false">
      <c r="A1660" s="6"/>
      <c r="B1660" s="6"/>
      <c r="C1660" s="6"/>
      <c r="D1660" s="6"/>
      <c r="E1660" s="6"/>
      <c r="F1660" s="6"/>
      <c r="G1660" s="6"/>
      <c r="H1660" s="6"/>
      <c r="I1660" s="6"/>
      <c r="J1660" s="6"/>
      <c r="K1660" s="18"/>
      <c r="L1660" s="19" t="str">
        <f aca="false">IF(A1660="","",G1660*K1660)</f>
        <v/>
      </c>
      <c r="M1660" s="20"/>
      <c r="N1660" s="6"/>
      <c r="O1660" s="6"/>
      <c r="P1660" s="5" t="str">
        <f aca="false">IF(A1660="","",H1660/90)</f>
        <v/>
      </c>
      <c r="Q1660" s="5" t="str">
        <f aca="false">IF(A1660="","",IFERROR(INDEX(Parâmetros!$C$6:$C$10,MATCH(F1660,Parâmetros!$B$6:$B$10,0)),""))</f>
        <v/>
      </c>
      <c r="R1660" s="5" t="str">
        <f aca="false">IF(OR(A1660="",P1660="",Q1660=""),"",P1660*Q1660)</f>
        <v/>
      </c>
      <c r="S1660" s="5" t="str">
        <f aca="false">IF(R1660="","",MAX(0,R1660-G1660))</f>
        <v/>
      </c>
      <c r="T1660" s="21" t="str">
        <f aca="false">IF(S1660="","",S1660*K1660)</f>
        <v/>
      </c>
      <c r="U1660" s="5" t="str">
        <f aca="false">IF(A1660="","",IF(J1660&gt;Parâmetros!$C$14,"SIM","NAO"))</f>
        <v/>
      </c>
      <c r="V1660" s="5" t="str">
        <f aca="false">IF(B1660="","",TRIM(LEFT(B1660,IFERROR(FIND(" ",B1660)-1,LEN(B1660)))))</f>
        <v/>
      </c>
      <c r="W1660" s="22"/>
      <c r="X1660" s="5" t="str">
        <f aca="false">IF(A1660="","",IF(W1660&lt;&gt;"",W1660,V1660))</f>
        <v/>
      </c>
      <c r="Y1660" s="5" t="str">
        <f aca="false">IF(A1660="","",IF(COUNTIFS($X$2:$X$2001,X1660,$D$2:$D$2001,"&lt;&gt;"&amp;D1660,$C$2:$C$2001,C1660)&gt;0,"SIM","NAO"))</f>
        <v/>
      </c>
      <c r="Z1660" s="5" t="str">
        <f aca="false">IF(A1660="","",IF(J1660="","",IFERROR(360/J1660,"")))</f>
        <v/>
      </c>
      <c r="AA1660" s="5" t="str">
        <f aca="false">IF(A1660="","",IF(H1660=0,"Parado (sem venda 90d)",IF(Z1660&gt;12,"Alto (&gt;12x/ano)",IF(Z1660&gt;=4,"Medio (4-12x/ano)","Baixo (&lt;4x/ano)"))))</f>
        <v/>
      </c>
    </row>
    <row r="1661" customFormat="false" ht="15" hidden="false" customHeight="true" outlineLevel="0" collapsed="false">
      <c r="A1661" s="6"/>
      <c r="B1661" s="6"/>
      <c r="C1661" s="6"/>
      <c r="D1661" s="6"/>
      <c r="E1661" s="6"/>
      <c r="F1661" s="6"/>
      <c r="G1661" s="6"/>
      <c r="H1661" s="6"/>
      <c r="I1661" s="6"/>
      <c r="J1661" s="6"/>
      <c r="K1661" s="18"/>
      <c r="L1661" s="19" t="str">
        <f aca="false">IF(A1661="","",G1661*K1661)</f>
        <v/>
      </c>
      <c r="M1661" s="20"/>
      <c r="N1661" s="6"/>
      <c r="O1661" s="6"/>
      <c r="P1661" s="5" t="str">
        <f aca="false">IF(A1661="","",H1661/90)</f>
        <v/>
      </c>
      <c r="Q1661" s="5" t="str">
        <f aca="false">IF(A1661="","",IFERROR(INDEX(Parâmetros!$C$6:$C$10,MATCH(F1661,Parâmetros!$B$6:$B$10,0)),""))</f>
        <v/>
      </c>
      <c r="R1661" s="5" t="str">
        <f aca="false">IF(OR(A1661="",P1661="",Q1661=""),"",P1661*Q1661)</f>
        <v/>
      </c>
      <c r="S1661" s="5" t="str">
        <f aca="false">IF(R1661="","",MAX(0,R1661-G1661))</f>
        <v/>
      </c>
      <c r="T1661" s="21" t="str">
        <f aca="false">IF(S1661="","",S1661*K1661)</f>
        <v/>
      </c>
      <c r="U1661" s="5" t="str">
        <f aca="false">IF(A1661="","",IF(J1661&gt;Parâmetros!$C$14,"SIM","NAO"))</f>
        <v/>
      </c>
      <c r="V1661" s="5" t="str">
        <f aca="false">IF(B1661="","",TRIM(LEFT(B1661,IFERROR(FIND(" ",B1661)-1,LEN(B1661)))))</f>
        <v/>
      </c>
      <c r="W1661" s="22"/>
      <c r="X1661" s="5" t="str">
        <f aca="false">IF(A1661="","",IF(W1661&lt;&gt;"",W1661,V1661))</f>
        <v/>
      </c>
      <c r="Y1661" s="5" t="str">
        <f aca="false">IF(A1661="","",IF(COUNTIFS($X$2:$X$2001,X1661,$D$2:$D$2001,"&lt;&gt;"&amp;D1661,$C$2:$C$2001,C1661)&gt;0,"SIM","NAO"))</f>
        <v/>
      </c>
      <c r="Z1661" s="5" t="str">
        <f aca="false">IF(A1661="","",IF(J1661="","",IFERROR(360/J1661,"")))</f>
        <v/>
      </c>
      <c r="AA1661" s="5" t="str">
        <f aca="false">IF(A1661="","",IF(H1661=0,"Parado (sem venda 90d)",IF(Z1661&gt;12,"Alto (&gt;12x/ano)",IF(Z1661&gt;=4,"Medio (4-12x/ano)","Baixo (&lt;4x/ano)"))))</f>
        <v/>
      </c>
    </row>
    <row r="1662" customFormat="false" ht="15" hidden="false" customHeight="true" outlineLevel="0" collapsed="false">
      <c r="A1662" s="6"/>
      <c r="B1662" s="6"/>
      <c r="C1662" s="6"/>
      <c r="D1662" s="6"/>
      <c r="E1662" s="6"/>
      <c r="F1662" s="6"/>
      <c r="G1662" s="6"/>
      <c r="H1662" s="6"/>
      <c r="I1662" s="6"/>
      <c r="J1662" s="6"/>
      <c r="K1662" s="18"/>
      <c r="L1662" s="19" t="str">
        <f aca="false">IF(A1662="","",G1662*K1662)</f>
        <v/>
      </c>
      <c r="M1662" s="20"/>
      <c r="N1662" s="6"/>
      <c r="O1662" s="6"/>
      <c r="P1662" s="5" t="str">
        <f aca="false">IF(A1662="","",H1662/90)</f>
        <v/>
      </c>
      <c r="Q1662" s="5" t="str">
        <f aca="false">IF(A1662="","",IFERROR(INDEX(Parâmetros!$C$6:$C$10,MATCH(F1662,Parâmetros!$B$6:$B$10,0)),""))</f>
        <v/>
      </c>
      <c r="R1662" s="5" t="str">
        <f aca="false">IF(OR(A1662="",P1662="",Q1662=""),"",P1662*Q1662)</f>
        <v/>
      </c>
      <c r="S1662" s="5" t="str">
        <f aca="false">IF(R1662="","",MAX(0,R1662-G1662))</f>
        <v/>
      </c>
      <c r="T1662" s="21" t="str">
        <f aca="false">IF(S1662="","",S1662*K1662)</f>
        <v/>
      </c>
      <c r="U1662" s="5" t="str">
        <f aca="false">IF(A1662="","",IF(J1662&gt;Parâmetros!$C$14,"SIM","NAO"))</f>
        <v/>
      </c>
      <c r="V1662" s="5" t="str">
        <f aca="false">IF(B1662="","",TRIM(LEFT(B1662,IFERROR(FIND(" ",B1662)-1,LEN(B1662)))))</f>
        <v/>
      </c>
      <c r="W1662" s="22"/>
      <c r="X1662" s="5" t="str">
        <f aca="false">IF(A1662="","",IF(W1662&lt;&gt;"",W1662,V1662))</f>
        <v/>
      </c>
      <c r="Y1662" s="5" t="str">
        <f aca="false">IF(A1662="","",IF(COUNTIFS($X$2:$X$2001,X1662,$D$2:$D$2001,"&lt;&gt;"&amp;D1662,$C$2:$C$2001,C1662)&gt;0,"SIM","NAO"))</f>
        <v/>
      </c>
      <c r="Z1662" s="5" t="str">
        <f aca="false">IF(A1662="","",IF(J1662="","",IFERROR(360/J1662,"")))</f>
        <v/>
      </c>
      <c r="AA1662" s="5" t="str">
        <f aca="false">IF(A1662="","",IF(H1662=0,"Parado (sem venda 90d)",IF(Z1662&gt;12,"Alto (&gt;12x/ano)",IF(Z1662&gt;=4,"Medio (4-12x/ano)","Baixo (&lt;4x/ano)"))))</f>
        <v/>
      </c>
    </row>
    <row r="1663" customFormat="false" ht="15" hidden="false" customHeight="true" outlineLevel="0" collapsed="false">
      <c r="A1663" s="6"/>
      <c r="B1663" s="6"/>
      <c r="C1663" s="6"/>
      <c r="D1663" s="6"/>
      <c r="E1663" s="6"/>
      <c r="F1663" s="6"/>
      <c r="G1663" s="6"/>
      <c r="H1663" s="6"/>
      <c r="I1663" s="6"/>
      <c r="J1663" s="6"/>
      <c r="K1663" s="18"/>
      <c r="L1663" s="19" t="str">
        <f aca="false">IF(A1663="","",G1663*K1663)</f>
        <v/>
      </c>
      <c r="M1663" s="20"/>
      <c r="N1663" s="6"/>
      <c r="O1663" s="6"/>
      <c r="P1663" s="5" t="str">
        <f aca="false">IF(A1663="","",H1663/90)</f>
        <v/>
      </c>
      <c r="Q1663" s="5" t="str">
        <f aca="false">IF(A1663="","",IFERROR(INDEX(Parâmetros!$C$6:$C$10,MATCH(F1663,Parâmetros!$B$6:$B$10,0)),""))</f>
        <v/>
      </c>
      <c r="R1663" s="5" t="str">
        <f aca="false">IF(OR(A1663="",P1663="",Q1663=""),"",P1663*Q1663)</f>
        <v/>
      </c>
      <c r="S1663" s="5" t="str">
        <f aca="false">IF(R1663="","",MAX(0,R1663-G1663))</f>
        <v/>
      </c>
      <c r="T1663" s="21" t="str">
        <f aca="false">IF(S1663="","",S1663*K1663)</f>
        <v/>
      </c>
      <c r="U1663" s="5" t="str">
        <f aca="false">IF(A1663="","",IF(J1663&gt;Parâmetros!$C$14,"SIM","NAO"))</f>
        <v/>
      </c>
      <c r="V1663" s="5" t="str">
        <f aca="false">IF(B1663="","",TRIM(LEFT(B1663,IFERROR(FIND(" ",B1663)-1,LEN(B1663)))))</f>
        <v/>
      </c>
      <c r="W1663" s="22"/>
      <c r="X1663" s="5" t="str">
        <f aca="false">IF(A1663="","",IF(W1663&lt;&gt;"",W1663,V1663))</f>
        <v/>
      </c>
      <c r="Y1663" s="5" t="str">
        <f aca="false">IF(A1663="","",IF(COUNTIFS($X$2:$X$2001,X1663,$D$2:$D$2001,"&lt;&gt;"&amp;D1663,$C$2:$C$2001,C1663)&gt;0,"SIM","NAO"))</f>
        <v/>
      </c>
      <c r="Z1663" s="5" t="str">
        <f aca="false">IF(A1663="","",IF(J1663="","",IFERROR(360/J1663,"")))</f>
        <v/>
      </c>
      <c r="AA1663" s="5" t="str">
        <f aca="false">IF(A1663="","",IF(H1663=0,"Parado (sem venda 90d)",IF(Z1663&gt;12,"Alto (&gt;12x/ano)",IF(Z1663&gt;=4,"Medio (4-12x/ano)","Baixo (&lt;4x/ano)"))))</f>
        <v/>
      </c>
    </row>
    <row r="1664" customFormat="false" ht="15" hidden="false" customHeight="true" outlineLevel="0" collapsed="false">
      <c r="A1664" s="6"/>
      <c r="B1664" s="6"/>
      <c r="C1664" s="6"/>
      <c r="D1664" s="6"/>
      <c r="E1664" s="6"/>
      <c r="F1664" s="6"/>
      <c r="G1664" s="6"/>
      <c r="H1664" s="6"/>
      <c r="I1664" s="6"/>
      <c r="J1664" s="6"/>
      <c r="K1664" s="18"/>
      <c r="L1664" s="19" t="str">
        <f aca="false">IF(A1664="","",G1664*K1664)</f>
        <v/>
      </c>
      <c r="M1664" s="20"/>
      <c r="N1664" s="6"/>
      <c r="O1664" s="6"/>
      <c r="P1664" s="5" t="str">
        <f aca="false">IF(A1664="","",H1664/90)</f>
        <v/>
      </c>
      <c r="Q1664" s="5" t="str">
        <f aca="false">IF(A1664="","",IFERROR(INDEX(Parâmetros!$C$6:$C$10,MATCH(F1664,Parâmetros!$B$6:$B$10,0)),""))</f>
        <v/>
      </c>
      <c r="R1664" s="5" t="str">
        <f aca="false">IF(OR(A1664="",P1664="",Q1664=""),"",P1664*Q1664)</f>
        <v/>
      </c>
      <c r="S1664" s="5" t="str">
        <f aca="false">IF(R1664="","",MAX(0,R1664-G1664))</f>
        <v/>
      </c>
      <c r="T1664" s="21" t="str">
        <f aca="false">IF(S1664="","",S1664*K1664)</f>
        <v/>
      </c>
      <c r="U1664" s="5" t="str">
        <f aca="false">IF(A1664="","",IF(J1664&gt;Parâmetros!$C$14,"SIM","NAO"))</f>
        <v/>
      </c>
      <c r="V1664" s="5" t="str">
        <f aca="false">IF(B1664="","",TRIM(LEFT(B1664,IFERROR(FIND(" ",B1664)-1,LEN(B1664)))))</f>
        <v/>
      </c>
      <c r="W1664" s="22"/>
      <c r="X1664" s="5" t="str">
        <f aca="false">IF(A1664="","",IF(W1664&lt;&gt;"",W1664,V1664))</f>
        <v/>
      </c>
      <c r="Y1664" s="5" t="str">
        <f aca="false">IF(A1664="","",IF(COUNTIFS($X$2:$X$2001,X1664,$D$2:$D$2001,"&lt;&gt;"&amp;D1664,$C$2:$C$2001,C1664)&gt;0,"SIM","NAO"))</f>
        <v/>
      </c>
      <c r="Z1664" s="5" t="str">
        <f aca="false">IF(A1664="","",IF(J1664="","",IFERROR(360/J1664,"")))</f>
        <v/>
      </c>
      <c r="AA1664" s="5" t="str">
        <f aca="false">IF(A1664="","",IF(H1664=0,"Parado (sem venda 90d)",IF(Z1664&gt;12,"Alto (&gt;12x/ano)",IF(Z1664&gt;=4,"Medio (4-12x/ano)","Baixo (&lt;4x/ano)"))))</f>
        <v/>
      </c>
    </row>
    <row r="1665" customFormat="false" ht="15" hidden="false" customHeight="true" outlineLevel="0" collapsed="false">
      <c r="A1665" s="6"/>
      <c r="B1665" s="6"/>
      <c r="C1665" s="6"/>
      <c r="D1665" s="6"/>
      <c r="E1665" s="6"/>
      <c r="F1665" s="6"/>
      <c r="G1665" s="6"/>
      <c r="H1665" s="6"/>
      <c r="I1665" s="6"/>
      <c r="J1665" s="6"/>
      <c r="K1665" s="18"/>
      <c r="L1665" s="19" t="str">
        <f aca="false">IF(A1665="","",G1665*K1665)</f>
        <v/>
      </c>
      <c r="M1665" s="20"/>
      <c r="N1665" s="6"/>
      <c r="O1665" s="6"/>
      <c r="P1665" s="5" t="str">
        <f aca="false">IF(A1665="","",H1665/90)</f>
        <v/>
      </c>
      <c r="Q1665" s="5" t="str">
        <f aca="false">IF(A1665="","",IFERROR(INDEX(Parâmetros!$C$6:$C$10,MATCH(F1665,Parâmetros!$B$6:$B$10,0)),""))</f>
        <v/>
      </c>
      <c r="R1665" s="5" t="str">
        <f aca="false">IF(OR(A1665="",P1665="",Q1665=""),"",P1665*Q1665)</f>
        <v/>
      </c>
      <c r="S1665" s="5" t="str">
        <f aca="false">IF(R1665="","",MAX(0,R1665-G1665))</f>
        <v/>
      </c>
      <c r="T1665" s="21" t="str">
        <f aca="false">IF(S1665="","",S1665*K1665)</f>
        <v/>
      </c>
      <c r="U1665" s="5" t="str">
        <f aca="false">IF(A1665="","",IF(J1665&gt;Parâmetros!$C$14,"SIM","NAO"))</f>
        <v/>
      </c>
      <c r="V1665" s="5" t="str">
        <f aca="false">IF(B1665="","",TRIM(LEFT(B1665,IFERROR(FIND(" ",B1665)-1,LEN(B1665)))))</f>
        <v/>
      </c>
      <c r="W1665" s="22"/>
      <c r="X1665" s="5" t="str">
        <f aca="false">IF(A1665="","",IF(W1665&lt;&gt;"",W1665,V1665))</f>
        <v/>
      </c>
      <c r="Y1665" s="5" t="str">
        <f aca="false">IF(A1665="","",IF(COUNTIFS($X$2:$X$2001,X1665,$D$2:$D$2001,"&lt;&gt;"&amp;D1665,$C$2:$C$2001,C1665)&gt;0,"SIM","NAO"))</f>
        <v/>
      </c>
      <c r="Z1665" s="5" t="str">
        <f aca="false">IF(A1665="","",IF(J1665="","",IFERROR(360/J1665,"")))</f>
        <v/>
      </c>
      <c r="AA1665" s="5" t="str">
        <f aca="false">IF(A1665="","",IF(H1665=0,"Parado (sem venda 90d)",IF(Z1665&gt;12,"Alto (&gt;12x/ano)",IF(Z1665&gt;=4,"Medio (4-12x/ano)","Baixo (&lt;4x/ano)"))))</f>
        <v/>
      </c>
    </row>
    <row r="1666" customFormat="false" ht="15" hidden="false" customHeight="true" outlineLevel="0" collapsed="false">
      <c r="A1666" s="6"/>
      <c r="B1666" s="6"/>
      <c r="C1666" s="6"/>
      <c r="D1666" s="6"/>
      <c r="E1666" s="6"/>
      <c r="F1666" s="6"/>
      <c r="G1666" s="6"/>
      <c r="H1666" s="6"/>
      <c r="I1666" s="6"/>
      <c r="J1666" s="6"/>
      <c r="K1666" s="18"/>
      <c r="L1666" s="19" t="str">
        <f aca="false">IF(A1666="","",G1666*K1666)</f>
        <v/>
      </c>
      <c r="M1666" s="20"/>
      <c r="N1666" s="6"/>
      <c r="O1666" s="6"/>
      <c r="P1666" s="5" t="str">
        <f aca="false">IF(A1666="","",H1666/90)</f>
        <v/>
      </c>
      <c r="Q1666" s="5" t="str">
        <f aca="false">IF(A1666="","",IFERROR(INDEX(Parâmetros!$C$6:$C$10,MATCH(F1666,Parâmetros!$B$6:$B$10,0)),""))</f>
        <v/>
      </c>
      <c r="R1666" s="5" t="str">
        <f aca="false">IF(OR(A1666="",P1666="",Q1666=""),"",P1666*Q1666)</f>
        <v/>
      </c>
      <c r="S1666" s="5" t="str">
        <f aca="false">IF(R1666="","",MAX(0,R1666-G1666))</f>
        <v/>
      </c>
      <c r="T1666" s="21" t="str">
        <f aca="false">IF(S1666="","",S1666*K1666)</f>
        <v/>
      </c>
      <c r="U1666" s="5" t="str">
        <f aca="false">IF(A1666="","",IF(J1666&gt;Parâmetros!$C$14,"SIM","NAO"))</f>
        <v/>
      </c>
      <c r="V1666" s="5" t="str">
        <f aca="false">IF(B1666="","",TRIM(LEFT(B1666,IFERROR(FIND(" ",B1666)-1,LEN(B1666)))))</f>
        <v/>
      </c>
      <c r="W1666" s="22"/>
      <c r="X1666" s="5" t="str">
        <f aca="false">IF(A1666="","",IF(W1666&lt;&gt;"",W1666,V1666))</f>
        <v/>
      </c>
      <c r="Y1666" s="5" t="str">
        <f aca="false">IF(A1666="","",IF(COUNTIFS($X$2:$X$2001,X1666,$D$2:$D$2001,"&lt;&gt;"&amp;D1666,$C$2:$C$2001,C1666)&gt;0,"SIM","NAO"))</f>
        <v/>
      </c>
      <c r="Z1666" s="5" t="str">
        <f aca="false">IF(A1666="","",IF(J1666="","",IFERROR(360/J1666,"")))</f>
        <v/>
      </c>
      <c r="AA1666" s="5" t="str">
        <f aca="false">IF(A1666="","",IF(H1666=0,"Parado (sem venda 90d)",IF(Z1666&gt;12,"Alto (&gt;12x/ano)",IF(Z1666&gt;=4,"Medio (4-12x/ano)","Baixo (&lt;4x/ano)"))))</f>
        <v/>
      </c>
    </row>
    <row r="1667" customFormat="false" ht="15" hidden="false" customHeight="true" outlineLevel="0" collapsed="false">
      <c r="A1667" s="6"/>
      <c r="B1667" s="6"/>
      <c r="C1667" s="6"/>
      <c r="D1667" s="6"/>
      <c r="E1667" s="6"/>
      <c r="F1667" s="6"/>
      <c r="G1667" s="6"/>
      <c r="H1667" s="6"/>
      <c r="I1667" s="6"/>
      <c r="J1667" s="6"/>
      <c r="K1667" s="18"/>
      <c r="L1667" s="19" t="str">
        <f aca="false">IF(A1667="","",G1667*K1667)</f>
        <v/>
      </c>
      <c r="M1667" s="20"/>
      <c r="N1667" s="6"/>
      <c r="O1667" s="6"/>
      <c r="P1667" s="5" t="str">
        <f aca="false">IF(A1667="","",H1667/90)</f>
        <v/>
      </c>
      <c r="Q1667" s="5" t="str">
        <f aca="false">IF(A1667="","",IFERROR(INDEX(Parâmetros!$C$6:$C$10,MATCH(F1667,Parâmetros!$B$6:$B$10,0)),""))</f>
        <v/>
      </c>
      <c r="R1667" s="5" t="str">
        <f aca="false">IF(OR(A1667="",P1667="",Q1667=""),"",P1667*Q1667)</f>
        <v/>
      </c>
      <c r="S1667" s="5" t="str">
        <f aca="false">IF(R1667="","",MAX(0,R1667-G1667))</f>
        <v/>
      </c>
      <c r="T1667" s="21" t="str">
        <f aca="false">IF(S1667="","",S1667*K1667)</f>
        <v/>
      </c>
      <c r="U1667" s="5" t="str">
        <f aca="false">IF(A1667="","",IF(J1667&gt;Parâmetros!$C$14,"SIM","NAO"))</f>
        <v/>
      </c>
      <c r="V1667" s="5" t="str">
        <f aca="false">IF(B1667="","",TRIM(LEFT(B1667,IFERROR(FIND(" ",B1667)-1,LEN(B1667)))))</f>
        <v/>
      </c>
      <c r="W1667" s="22"/>
      <c r="X1667" s="5" t="str">
        <f aca="false">IF(A1667="","",IF(W1667&lt;&gt;"",W1667,V1667))</f>
        <v/>
      </c>
      <c r="Y1667" s="5" t="str">
        <f aca="false">IF(A1667="","",IF(COUNTIFS($X$2:$X$2001,X1667,$D$2:$D$2001,"&lt;&gt;"&amp;D1667,$C$2:$C$2001,C1667)&gt;0,"SIM","NAO"))</f>
        <v/>
      </c>
      <c r="Z1667" s="5" t="str">
        <f aca="false">IF(A1667="","",IF(J1667="","",IFERROR(360/J1667,"")))</f>
        <v/>
      </c>
      <c r="AA1667" s="5" t="str">
        <f aca="false">IF(A1667="","",IF(H1667=0,"Parado (sem venda 90d)",IF(Z1667&gt;12,"Alto (&gt;12x/ano)",IF(Z1667&gt;=4,"Medio (4-12x/ano)","Baixo (&lt;4x/ano)"))))</f>
        <v/>
      </c>
    </row>
    <row r="1668" customFormat="false" ht="15" hidden="false" customHeight="true" outlineLevel="0" collapsed="false">
      <c r="A1668" s="6"/>
      <c r="B1668" s="6"/>
      <c r="C1668" s="6"/>
      <c r="D1668" s="6"/>
      <c r="E1668" s="6"/>
      <c r="F1668" s="6"/>
      <c r="G1668" s="6"/>
      <c r="H1668" s="6"/>
      <c r="I1668" s="6"/>
      <c r="J1668" s="6"/>
      <c r="K1668" s="18"/>
      <c r="L1668" s="19" t="str">
        <f aca="false">IF(A1668="","",G1668*K1668)</f>
        <v/>
      </c>
      <c r="M1668" s="20"/>
      <c r="N1668" s="6"/>
      <c r="O1668" s="6"/>
      <c r="P1668" s="5" t="str">
        <f aca="false">IF(A1668="","",H1668/90)</f>
        <v/>
      </c>
      <c r="Q1668" s="5" t="str">
        <f aca="false">IF(A1668="","",IFERROR(INDEX(Parâmetros!$C$6:$C$10,MATCH(F1668,Parâmetros!$B$6:$B$10,0)),""))</f>
        <v/>
      </c>
      <c r="R1668" s="5" t="str">
        <f aca="false">IF(OR(A1668="",P1668="",Q1668=""),"",P1668*Q1668)</f>
        <v/>
      </c>
      <c r="S1668" s="5" t="str">
        <f aca="false">IF(R1668="","",MAX(0,R1668-G1668))</f>
        <v/>
      </c>
      <c r="T1668" s="21" t="str">
        <f aca="false">IF(S1668="","",S1668*K1668)</f>
        <v/>
      </c>
      <c r="U1668" s="5" t="str">
        <f aca="false">IF(A1668="","",IF(J1668&gt;Parâmetros!$C$14,"SIM","NAO"))</f>
        <v/>
      </c>
      <c r="V1668" s="5" t="str">
        <f aca="false">IF(B1668="","",TRIM(LEFT(B1668,IFERROR(FIND(" ",B1668)-1,LEN(B1668)))))</f>
        <v/>
      </c>
      <c r="W1668" s="22"/>
      <c r="X1668" s="5" t="str">
        <f aca="false">IF(A1668="","",IF(W1668&lt;&gt;"",W1668,V1668))</f>
        <v/>
      </c>
      <c r="Y1668" s="5" t="str">
        <f aca="false">IF(A1668="","",IF(COUNTIFS($X$2:$X$2001,X1668,$D$2:$D$2001,"&lt;&gt;"&amp;D1668,$C$2:$C$2001,C1668)&gt;0,"SIM","NAO"))</f>
        <v/>
      </c>
      <c r="Z1668" s="5" t="str">
        <f aca="false">IF(A1668="","",IF(J1668="","",IFERROR(360/J1668,"")))</f>
        <v/>
      </c>
      <c r="AA1668" s="5" t="str">
        <f aca="false">IF(A1668="","",IF(H1668=0,"Parado (sem venda 90d)",IF(Z1668&gt;12,"Alto (&gt;12x/ano)",IF(Z1668&gt;=4,"Medio (4-12x/ano)","Baixo (&lt;4x/ano)"))))</f>
        <v/>
      </c>
    </row>
    <row r="1669" customFormat="false" ht="15" hidden="false" customHeight="true" outlineLevel="0" collapsed="false">
      <c r="A1669" s="6"/>
      <c r="B1669" s="6"/>
      <c r="C1669" s="6"/>
      <c r="D1669" s="6"/>
      <c r="E1669" s="6"/>
      <c r="F1669" s="6"/>
      <c r="G1669" s="6"/>
      <c r="H1669" s="6"/>
      <c r="I1669" s="6"/>
      <c r="J1669" s="6"/>
      <c r="K1669" s="18"/>
      <c r="L1669" s="19" t="str">
        <f aca="false">IF(A1669="","",G1669*K1669)</f>
        <v/>
      </c>
      <c r="M1669" s="20"/>
      <c r="N1669" s="6"/>
      <c r="O1669" s="6"/>
      <c r="P1669" s="5" t="str">
        <f aca="false">IF(A1669="","",H1669/90)</f>
        <v/>
      </c>
      <c r="Q1669" s="5" t="str">
        <f aca="false">IF(A1669="","",IFERROR(INDEX(Parâmetros!$C$6:$C$10,MATCH(F1669,Parâmetros!$B$6:$B$10,0)),""))</f>
        <v/>
      </c>
      <c r="R1669" s="5" t="str">
        <f aca="false">IF(OR(A1669="",P1669="",Q1669=""),"",P1669*Q1669)</f>
        <v/>
      </c>
      <c r="S1669" s="5" t="str">
        <f aca="false">IF(R1669="","",MAX(0,R1669-G1669))</f>
        <v/>
      </c>
      <c r="T1669" s="21" t="str">
        <f aca="false">IF(S1669="","",S1669*K1669)</f>
        <v/>
      </c>
      <c r="U1669" s="5" t="str">
        <f aca="false">IF(A1669="","",IF(J1669&gt;Parâmetros!$C$14,"SIM","NAO"))</f>
        <v/>
      </c>
      <c r="V1669" s="5" t="str">
        <f aca="false">IF(B1669="","",TRIM(LEFT(B1669,IFERROR(FIND(" ",B1669)-1,LEN(B1669)))))</f>
        <v/>
      </c>
      <c r="W1669" s="22"/>
      <c r="X1669" s="5" t="str">
        <f aca="false">IF(A1669="","",IF(W1669&lt;&gt;"",W1669,V1669))</f>
        <v/>
      </c>
      <c r="Y1669" s="5" t="str">
        <f aca="false">IF(A1669="","",IF(COUNTIFS($X$2:$X$2001,X1669,$D$2:$D$2001,"&lt;&gt;"&amp;D1669,$C$2:$C$2001,C1669)&gt;0,"SIM","NAO"))</f>
        <v/>
      </c>
      <c r="Z1669" s="5" t="str">
        <f aca="false">IF(A1669="","",IF(J1669="","",IFERROR(360/J1669,"")))</f>
        <v/>
      </c>
      <c r="AA1669" s="5" t="str">
        <f aca="false">IF(A1669="","",IF(H1669=0,"Parado (sem venda 90d)",IF(Z1669&gt;12,"Alto (&gt;12x/ano)",IF(Z1669&gt;=4,"Medio (4-12x/ano)","Baixo (&lt;4x/ano)"))))</f>
        <v/>
      </c>
    </row>
    <row r="1670" customFormat="false" ht="15" hidden="false" customHeight="true" outlineLevel="0" collapsed="false">
      <c r="A1670" s="6"/>
      <c r="B1670" s="6"/>
      <c r="C1670" s="6"/>
      <c r="D1670" s="6"/>
      <c r="E1670" s="6"/>
      <c r="F1670" s="6"/>
      <c r="G1670" s="6"/>
      <c r="H1670" s="6"/>
      <c r="I1670" s="6"/>
      <c r="J1670" s="6"/>
      <c r="K1670" s="18"/>
      <c r="L1670" s="19" t="str">
        <f aca="false">IF(A1670="","",G1670*K1670)</f>
        <v/>
      </c>
      <c r="M1670" s="20"/>
      <c r="N1670" s="6"/>
      <c r="O1670" s="6"/>
      <c r="P1670" s="5" t="str">
        <f aca="false">IF(A1670="","",H1670/90)</f>
        <v/>
      </c>
      <c r="Q1670" s="5" t="str">
        <f aca="false">IF(A1670="","",IFERROR(INDEX(Parâmetros!$C$6:$C$10,MATCH(F1670,Parâmetros!$B$6:$B$10,0)),""))</f>
        <v/>
      </c>
      <c r="R1670" s="5" t="str">
        <f aca="false">IF(OR(A1670="",P1670="",Q1670=""),"",P1670*Q1670)</f>
        <v/>
      </c>
      <c r="S1670" s="5" t="str">
        <f aca="false">IF(R1670="","",MAX(0,R1670-G1670))</f>
        <v/>
      </c>
      <c r="T1670" s="21" t="str">
        <f aca="false">IF(S1670="","",S1670*K1670)</f>
        <v/>
      </c>
      <c r="U1670" s="5" t="str">
        <f aca="false">IF(A1670="","",IF(J1670&gt;Parâmetros!$C$14,"SIM","NAO"))</f>
        <v/>
      </c>
      <c r="V1670" s="5" t="str">
        <f aca="false">IF(B1670="","",TRIM(LEFT(B1670,IFERROR(FIND(" ",B1670)-1,LEN(B1670)))))</f>
        <v/>
      </c>
      <c r="W1670" s="22"/>
      <c r="X1670" s="5" t="str">
        <f aca="false">IF(A1670="","",IF(W1670&lt;&gt;"",W1670,V1670))</f>
        <v/>
      </c>
      <c r="Y1670" s="5" t="str">
        <f aca="false">IF(A1670="","",IF(COUNTIFS($X$2:$X$2001,X1670,$D$2:$D$2001,"&lt;&gt;"&amp;D1670,$C$2:$C$2001,C1670)&gt;0,"SIM","NAO"))</f>
        <v/>
      </c>
      <c r="Z1670" s="5" t="str">
        <f aca="false">IF(A1670="","",IF(J1670="","",IFERROR(360/J1670,"")))</f>
        <v/>
      </c>
      <c r="AA1670" s="5" t="str">
        <f aca="false">IF(A1670="","",IF(H1670=0,"Parado (sem venda 90d)",IF(Z1670&gt;12,"Alto (&gt;12x/ano)",IF(Z1670&gt;=4,"Medio (4-12x/ano)","Baixo (&lt;4x/ano)"))))</f>
        <v/>
      </c>
    </row>
    <row r="1671" customFormat="false" ht="15" hidden="false" customHeight="true" outlineLevel="0" collapsed="false">
      <c r="A1671" s="6"/>
      <c r="B1671" s="6"/>
      <c r="C1671" s="6"/>
      <c r="D1671" s="6"/>
      <c r="E1671" s="6"/>
      <c r="F1671" s="6"/>
      <c r="G1671" s="6"/>
      <c r="H1671" s="6"/>
      <c r="I1671" s="6"/>
      <c r="J1671" s="6"/>
      <c r="K1671" s="18"/>
      <c r="L1671" s="19" t="str">
        <f aca="false">IF(A1671="","",G1671*K1671)</f>
        <v/>
      </c>
      <c r="M1671" s="20"/>
      <c r="N1671" s="6"/>
      <c r="O1671" s="6"/>
      <c r="P1671" s="5" t="str">
        <f aca="false">IF(A1671="","",H1671/90)</f>
        <v/>
      </c>
      <c r="Q1671" s="5" t="str">
        <f aca="false">IF(A1671="","",IFERROR(INDEX(Parâmetros!$C$6:$C$10,MATCH(F1671,Parâmetros!$B$6:$B$10,0)),""))</f>
        <v/>
      </c>
      <c r="R1671" s="5" t="str">
        <f aca="false">IF(OR(A1671="",P1671="",Q1671=""),"",P1671*Q1671)</f>
        <v/>
      </c>
      <c r="S1671" s="5" t="str">
        <f aca="false">IF(R1671="","",MAX(0,R1671-G1671))</f>
        <v/>
      </c>
      <c r="T1671" s="21" t="str">
        <f aca="false">IF(S1671="","",S1671*K1671)</f>
        <v/>
      </c>
      <c r="U1671" s="5" t="str">
        <f aca="false">IF(A1671="","",IF(J1671&gt;Parâmetros!$C$14,"SIM","NAO"))</f>
        <v/>
      </c>
      <c r="V1671" s="5" t="str">
        <f aca="false">IF(B1671="","",TRIM(LEFT(B1671,IFERROR(FIND(" ",B1671)-1,LEN(B1671)))))</f>
        <v/>
      </c>
      <c r="W1671" s="22"/>
      <c r="X1671" s="5" t="str">
        <f aca="false">IF(A1671="","",IF(W1671&lt;&gt;"",W1671,V1671))</f>
        <v/>
      </c>
      <c r="Y1671" s="5" t="str">
        <f aca="false">IF(A1671="","",IF(COUNTIFS($X$2:$X$2001,X1671,$D$2:$D$2001,"&lt;&gt;"&amp;D1671,$C$2:$C$2001,C1671)&gt;0,"SIM","NAO"))</f>
        <v/>
      </c>
      <c r="Z1671" s="5" t="str">
        <f aca="false">IF(A1671="","",IF(J1671="","",IFERROR(360/J1671,"")))</f>
        <v/>
      </c>
      <c r="AA1671" s="5" t="str">
        <f aca="false">IF(A1671="","",IF(H1671=0,"Parado (sem venda 90d)",IF(Z1671&gt;12,"Alto (&gt;12x/ano)",IF(Z1671&gt;=4,"Medio (4-12x/ano)","Baixo (&lt;4x/ano)"))))</f>
        <v/>
      </c>
    </row>
    <row r="1672" customFormat="false" ht="15" hidden="false" customHeight="true" outlineLevel="0" collapsed="false">
      <c r="A1672" s="6"/>
      <c r="B1672" s="6"/>
      <c r="C1672" s="6"/>
      <c r="D1672" s="6"/>
      <c r="E1672" s="6"/>
      <c r="F1672" s="6"/>
      <c r="G1672" s="6"/>
      <c r="H1672" s="6"/>
      <c r="I1672" s="6"/>
      <c r="J1672" s="6"/>
      <c r="K1672" s="18"/>
      <c r="L1672" s="19" t="str">
        <f aca="false">IF(A1672="","",G1672*K1672)</f>
        <v/>
      </c>
      <c r="M1672" s="20"/>
      <c r="N1672" s="6"/>
      <c r="O1672" s="6"/>
      <c r="P1672" s="5" t="str">
        <f aca="false">IF(A1672="","",H1672/90)</f>
        <v/>
      </c>
      <c r="Q1672" s="5" t="str">
        <f aca="false">IF(A1672="","",IFERROR(INDEX(Parâmetros!$C$6:$C$10,MATCH(F1672,Parâmetros!$B$6:$B$10,0)),""))</f>
        <v/>
      </c>
      <c r="R1672" s="5" t="str">
        <f aca="false">IF(OR(A1672="",P1672="",Q1672=""),"",P1672*Q1672)</f>
        <v/>
      </c>
      <c r="S1672" s="5" t="str">
        <f aca="false">IF(R1672="","",MAX(0,R1672-G1672))</f>
        <v/>
      </c>
      <c r="T1672" s="21" t="str">
        <f aca="false">IF(S1672="","",S1672*K1672)</f>
        <v/>
      </c>
      <c r="U1672" s="5" t="str">
        <f aca="false">IF(A1672="","",IF(J1672&gt;Parâmetros!$C$14,"SIM","NAO"))</f>
        <v/>
      </c>
      <c r="V1672" s="5" t="str">
        <f aca="false">IF(B1672="","",TRIM(LEFT(B1672,IFERROR(FIND(" ",B1672)-1,LEN(B1672)))))</f>
        <v/>
      </c>
      <c r="W1672" s="22"/>
      <c r="X1672" s="5" t="str">
        <f aca="false">IF(A1672="","",IF(W1672&lt;&gt;"",W1672,V1672))</f>
        <v/>
      </c>
      <c r="Y1672" s="5" t="str">
        <f aca="false">IF(A1672="","",IF(COUNTIFS($X$2:$X$2001,X1672,$D$2:$D$2001,"&lt;&gt;"&amp;D1672,$C$2:$C$2001,C1672)&gt;0,"SIM","NAO"))</f>
        <v/>
      </c>
      <c r="Z1672" s="5" t="str">
        <f aca="false">IF(A1672="","",IF(J1672="","",IFERROR(360/J1672,"")))</f>
        <v/>
      </c>
      <c r="AA1672" s="5" t="str">
        <f aca="false">IF(A1672="","",IF(H1672=0,"Parado (sem venda 90d)",IF(Z1672&gt;12,"Alto (&gt;12x/ano)",IF(Z1672&gt;=4,"Medio (4-12x/ano)","Baixo (&lt;4x/ano)"))))</f>
        <v/>
      </c>
    </row>
    <row r="1673" customFormat="false" ht="15" hidden="false" customHeight="true" outlineLevel="0" collapsed="false">
      <c r="A1673" s="6"/>
      <c r="B1673" s="6"/>
      <c r="C1673" s="6"/>
      <c r="D1673" s="6"/>
      <c r="E1673" s="6"/>
      <c r="F1673" s="6"/>
      <c r="G1673" s="6"/>
      <c r="H1673" s="6"/>
      <c r="I1673" s="6"/>
      <c r="J1673" s="6"/>
      <c r="K1673" s="18"/>
      <c r="L1673" s="19" t="str">
        <f aca="false">IF(A1673="","",G1673*K1673)</f>
        <v/>
      </c>
      <c r="M1673" s="20"/>
      <c r="N1673" s="6"/>
      <c r="O1673" s="6"/>
      <c r="P1673" s="5" t="str">
        <f aca="false">IF(A1673="","",H1673/90)</f>
        <v/>
      </c>
      <c r="Q1673" s="5" t="str">
        <f aca="false">IF(A1673="","",IFERROR(INDEX(Parâmetros!$C$6:$C$10,MATCH(F1673,Parâmetros!$B$6:$B$10,0)),""))</f>
        <v/>
      </c>
      <c r="R1673" s="5" t="str">
        <f aca="false">IF(OR(A1673="",P1673="",Q1673=""),"",P1673*Q1673)</f>
        <v/>
      </c>
      <c r="S1673" s="5" t="str">
        <f aca="false">IF(R1673="","",MAX(0,R1673-G1673))</f>
        <v/>
      </c>
      <c r="T1673" s="21" t="str">
        <f aca="false">IF(S1673="","",S1673*K1673)</f>
        <v/>
      </c>
      <c r="U1673" s="5" t="str">
        <f aca="false">IF(A1673="","",IF(J1673&gt;Parâmetros!$C$14,"SIM","NAO"))</f>
        <v/>
      </c>
      <c r="V1673" s="5" t="str">
        <f aca="false">IF(B1673="","",TRIM(LEFT(B1673,IFERROR(FIND(" ",B1673)-1,LEN(B1673)))))</f>
        <v/>
      </c>
      <c r="W1673" s="22"/>
      <c r="X1673" s="5" t="str">
        <f aca="false">IF(A1673="","",IF(W1673&lt;&gt;"",W1673,V1673))</f>
        <v/>
      </c>
      <c r="Y1673" s="5" t="str">
        <f aca="false">IF(A1673="","",IF(COUNTIFS($X$2:$X$2001,X1673,$D$2:$D$2001,"&lt;&gt;"&amp;D1673,$C$2:$C$2001,C1673)&gt;0,"SIM","NAO"))</f>
        <v/>
      </c>
      <c r="Z1673" s="5" t="str">
        <f aca="false">IF(A1673="","",IF(J1673="","",IFERROR(360/J1673,"")))</f>
        <v/>
      </c>
      <c r="AA1673" s="5" t="str">
        <f aca="false">IF(A1673="","",IF(H1673=0,"Parado (sem venda 90d)",IF(Z1673&gt;12,"Alto (&gt;12x/ano)",IF(Z1673&gt;=4,"Medio (4-12x/ano)","Baixo (&lt;4x/ano)"))))</f>
        <v/>
      </c>
    </row>
    <row r="1674" customFormat="false" ht="15" hidden="false" customHeight="true" outlineLevel="0" collapsed="false">
      <c r="A1674" s="6"/>
      <c r="B1674" s="6"/>
      <c r="C1674" s="6"/>
      <c r="D1674" s="6"/>
      <c r="E1674" s="6"/>
      <c r="F1674" s="6"/>
      <c r="G1674" s="6"/>
      <c r="H1674" s="6"/>
      <c r="I1674" s="6"/>
      <c r="J1674" s="6"/>
      <c r="K1674" s="18"/>
      <c r="L1674" s="19" t="str">
        <f aca="false">IF(A1674="","",G1674*K1674)</f>
        <v/>
      </c>
      <c r="M1674" s="20"/>
      <c r="N1674" s="6"/>
      <c r="O1674" s="6"/>
      <c r="P1674" s="5" t="str">
        <f aca="false">IF(A1674="","",H1674/90)</f>
        <v/>
      </c>
      <c r="Q1674" s="5" t="str">
        <f aca="false">IF(A1674="","",IFERROR(INDEX(Parâmetros!$C$6:$C$10,MATCH(F1674,Parâmetros!$B$6:$B$10,0)),""))</f>
        <v/>
      </c>
      <c r="R1674" s="5" t="str">
        <f aca="false">IF(OR(A1674="",P1674="",Q1674=""),"",P1674*Q1674)</f>
        <v/>
      </c>
      <c r="S1674" s="5" t="str">
        <f aca="false">IF(R1674="","",MAX(0,R1674-G1674))</f>
        <v/>
      </c>
      <c r="T1674" s="21" t="str">
        <f aca="false">IF(S1674="","",S1674*K1674)</f>
        <v/>
      </c>
      <c r="U1674" s="5" t="str">
        <f aca="false">IF(A1674="","",IF(J1674&gt;Parâmetros!$C$14,"SIM","NAO"))</f>
        <v/>
      </c>
      <c r="V1674" s="5" t="str">
        <f aca="false">IF(B1674="","",TRIM(LEFT(B1674,IFERROR(FIND(" ",B1674)-1,LEN(B1674)))))</f>
        <v/>
      </c>
      <c r="W1674" s="22"/>
      <c r="X1674" s="5" t="str">
        <f aca="false">IF(A1674="","",IF(W1674&lt;&gt;"",W1674,V1674))</f>
        <v/>
      </c>
      <c r="Y1674" s="5" t="str">
        <f aca="false">IF(A1674="","",IF(COUNTIFS($X$2:$X$2001,X1674,$D$2:$D$2001,"&lt;&gt;"&amp;D1674,$C$2:$C$2001,C1674)&gt;0,"SIM","NAO"))</f>
        <v/>
      </c>
      <c r="Z1674" s="5" t="str">
        <f aca="false">IF(A1674="","",IF(J1674="","",IFERROR(360/J1674,"")))</f>
        <v/>
      </c>
      <c r="AA1674" s="5" t="str">
        <f aca="false">IF(A1674="","",IF(H1674=0,"Parado (sem venda 90d)",IF(Z1674&gt;12,"Alto (&gt;12x/ano)",IF(Z1674&gt;=4,"Medio (4-12x/ano)","Baixo (&lt;4x/ano)"))))</f>
        <v/>
      </c>
    </row>
    <row r="1675" customFormat="false" ht="15" hidden="false" customHeight="true" outlineLevel="0" collapsed="false">
      <c r="A1675" s="6"/>
      <c r="B1675" s="6"/>
      <c r="C1675" s="6"/>
      <c r="D1675" s="6"/>
      <c r="E1675" s="6"/>
      <c r="F1675" s="6"/>
      <c r="G1675" s="6"/>
      <c r="H1675" s="6"/>
      <c r="I1675" s="6"/>
      <c r="J1675" s="6"/>
      <c r="K1675" s="18"/>
      <c r="L1675" s="19" t="str">
        <f aca="false">IF(A1675="","",G1675*K1675)</f>
        <v/>
      </c>
      <c r="M1675" s="20"/>
      <c r="N1675" s="6"/>
      <c r="O1675" s="6"/>
      <c r="P1675" s="5" t="str">
        <f aca="false">IF(A1675="","",H1675/90)</f>
        <v/>
      </c>
      <c r="Q1675" s="5" t="str">
        <f aca="false">IF(A1675="","",IFERROR(INDEX(Parâmetros!$C$6:$C$10,MATCH(F1675,Parâmetros!$B$6:$B$10,0)),""))</f>
        <v/>
      </c>
      <c r="R1675" s="5" t="str">
        <f aca="false">IF(OR(A1675="",P1675="",Q1675=""),"",P1675*Q1675)</f>
        <v/>
      </c>
      <c r="S1675" s="5" t="str">
        <f aca="false">IF(R1675="","",MAX(0,R1675-G1675))</f>
        <v/>
      </c>
      <c r="T1675" s="21" t="str">
        <f aca="false">IF(S1675="","",S1675*K1675)</f>
        <v/>
      </c>
      <c r="U1675" s="5" t="str">
        <f aca="false">IF(A1675="","",IF(J1675&gt;Parâmetros!$C$14,"SIM","NAO"))</f>
        <v/>
      </c>
      <c r="V1675" s="5" t="str">
        <f aca="false">IF(B1675="","",TRIM(LEFT(B1675,IFERROR(FIND(" ",B1675)-1,LEN(B1675)))))</f>
        <v/>
      </c>
      <c r="W1675" s="22"/>
      <c r="X1675" s="5" t="str">
        <f aca="false">IF(A1675="","",IF(W1675&lt;&gt;"",W1675,V1675))</f>
        <v/>
      </c>
      <c r="Y1675" s="5" t="str">
        <f aca="false">IF(A1675="","",IF(COUNTIFS($X$2:$X$2001,X1675,$D$2:$D$2001,"&lt;&gt;"&amp;D1675,$C$2:$C$2001,C1675)&gt;0,"SIM","NAO"))</f>
        <v/>
      </c>
      <c r="Z1675" s="5" t="str">
        <f aca="false">IF(A1675="","",IF(J1675="","",IFERROR(360/J1675,"")))</f>
        <v/>
      </c>
      <c r="AA1675" s="5" t="str">
        <f aca="false">IF(A1675="","",IF(H1675=0,"Parado (sem venda 90d)",IF(Z1675&gt;12,"Alto (&gt;12x/ano)",IF(Z1675&gt;=4,"Medio (4-12x/ano)","Baixo (&lt;4x/ano)"))))</f>
        <v/>
      </c>
    </row>
    <row r="1676" customFormat="false" ht="15" hidden="false" customHeight="true" outlineLevel="0" collapsed="false">
      <c r="A1676" s="6"/>
      <c r="B1676" s="6"/>
      <c r="C1676" s="6"/>
      <c r="D1676" s="6"/>
      <c r="E1676" s="6"/>
      <c r="F1676" s="6"/>
      <c r="G1676" s="6"/>
      <c r="H1676" s="6"/>
      <c r="I1676" s="6"/>
      <c r="J1676" s="6"/>
      <c r="K1676" s="18"/>
      <c r="L1676" s="19" t="str">
        <f aca="false">IF(A1676="","",G1676*K1676)</f>
        <v/>
      </c>
      <c r="M1676" s="20"/>
      <c r="N1676" s="6"/>
      <c r="O1676" s="6"/>
      <c r="P1676" s="5" t="str">
        <f aca="false">IF(A1676="","",H1676/90)</f>
        <v/>
      </c>
      <c r="Q1676" s="5" t="str">
        <f aca="false">IF(A1676="","",IFERROR(INDEX(Parâmetros!$C$6:$C$10,MATCH(F1676,Parâmetros!$B$6:$B$10,0)),""))</f>
        <v/>
      </c>
      <c r="R1676" s="5" t="str">
        <f aca="false">IF(OR(A1676="",P1676="",Q1676=""),"",P1676*Q1676)</f>
        <v/>
      </c>
      <c r="S1676" s="5" t="str">
        <f aca="false">IF(R1676="","",MAX(0,R1676-G1676))</f>
        <v/>
      </c>
      <c r="T1676" s="21" t="str">
        <f aca="false">IF(S1676="","",S1676*K1676)</f>
        <v/>
      </c>
      <c r="U1676" s="5" t="str">
        <f aca="false">IF(A1676="","",IF(J1676&gt;Parâmetros!$C$14,"SIM","NAO"))</f>
        <v/>
      </c>
      <c r="V1676" s="5" t="str">
        <f aca="false">IF(B1676="","",TRIM(LEFT(B1676,IFERROR(FIND(" ",B1676)-1,LEN(B1676)))))</f>
        <v/>
      </c>
      <c r="W1676" s="22"/>
      <c r="X1676" s="5" t="str">
        <f aca="false">IF(A1676="","",IF(W1676&lt;&gt;"",W1676,V1676))</f>
        <v/>
      </c>
      <c r="Y1676" s="5" t="str">
        <f aca="false">IF(A1676="","",IF(COUNTIFS($X$2:$X$2001,X1676,$D$2:$D$2001,"&lt;&gt;"&amp;D1676,$C$2:$C$2001,C1676)&gt;0,"SIM","NAO"))</f>
        <v/>
      </c>
      <c r="Z1676" s="5" t="str">
        <f aca="false">IF(A1676="","",IF(J1676="","",IFERROR(360/J1676,"")))</f>
        <v/>
      </c>
      <c r="AA1676" s="5" t="str">
        <f aca="false">IF(A1676="","",IF(H1676=0,"Parado (sem venda 90d)",IF(Z1676&gt;12,"Alto (&gt;12x/ano)",IF(Z1676&gt;=4,"Medio (4-12x/ano)","Baixo (&lt;4x/ano)"))))</f>
        <v/>
      </c>
    </row>
    <row r="1677" customFormat="false" ht="15" hidden="false" customHeight="true" outlineLevel="0" collapsed="false">
      <c r="A1677" s="6"/>
      <c r="B1677" s="6"/>
      <c r="C1677" s="6"/>
      <c r="D1677" s="6"/>
      <c r="E1677" s="6"/>
      <c r="F1677" s="6"/>
      <c r="G1677" s="6"/>
      <c r="H1677" s="6"/>
      <c r="I1677" s="6"/>
      <c r="J1677" s="6"/>
      <c r="K1677" s="18"/>
      <c r="L1677" s="19" t="str">
        <f aca="false">IF(A1677="","",G1677*K1677)</f>
        <v/>
      </c>
      <c r="M1677" s="20"/>
      <c r="N1677" s="6"/>
      <c r="O1677" s="6"/>
      <c r="P1677" s="5" t="str">
        <f aca="false">IF(A1677="","",H1677/90)</f>
        <v/>
      </c>
      <c r="Q1677" s="5" t="str">
        <f aca="false">IF(A1677="","",IFERROR(INDEX(Parâmetros!$C$6:$C$10,MATCH(F1677,Parâmetros!$B$6:$B$10,0)),""))</f>
        <v/>
      </c>
      <c r="R1677" s="5" t="str">
        <f aca="false">IF(OR(A1677="",P1677="",Q1677=""),"",P1677*Q1677)</f>
        <v/>
      </c>
      <c r="S1677" s="5" t="str">
        <f aca="false">IF(R1677="","",MAX(0,R1677-G1677))</f>
        <v/>
      </c>
      <c r="T1677" s="21" t="str">
        <f aca="false">IF(S1677="","",S1677*K1677)</f>
        <v/>
      </c>
      <c r="U1677" s="5" t="str">
        <f aca="false">IF(A1677="","",IF(J1677&gt;Parâmetros!$C$14,"SIM","NAO"))</f>
        <v/>
      </c>
      <c r="V1677" s="5" t="str">
        <f aca="false">IF(B1677="","",TRIM(LEFT(B1677,IFERROR(FIND(" ",B1677)-1,LEN(B1677)))))</f>
        <v/>
      </c>
      <c r="W1677" s="22"/>
      <c r="X1677" s="5" t="str">
        <f aca="false">IF(A1677="","",IF(W1677&lt;&gt;"",W1677,V1677))</f>
        <v/>
      </c>
      <c r="Y1677" s="5" t="str">
        <f aca="false">IF(A1677="","",IF(COUNTIFS($X$2:$X$2001,X1677,$D$2:$D$2001,"&lt;&gt;"&amp;D1677,$C$2:$C$2001,C1677)&gt;0,"SIM","NAO"))</f>
        <v/>
      </c>
      <c r="Z1677" s="5" t="str">
        <f aca="false">IF(A1677="","",IF(J1677="","",IFERROR(360/J1677,"")))</f>
        <v/>
      </c>
      <c r="AA1677" s="5" t="str">
        <f aca="false">IF(A1677="","",IF(H1677=0,"Parado (sem venda 90d)",IF(Z1677&gt;12,"Alto (&gt;12x/ano)",IF(Z1677&gt;=4,"Medio (4-12x/ano)","Baixo (&lt;4x/ano)"))))</f>
        <v/>
      </c>
    </row>
    <row r="1678" customFormat="false" ht="15" hidden="false" customHeight="true" outlineLevel="0" collapsed="false">
      <c r="A1678" s="6"/>
      <c r="B1678" s="6"/>
      <c r="C1678" s="6"/>
      <c r="D1678" s="6"/>
      <c r="E1678" s="6"/>
      <c r="F1678" s="6"/>
      <c r="G1678" s="6"/>
      <c r="H1678" s="6"/>
      <c r="I1678" s="6"/>
      <c r="J1678" s="6"/>
      <c r="K1678" s="18"/>
      <c r="L1678" s="19" t="str">
        <f aca="false">IF(A1678="","",G1678*K1678)</f>
        <v/>
      </c>
      <c r="M1678" s="20"/>
      <c r="N1678" s="6"/>
      <c r="O1678" s="6"/>
      <c r="P1678" s="5" t="str">
        <f aca="false">IF(A1678="","",H1678/90)</f>
        <v/>
      </c>
      <c r="Q1678" s="5" t="str">
        <f aca="false">IF(A1678="","",IFERROR(INDEX(Parâmetros!$C$6:$C$10,MATCH(F1678,Parâmetros!$B$6:$B$10,0)),""))</f>
        <v/>
      </c>
      <c r="R1678" s="5" t="str">
        <f aca="false">IF(OR(A1678="",P1678="",Q1678=""),"",P1678*Q1678)</f>
        <v/>
      </c>
      <c r="S1678" s="5" t="str">
        <f aca="false">IF(R1678="","",MAX(0,R1678-G1678))</f>
        <v/>
      </c>
      <c r="T1678" s="21" t="str">
        <f aca="false">IF(S1678="","",S1678*K1678)</f>
        <v/>
      </c>
      <c r="U1678" s="5" t="str">
        <f aca="false">IF(A1678="","",IF(J1678&gt;Parâmetros!$C$14,"SIM","NAO"))</f>
        <v/>
      </c>
      <c r="V1678" s="5" t="str">
        <f aca="false">IF(B1678="","",TRIM(LEFT(B1678,IFERROR(FIND(" ",B1678)-1,LEN(B1678)))))</f>
        <v/>
      </c>
      <c r="W1678" s="22"/>
      <c r="X1678" s="5" t="str">
        <f aca="false">IF(A1678="","",IF(W1678&lt;&gt;"",W1678,V1678))</f>
        <v/>
      </c>
      <c r="Y1678" s="5" t="str">
        <f aca="false">IF(A1678="","",IF(COUNTIFS($X$2:$X$2001,X1678,$D$2:$D$2001,"&lt;&gt;"&amp;D1678,$C$2:$C$2001,C1678)&gt;0,"SIM","NAO"))</f>
        <v/>
      </c>
      <c r="Z1678" s="5" t="str">
        <f aca="false">IF(A1678="","",IF(J1678="","",IFERROR(360/J1678,"")))</f>
        <v/>
      </c>
      <c r="AA1678" s="5" t="str">
        <f aca="false">IF(A1678="","",IF(H1678=0,"Parado (sem venda 90d)",IF(Z1678&gt;12,"Alto (&gt;12x/ano)",IF(Z1678&gt;=4,"Medio (4-12x/ano)","Baixo (&lt;4x/ano)"))))</f>
        <v/>
      </c>
    </row>
    <row r="1679" customFormat="false" ht="15" hidden="false" customHeight="true" outlineLevel="0" collapsed="false">
      <c r="A1679" s="6"/>
      <c r="B1679" s="6"/>
      <c r="C1679" s="6"/>
      <c r="D1679" s="6"/>
      <c r="E1679" s="6"/>
      <c r="F1679" s="6"/>
      <c r="G1679" s="6"/>
      <c r="H1679" s="6"/>
      <c r="I1679" s="6"/>
      <c r="J1679" s="6"/>
      <c r="K1679" s="18"/>
      <c r="L1679" s="19" t="str">
        <f aca="false">IF(A1679="","",G1679*K1679)</f>
        <v/>
      </c>
      <c r="M1679" s="20"/>
      <c r="N1679" s="6"/>
      <c r="O1679" s="6"/>
      <c r="P1679" s="5" t="str">
        <f aca="false">IF(A1679="","",H1679/90)</f>
        <v/>
      </c>
      <c r="Q1679" s="5" t="str">
        <f aca="false">IF(A1679="","",IFERROR(INDEX(Parâmetros!$C$6:$C$10,MATCH(F1679,Parâmetros!$B$6:$B$10,0)),""))</f>
        <v/>
      </c>
      <c r="R1679" s="5" t="str">
        <f aca="false">IF(OR(A1679="",P1679="",Q1679=""),"",P1679*Q1679)</f>
        <v/>
      </c>
      <c r="S1679" s="5" t="str">
        <f aca="false">IF(R1679="","",MAX(0,R1679-G1679))</f>
        <v/>
      </c>
      <c r="T1679" s="21" t="str">
        <f aca="false">IF(S1679="","",S1679*K1679)</f>
        <v/>
      </c>
      <c r="U1679" s="5" t="str">
        <f aca="false">IF(A1679="","",IF(J1679&gt;Parâmetros!$C$14,"SIM","NAO"))</f>
        <v/>
      </c>
      <c r="V1679" s="5" t="str">
        <f aca="false">IF(B1679="","",TRIM(LEFT(B1679,IFERROR(FIND(" ",B1679)-1,LEN(B1679)))))</f>
        <v/>
      </c>
      <c r="W1679" s="22"/>
      <c r="X1679" s="5" t="str">
        <f aca="false">IF(A1679="","",IF(W1679&lt;&gt;"",W1679,V1679))</f>
        <v/>
      </c>
      <c r="Y1679" s="5" t="str">
        <f aca="false">IF(A1679="","",IF(COUNTIFS($X$2:$X$2001,X1679,$D$2:$D$2001,"&lt;&gt;"&amp;D1679,$C$2:$C$2001,C1679)&gt;0,"SIM","NAO"))</f>
        <v/>
      </c>
      <c r="Z1679" s="5" t="str">
        <f aca="false">IF(A1679="","",IF(J1679="","",IFERROR(360/J1679,"")))</f>
        <v/>
      </c>
      <c r="AA1679" s="5" t="str">
        <f aca="false">IF(A1679="","",IF(H1679=0,"Parado (sem venda 90d)",IF(Z1679&gt;12,"Alto (&gt;12x/ano)",IF(Z1679&gt;=4,"Medio (4-12x/ano)","Baixo (&lt;4x/ano)"))))</f>
        <v/>
      </c>
    </row>
    <row r="1680" customFormat="false" ht="15" hidden="false" customHeight="true" outlineLevel="0" collapsed="false">
      <c r="A1680" s="6"/>
      <c r="B1680" s="6"/>
      <c r="C1680" s="6"/>
      <c r="D1680" s="6"/>
      <c r="E1680" s="6"/>
      <c r="F1680" s="6"/>
      <c r="G1680" s="6"/>
      <c r="H1680" s="6"/>
      <c r="I1680" s="6"/>
      <c r="J1680" s="6"/>
      <c r="K1680" s="18"/>
      <c r="L1680" s="19" t="str">
        <f aca="false">IF(A1680="","",G1680*K1680)</f>
        <v/>
      </c>
      <c r="M1680" s="20"/>
      <c r="N1680" s="6"/>
      <c r="O1680" s="6"/>
      <c r="P1680" s="5" t="str">
        <f aca="false">IF(A1680="","",H1680/90)</f>
        <v/>
      </c>
      <c r="Q1680" s="5" t="str">
        <f aca="false">IF(A1680="","",IFERROR(INDEX(Parâmetros!$C$6:$C$10,MATCH(F1680,Parâmetros!$B$6:$B$10,0)),""))</f>
        <v/>
      </c>
      <c r="R1680" s="5" t="str">
        <f aca="false">IF(OR(A1680="",P1680="",Q1680=""),"",P1680*Q1680)</f>
        <v/>
      </c>
      <c r="S1680" s="5" t="str">
        <f aca="false">IF(R1680="","",MAX(0,R1680-G1680))</f>
        <v/>
      </c>
      <c r="T1680" s="21" t="str">
        <f aca="false">IF(S1680="","",S1680*K1680)</f>
        <v/>
      </c>
      <c r="U1680" s="5" t="str">
        <f aca="false">IF(A1680="","",IF(J1680&gt;Parâmetros!$C$14,"SIM","NAO"))</f>
        <v/>
      </c>
      <c r="V1680" s="5" t="str">
        <f aca="false">IF(B1680="","",TRIM(LEFT(B1680,IFERROR(FIND(" ",B1680)-1,LEN(B1680)))))</f>
        <v/>
      </c>
      <c r="W1680" s="22"/>
      <c r="X1680" s="5" t="str">
        <f aca="false">IF(A1680="","",IF(W1680&lt;&gt;"",W1680,V1680))</f>
        <v/>
      </c>
      <c r="Y1680" s="5" t="str">
        <f aca="false">IF(A1680="","",IF(COUNTIFS($X$2:$X$2001,X1680,$D$2:$D$2001,"&lt;&gt;"&amp;D1680,$C$2:$C$2001,C1680)&gt;0,"SIM","NAO"))</f>
        <v/>
      </c>
      <c r="Z1680" s="5" t="str">
        <f aca="false">IF(A1680="","",IF(J1680="","",IFERROR(360/J1680,"")))</f>
        <v/>
      </c>
      <c r="AA1680" s="5" t="str">
        <f aca="false">IF(A1680="","",IF(H1680=0,"Parado (sem venda 90d)",IF(Z1680&gt;12,"Alto (&gt;12x/ano)",IF(Z1680&gt;=4,"Medio (4-12x/ano)","Baixo (&lt;4x/ano)"))))</f>
        <v/>
      </c>
    </row>
    <row r="1681" customFormat="false" ht="15" hidden="false" customHeight="true" outlineLevel="0" collapsed="false">
      <c r="A1681" s="6"/>
      <c r="B1681" s="6"/>
      <c r="C1681" s="6"/>
      <c r="D1681" s="6"/>
      <c r="E1681" s="6"/>
      <c r="F1681" s="6"/>
      <c r="G1681" s="6"/>
      <c r="H1681" s="6"/>
      <c r="I1681" s="6"/>
      <c r="J1681" s="6"/>
      <c r="K1681" s="18"/>
      <c r="L1681" s="19" t="str">
        <f aca="false">IF(A1681="","",G1681*K1681)</f>
        <v/>
      </c>
      <c r="M1681" s="20"/>
      <c r="N1681" s="6"/>
      <c r="O1681" s="6"/>
      <c r="P1681" s="5" t="str">
        <f aca="false">IF(A1681="","",H1681/90)</f>
        <v/>
      </c>
      <c r="Q1681" s="5" t="str">
        <f aca="false">IF(A1681="","",IFERROR(INDEX(Parâmetros!$C$6:$C$10,MATCH(F1681,Parâmetros!$B$6:$B$10,0)),""))</f>
        <v/>
      </c>
      <c r="R1681" s="5" t="str">
        <f aca="false">IF(OR(A1681="",P1681="",Q1681=""),"",P1681*Q1681)</f>
        <v/>
      </c>
      <c r="S1681" s="5" t="str">
        <f aca="false">IF(R1681="","",MAX(0,R1681-G1681))</f>
        <v/>
      </c>
      <c r="T1681" s="21" t="str">
        <f aca="false">IF(S1681="","",S1681*K1681)</f>
        <v/>
      </c>
      <c r="U1681" s="5" t="str">
        <f aca="false">IF(A1681="","",IF(J1681&gt;Parâmetros!$C$14,"SIM","NAO"))</f>
        <v/>
      </c>
      <c r="V1681" s="5" t="str">
        <f aca="false">IF(B1681="","",TRIM(LEFT(B1681,IFERROR(FIND(" ",B1681)-1,LEN(B1681)))))</f>
        <v/>
      </c>
      <c r="W1681" s="22"/>
      <c r="X1681" s="5" t="str">
        <f aca="false">IF(A1681="","",IF(W1681&lt;&gt;"",W1681,V1681))</f>
        <v/>
      </c>
      <c r="Y1681" s="5" t="str">
        <f aca="false">IF(A1681="","",IF(COUNTIFS($X$2:$X$2001,X1681,$D$2:$D$2001,"&lt;&gt;"&amp;D1681,$C$2:$C$2001,C1681)&gt;0,"SIM","NAO"))</f>
        <v/>
      </c>
      <c r="Z1681" s="5" t="str">
        <f aca="false">IF(A1681="","",IF(J1681="","",IFERROR(360/J1681,"")))</f>
        <v/>
      </c>
      <c r="AA1681" s="5" t="str">
        <f aca="false">IF(A1681="","",IF(H1681=0,"Parado (sem venda 90d)",IF(Z1681&gt;12,"Alto (&gt;12x/ano)",IF(Z1681&gt;=4,"Medio (4-12x/ano)","Baixo (&lt;4x/ano)"))))</f>
        <v/>
      </c>
    </row>
    <row r="1682" customFormat="false" ht="15" hidden="false" customHeight="true" outlineLevel="0" collapsed="false">
      <c r="A1682" s="6"/>
      <c r="B1682" s="6"/>
      <c r="C1682" s="6"/>
      <c r="D1682" s="6"/>
      <c r="E1682" s="6"/>
      <c r="F1682" s="6"/>
      <c r="G1682" s="6"/>
      <c r="H1682" s="6"/>
      <c r="I1682" s="6"/>
      <c r="J1682" s="6"/>
      <c r="K1682" s="18"/>
      <c r="L1682" s="19" t="str">
        <f aca="false">IF(A1682="","",G1682*K1682)</f>
        <v/>
      </c>
      <c r="M1682" s="20"/>
      <c r="N1682" s="6"/>
      <c r="O1682" s="6"/>
      <c r="P1682" s="5" t="str">
        <f aca="false">IF(A1682="","",H1682/90)</f>
        <v/>
      </c>
      <c r="Q1682" s="5" t="str">
        <f aca="false">IF(A1682="","",IFERROR(INDEX(Parâmetros!$C$6:$C$10,MATCH(F1682,Parâmetros!$B$6:$B$10,0)),""))</f>
        <v/>
      </c>
      <c r="R1682" s="5" t="str">
        <f aca="false">IF(OR(A1682="",P1682="",Q1682=""),"",P1682*Q1682)</f>
        <v/>
      </c>
      <c r="S1682" s="5" t="str">
        <f aca="false">IF(R1682="","",MAX(0,R1682-G1682))</f>
        <v/>
      </c>
      <c r="T1682" s="21" t="str">
        <f aca="false">IF(S1682="","",S1682*K1682)</f>
        <v/>
      </c>
      <c r="U1682" s="5" t="str">
        <f aca="false">IF(A1682="","",IF(J1682&gt;Parâmetros!$C$14,"SIM","NAO"))</f>
        <v/>
      </c>
      <c r="V1682" s="5" t="str">
        <f aca="false">IF(B1682="","",TRIM(LEFT(B1682,IFERROR(FIND(" ",B1682)-1,LEN(B1682)))))</f>
        <v/>
      </c>
      <c r="W1682" s="22"/>
      <c r="X1682" s="5" t="str">
        <f aca="false">IF(A1682="","",IF(W1682&lt;&gt;"",W1682,V1682))</f>
        <v/>
      </c>
      <c r="Y1682" s="5" t="str">
        <f aca="false">IF(A1682="","",IF(COUNTIFS($X$2:$X$2001,X1682,$D$2:$D$2001,"&lt;&gt;"&amp;D1682,$C$2:$C$2001,C1682)&gt;0,"SIM","NAO"))</f>
        <v/>
      </c>
      <c r="Z1682" s="5" t="str">
        <f aca="false">IF(A1682="","",IF(J1682="","",IFERROR(360/J1682,"")))</f>
        <v/>
      </c>
      <c r="AA1682" s="5" t="str">
        <f aca="false">IF(A1682="","",IF(H1682=0,"Parado (sem venda 90d)",IF(Z1682&gt;12,"Alto (&gt;12x/ano)",IF(Z1682&gt;=4,"Medio (4-12x/ano)","Baixo (&lt;4x/ano)"))))</f>
        <v/>
      </c>
    </row>
    <row r="1683" customFormat="false" ht="15" hidden="false" customHeight="true" outlineLevel="0" collapsed="false">
      <c r="A1683" s="6"/>
      <c r="B1683" s="6"/>
      <c r="C1683" s="6"/>
      <c r="D1683" s="6"/>
      <c r="E1683" s="6"/>
      <c r="F1683" s="6"/>
      <c r="G1683" s="6"/>
      <c r="H1683" s="6"/>
      <c r="I1683" s="6"/>
      <c r="J1683" s="6"/>
      <c r="K1683" s="18"/>
      <c r="L1683" s="19" t="str">
        <f aca="false">IF(A1683="","",G1683*K1683)</f>
        <v/>
      </c>
      <c r="M1683" s="20"/>
      <c r="N1683" s="6"/>
      <c r="O1683" s="6"/>
      <c r="P1683" s="5" t="str">
        <f aca="false">IF(A1683="","",H1683/90)</f>
        <v/>
      </c>
      <c r="Q1683" s="5" t="str">
        <f aca="false">IF(A1683="","",IFERROR(INDEX(Parâmetros!$C$6:$C$10,MATCH(F1683,Parâmetros!$B$6:$B$10,0)),""))</f>
        <v/>
      </c>
      <c r="R1683" s="5" t="str">
        <f aca="false">IF(OR(A1683="",P1683="",Q1683=""),"",P1683*Q1683)</f>
        <v/>
      </c>
      <c r="S1683" s="5" t="str">
        <f aca="false">IF(R1683="","",MAX(0,R1683-G1683))</f>
        <v/>
      </c>
      <c r="T1683" s="21" t="str">
        <f aca="false">IF(S1683="","",S1683*K1683)</f>
        <v/>
      </c>
      <c r="U1683" s="5" t="str">
        <f aca="false">IF(A1683="","",IF(J1683&gt;Parâmetros!$C$14,"SIM","NAO"))</f>
        <v/>
      </c>
      <c r="V1683" s="5" t="str">
        <f aca="false">IF(B1683="","",TRIM(LEFT(B1683,IFERROR(FIND(" ",B1683)-1,LEN(B1683)))))</f>
        <v/>
      </c>
      <c r="W1683" s="22"/>
      <c r="X1683" s="5" t="str">
        <f aca="false">IF(A1683="","",IF(W1683&lt;&gt;"",W1683,V1683))</f>
        <v/>
      </c>
      <c r="Y1683" s="5" t="str">
        <f aca="false">IF(A1683="","",IF(COUNTIFS($X$2:$X$2001,X1683,$D$2:$D$2001,"&lt;&gt;"&amp;D1683,$C$2:$C$2001,C1683)&gt;0,"SIM","NAO"))</f>
        <v/>
      </c>
      <c r="Z1683" s="5" t="str">
        <f aca="false">IF(A1683="","",IF(J1683="","",IFERROR(360/J1683,"")))</f>
        <v/>
      </c>
      <c r="AA1683" s="5" t="str">
        <f aca="false">IF(A1683="","",IF(H1683=0,"Parado (sem venda 90d)",IF(Z1683&gt;12,"Alto (&gt;12x/ano)",IF(Z1683&gt;=4,"Medio (4-12x/ano)","Baixo (&lt;4x/ano)"))))</f>
        <v/>
      </c>
    </row>
    <row r="1684" customFormat="false" ht="15" hidden="false" customHeight="true" outlineLevel="0" collapsed="false">
      <c r="A1684" s="6"/>
      <c r="B1684" s="6"/>
      <c r="C1684" s="6"/>
      <c r="D1684" s="6"/>
      <c r="E1684" s="6"/>
      <c r="F1684" s="6"/>
      <c r="G1684" s="6"/>
      <c r="H1684" s="6"/>
      <c r="I1684" s="6"/>
      <c r="J1684" s="6"/>
      <c r="K1684" s="18"/>
      <c r="L1684" s="19" t="str">
        <f aca="false">IF(A1684="","",G1684*K1684)</f>
        <v/>
      </c>
      <c r="M1684" s="20"/>
      <c r="N1684" s="6"/>
      <c r="O1684" s="6"/>
      <c r="P1684" s="5" t="str">
        <f aca="false">IF(A1684="","",H1684/90)</f>
        <v/>
      </c>
      <c r="Q1684" s="5" t="str">
        <f aca="false">IF(A1684="","",IFERROR(INDEX(Parâmetros!$C$6:$C$10,MATCH(F1684,Parâmetros!$B$6:$B$10,0)),""))</f>
        <v/>
      </c>
      <c r="R1684" s="5" t="str">
        <f aca="false">IF(OR(A1684="",P1684="",Q1684=""),"",P1684*Q1684)</f>
        <v/>
      </c>
      <c r="S1684" s="5" t="str">
        <f aca="false">IF(R1684="","",MAX(0,R1684-G1684))</f>
        <v/>
      </c>
      <c r="T1684" s="21" t="str">
        <f aca="false">IF(S1684="","",S1684*K1684)</f>
        <v/>
      </c>
      <c r="U1684" s="5" t="str">
        <f aca="false">IF(A1684="","",IF(J1684&gt;Parâmetros!$C$14,"SIM","NAO"))</f>
        <v/>
      </c>
      <c r="V1684" s="5" t="str">
        <f aca="false">IF(B1684="","",TRIM(LEFT(B1684,IFERROR(FIND(" ",B1684)-1,LEN(B1684)))))</f>
        <v/>
      </c>
      <c r="W1684" s="22"/>
      <c r="X1684" s="5" t="str">
        <f aca="false">IF(A1684="","",IF(W1684&lt;&gt;"",W1684,V1684))</f>
        <v/>
      </c>
      <c r="Y1684" s="5" t="str">
        <f aca="false">IF(A1684="","",IF(COUNTIFS($X$2:$X$2001,X1684,$D$2:$D$2001,"&lt;&gt;"&amp;D1684,$C$2:$C$2001,C1684)&gt;0,"SIM","NAO"))</f>
        <v/>
      </c>
      <c r="Z1684" s="5" t="str">
        <f aca="false">IF(A1684="","",IF(J1684="","",IFERROR(360/J1684,"")))</f>
        <v/>
      </c>
      <c r="AA1684" s="5" t="str">
        <f aca="false">IF(A1684="","",IF(H1684=0,"Parado (sem venda 90d)",IF(Z1684&gt;12,"Alto (&gt;12x/ano)",IF(Z1684&gt;=4,"Medio (4-12x/ano)","Baixo (&lt;4x/ano)"))))</f>
        <v/>
      </c>
    </row>
    <row r="1685" customFormat="false" ht="15" hidden="false" customHeight="true" outlineLevel="0" collapsed="false">
      <c r="A1685" s="6"/>
      <c r="B1685" s="6"/>
      <c r="C1685" s="6"/>
      <c r="D1685" s="6"/>
      <c r="E1685" s="6"/>
      <c r="F1685" s="6"/>
      <c r="G1685" s="6"/>
      <c r="H1685" s="6"/>
      <c r="I1685" s="6"/>
      <c r="J1685" s="6"/>
      <c r="K1685" s="18"/>
      <c r="L1685" s="19" t="str">
        <f aca="false">IF(A1685="","",G1685*K1685)</f>
        <v/>
      </c>
      <c r="M1685" s="20"/>
      <c r="N1685" s="6"/>
      <c r="O1685" s="6"/>
      <c r="P1685" s="5" t="str">
        <f aca="false">IF(A1685="","",H1685/90)</f>
        <v/>
      </c>
      <c r="Q1685" s="5" t="str">
        <f aca="false">IF(A1685="","",IFERROR(INDEX(Parâmetros!$C$6:$C$10,MATCH(F1685,Parâmetros!$B$6:$B$10,0)),""))</f>
        <v/>
      </c>
      <c r="R1685" s="5" t="str">
        <f aca="false">IF(OR(A1685="",P1685="",Q1685=""),"",P1685*Q1685)</f>
        <v/>
      </c>
      <c r="S1685" s="5" t="str">
        <f aca="false">IF(R1685="","",MAX(0,R1685-G1685))</f>
        <v/>
      </c>
      <c r="T1685" s="21" t="str">
        <f aca="false">IF(S1685="","",S1685*K1685)</f>
        <v/>
      </c>
      <c r="U1685" s="5" t="str">
        <f aca="false">IF(A1685="","",IF(J1685&gt;Parâmetros!$C$14,"SIM","NAO"))</f>
        <v/>
      </c>
      <c r="V1685" s="5" t="str">
        <f aca="false">IF(B1685="","",TRIM(LEFT(B1685,IFERROR(FIND(" ",B1685)-1,LEN(B1685)))))</f>
        <v/>
      </c>
      <c r="W1685" s="22"/>
      <c r="X1685" s="5" t="str">
        <f aca="false">IF(A1685="","",IF(W1685&lt;&gt;"",W1685,V1685))</f>
        <v/>
      </c>
      <c r="Y1685" s="5" t="str">
        <f aca="false">IF(A1685="","",IF(COUNTIFS($X$2:$X$2001,X1685,$D$2:$D$2001,"&lt;&gt;"&amp;D1685,$C$2:$C$2001,C1685)&gt;0,"SIM","NAO"))</f>
        <v/>
      </c>
      <c r="Z1685" s="5" t="str">
        <f aca="false">IF(A1685="","",IF(J1685="","",IFERROR(360/J1685,"")))</f>
        <v/>
      </c>
      <c r="AA1685" s="5" t="str">
        <f aca="false">IF(A1685="","",IF(H1685=0,"Parado (sem venda 90d)",IF(Z1685&gt;12,"Alto (&gt;12x/ano)",IF(Z1685&gt;=4,"Medio (4-12x/ano)","Baixo (&lt;4x/ano)"))))</f>
        <v/>
      </c>
    </row>
    <row r="1686" customFormat="false" ht="15" hidden="false" customHeight="true" outlineLevel="0" collapsed="false">
      <c r="A1686" s="6"/>
      <c r="B1686" s="6"/>
      <c r="C1686" s="6"/>
      <c r="D1686" s="6"/>
      <c r="E1686" s="6"/>
      <c r="F1686" s="6"/>
      <c r="G1686" s="6"/>
      <c r="H1686" s="6"/>
      <c r="I1686" s="6"/>
      <c r="J1686" s="6"/>
      <c r="K1686" s="18"/>
      <c r="L1686" s="19" t="str">
        <f aca="false">IF(A1686="","",G1686*K1686)</f>
        <v/>
      </c>
      <c r="M1686" s="20"/>
      <c r="N1686" s="6"/>
      <c r="O1686" s="6"/>
      <c r="P1686" s="5" t="str">
        <f aca="false">IF(A1686="","",H1686/90)</f>
        <v/>
      </c>
      <c r="Q1686" s="5" t="str">
        <f aca="false">IF(A1686="","",IFERROR(INDEX(Parâmetros!$C$6:$C$10,MATCH(F1686,Parâmetros!$B$6:$B$10,0)),""))</f>
        <v/>
      </c>
      <c r="R1686" s="5" t="str">
        <f aca="false">IF(OR(A1686="",P1686="",Q1686=""),"",P1686*Q1686)</f>
        <v/>
      </c>
      <c r="S1686" s="5" t="str">
        <f aca="false">IF(R1686="","",MAX(0,R1686-G1686))</f>
        <v/>
      </c>
      <c r="T1686" s="21" t="str">
        <f aca="false">IF(S1686="","",S1686*K1686)</f>
        <v/>
      </c>
      <c r="U1686" s="5" t="str">
        <f aca="false">IF(A1686="","",IF(J1686&gt;Parâmetros!$C$14,"SIM","NAO"))</f>
        <v/>
      </c>
      <c r="V1686" s="5" t="str">
        <f aca="false">IF(B1686="","",TRIM(LEFT(B1686,IFERROR(FIND(" ",B1686)-1,LEN(B1686)))))</f>
        <v/>
      </c>
      <c r="W1686" s="22"/>
      <c r="X1686" s="5" t="str">
        <f aca="false">IF(A1686="","",IF(W1686&lt;&gt;"",W1686,V1686))</f>
        <v/>
      </c>
      <c r="Y1686" s="5" t="str">
        <f aca="false">IF(A1686="","",IF(COUNTIFS($X$2:$X$2001,X1686,$D$2:$D$2001,"&lt;&gt;"&amp;D1686,$C$2:$C$2001,C1686)&gt;0,"SIM","NAO"))</f>
        <v/>
      </c>
      <c r="Z1686" s="5" t="str">
        <f aca="false">IF(A1686="","",IF(J1686="","",IFERROR(360/J1686,"")))</f>
        <v/>
      </c>
      <c r="AA1686" s="5" t="str">
        <f aca="false">IF(A1686="","",IF(H1686=0,"Parado (sem venda 90d)",IF(Z1686&gt;12,"Alto (&gt;12x/ano)",IF(Z1686&gt;=4,"Medio (4-12x/ano)","Baixo (&lt;4x/ano)"))))</f>
        <v/>
      </c>
    </row>
    <row r="1687" customFormat="false" ht="15" hidden="false" customHeight="true" outlineLevel="0" collapsed="false">
      <c r="A1687" s="6"/>
      <c r="B1687" s="6"/>
      <c r="C1687" s="6"/>
      <c r="D1687" s="6"/>
      <c r="E1687" s="6"/>
      <c r="F1687" s="6"/>
      <c r="G1687" s="6"/>
      <c r="H1687" s="6"/>
      <c r="I1687" s="6"/>
      <c r="J1687" s="6"/>
      <c r="K1687" s="18"/>
      <c r="L1687" s="19" t="str">
        <f aca="false">IF(A1687="","",G1687*K1687)</f>
        <v/>
      </c>
      <c r="M1687" s="20"/>
      <c r="N1687" s="6"/>
      <c r="O1687" s="6"/>
      <c r="P1687" s="5" t="str">
        <f aca="false">IF(A1687="","",H1687/90)</f>
        <v/>
      </c>
      <c r="Q1687" s="5" t="str">
        <f aca="false">IF(A1687="","",IFERROR(INDEX(Parâmetros!$C$6:$C$10,MATCH(F1687,Parâmetros!$B$6:$B$10,0)),""))</f>
        <v/>
      </c>
      <c r="R1687" s="5" t="str">
        <f aca="false">IF(OR(A1687="",P1687="",Q1687=""),"",P1687*Q1687)</f>
        <v/>
      </c>
      <c r="S1687" s="5" t="str">
        <f aca="false">IF(R1687="","",MAX(0,R1687-G1687))</f>
        <v/>
      </c>
      <c r="T1687" s="21" t="str">
        <f aca="false">IF(S1687="","",S1687*K1687)</f>
        <v/>
      </c>
      <c r="U1687" s="5" t="str">
        <f aca="false">IF(A1687="","",IF(J1687&gt;Parâmetros!$C$14,"SIM","NAO"))</f>
        <v/>
      </c>
      <c r="V1687" s="5" t="str">
        <f aca="false">IF(B1687="","",TRIM(LEFT(B1687,IFERROR(FIND(" ",B1687)-1,LEN(B1687)))))</f>
        <v/>
      </c>
      <c r="W1687" s="22"/>
      <c r="X1687" s="5" t="str">
        <f aca="false">IF(A1687="","",IF(W1687&lt;&gt;"",W1687,V1687))</f>
        <v/>
      </c>
      <c r="Y1687" s="5" t="str">
        <f aca="false">IF(A1687="","",IF(COUNTIFS($X$2:$X$2001,X1687,$D$2:$D$2001,"&lt;&gt;"&amp;D1687,$C$2:$C$2001,C1687)&gt;0,"SIM","NAO"))</f>
        <v/>
      </c>
      <c r="Z1687" s="5" t="str">
        <f aca="false">IF(A1687="","",IF(J1687="","",IFERROR(360/J1687,"")))</f>
        <v/>
      </c>
      <c r="AA1687" s="5" t="str">
        <f aca="false">IF(A1687="","",IF(H1687=0,"Parado (sem venda 90d)",IF(Z1687&gt;12,"Alto (&gt;12x/ano)",IF(Z1687&gt;=4,"Medio (4-12x/ano)","Baixo (&lt;4x/ano)"))))</f>
        <v/>
      </c>
    </row>
    <row r="1688" customFormat="false" ht="15" hidden="false" customHeight="true" outlineLevel="0" collapsed="false">
      <c r="A1688" s="6"/>
      <c r="B1688" s="6"/>
      <c r="C1688" s="6"/>
      <c r="D1688" s="6"/>
      <c r="E1688" s="6"/>
      <c r="F1688" s="6"/>
      <c r="G1688" s="6"/>
      <c r="H1688" s="6"/>
      <c r="I1688" s="6"/>
      <c r="J1688" s="6"/>
      <c r="K1688" s="18"/>
      <c r="L1688" s="19" t="str">
        <f aca="false">IF(A1688="","",G1688*K1688)</f>
        <v/>
      </c>
      <c r="M1688" s="20"/>
      <c r="N1688" s="6"/>
      <c r="O1688" s="6"/>
      <c r="P1688" s="5" t="str">
        <f aca="false">IF(A1688="","",H1688/90)</f>
        <v/>
      </c>
      <c r="Q1688" s="5" t="str">
        <f aca="false">IF(A1688="","",IFERROR(INDEX(Parâmetros!$C$6:$C$10,MATCH(F1688,Parâmetros!$B$6:$B$10,0)),""))</f>
        <v/>
      </c>
      <c r="R1688" s="5" t="str">
        <f aca="false">IF(OR(A1688="",P1688="",Q1688=""),"",P1688*Q1688)</f>
        <v/>
      </c>
      <c r="S1688" s="5" t="str">
        <f aca="false">IF(R1688="","",MAX(0,R1688-G1688))</f>
        <v/>
      </c>
      <c r="T1688" s="21" t="str">
        <f aca="false">IF(S1688="","",S1688*K1688)</f>
        <v/>
      </c>
      <c r="U1688" s="5" t="str">
        <f aca="false">IF(A1688="","",IF(J1688&gt;Parâmetros!$C$14,"SIM","NAO"))</f>
        <v/>
      </c>
      <c r="V1688" s="5" t="str">
        <f aca="false">IF(B1688="","",TRIM(LEFT(B1688,IFERROR(FIND(" ",B1688)-1,LEN(B1688)))))</f>
        <v/>
      </c>
      <c r="W1688" s="22"/>
      <c r="X1688" s="5" t="str">
        <f aca="false">IF(A1688="","",IF(W1688&lt;&gt;"",W1688,V1688))</f>
        <v/>
      </c>
      <c r="Y1688" s="5" t="str">
        <f aca="false">IF(A1688="","",IF(COUNTIFS($X$2:$X$2001,X1688,$D$2:$D$2001,"&lt;&gt;"&amp;D1688,$C$2:$C$2001,C1688)&gt;0,"SIM","NAO"))</f>
        <v/>
      </c>
      <c r="Z1688" s="5" t="str">
        <f aca="false">IF(A1688="","",IF(J1688="","",IFERROR(360/J1688,"")))</f>
        <v/>
      </c>
      <c r="AA1688" s="5" t="str">
        <f aca="false">IF(A1688="","",IF(H1688=0,"Parado (sem venda 90d)",IF(Z1688&gt;12,"Alto (&gt;12x/ano)",IF(Z1688&gt;=4,"Medio (4-12x/ano)","Baixo (&lt;4x/ano)"))))</f>
        <v/>
      </c>
    </row>
    <row r="1689" customFormat="false" ht="15" hidden="false" customHeight="true" outlineLevel="0" collapsed="false">
      <c r="A1689" s="6"/>
      <c r="B1689" s="6"/>
      <c r="C1689" s="6"/>
      <c r="D1689" s="6"/>
      <c r="E1689" s="6"/>
      <c r="F1689" s="6"/>
      <c r="G1689" s="6"/>
      <c r="H1689" s="6"/>
      <c r="I1689" s="6"/>
      <c r="J1689" s="6"/>
      <c r="K1689" s="18"/>
      <c r="L1689" s="19" t="str">
        <f aca="false">IF(A1689="","",G1689*K1689)</f>
        <v/>
      </c>
      <c r="M1689" s="20"/>
      <c r="N1689" s="6"/>
      <c r="O1689" s="6"/>
      <c r="P1689" s="5" t="str">
        <f aca="false">IF(A1689="","",H1689/90)</f>
        <v/>
      </c>
      <c r="Q1689" s="5" t="str">
        <f aca="false">IF(A1689="","",IFERROR(INDEX(Parâmetros!$C$6:$C$10,MATCH(F1689,Parâmetros!$B$6:$B$10,0)),""))</f>
        <v/>
      </c>
      <c r="R1689" s="5" t="str">
        <f aca="false">IF(OR(A1689="",P1689="",Q1689=""),"",P1689*Q1689)</f>
        <v/>
      </c>
      <c r="S1689" s="5" t="str">
        <f aca="false">IF(R1689="","",MAX(0,R1689-G1689))</f>
        <v/>
      </c>
      <c r="T1689" s="21" t="str">
        <f aca="false">IF(S1689="","",S1689*K1689)</f>
        <v/>
      </c>
      <c r="U1689" s="5" t="str">
        <f aca="false">IF(A1689="","",IF(J1689&gt;Parâmetros!$C$14,"SIM","NAO"))</f>
        <v/>
      </c>
      <c r="V1689" s="5" t="str">
        <f aca="false">IF(B1689="","",TRIM(LEFT(B1689,IFERROR(FIND(" ",B1689)-1,LEN(B1689)))))</f>
        <v/>
      </c>
      <c r="W1689" s="22"/>
      <c r="X1689" s="5" t="str">
        <f aca="false">IF(A1689="","",IF(W1689&lt;&gt;"",W1689,V1689))</f>
        <v/>
      </c>
      <c r="Y1689" s="5" t="str">
        <f aca="false">IF(A1689="","",IF(COUNTIFS($X$2:$X$2001,X1689,$D$2:$D$2001,"&lt;&gt;"&amp;D1689,$C$2:$C$2001,C1689)&gt;0,"SIM","NAO"))</f>
        <v/>
      </c>
      <c r="Z1689" s="5" t="str">
        <f aca="false">IF(A1689="","",IF(J1689="","",IFERROR(360/J1689,"")))</f>
        <v/>
      </c>
      <c r="AA1689" s="5" t="str">
        <f aca="false">IF(A1689="","",IF(H1689=0,"Parado (sem venda 90d)",IF(Z1689&gt;12,"Alto (&gt;12x/ano)",IF(Z1689&gt;=4,"Medio (4-12x/ano)","Baixo (&lt;4x/ano)"))))</f>
        <v/>
      </c>
    </row>
    <row r="1690" customFormat="false" ht="15" hidden="false" customHeight="true" outlineLevel="0" collapsed="false">
      <c r="A1690" s="6"/>
      <c r="B1690" s="6"/>
      <c r="C1690" s="6"/>
      <c r="D1690" s="6"/>
      <c r="E1690" s="6"/>
      <c r="F1690" s="6"/>
      <c r="G1690" s="6"/>
      <c r="H1690" s="6"/>
      <c r="I1690" s="6"/>
      <c r="J1690" s="6"/>
      <c r="K1690" s="18"/>
      <c r="L1690" s="19" t="str">
        <f aca="false">IF(A1690="","",G1690*K1690)</f>
        <v/>
      </c>
      <c r="M1690" s="20"/>
      <c r="N1690" s="6"/>
      <c r="O1690" s="6"/>
      <c r="P1690" s="5" t="str">
        <f aca="false">IF(A1690="","",H1690/90)</f>
        <v/>
      </c>
      <c r="Q1690" s="5" t="str">
        <f aca="false">IF(A1690="","",IFERROR(INDEX(Parâmetros!$C$6:$C$10,MATCH(F1690,Parâmetros!$B$6:$B$10,0)),""))</f>
        <v/>
      </c>
      <c r="R1690" s="5" t="str">
        <f aca="false">IF(OR(A1690="",P1690="",Q1690=""),"",P1690*Q1690)</f>
        <v/>
      </c>
      <c r="S1690" s="5" t="str">
        <f aca="false">IF(R1690="","",MAX(0,R1690-G1690))</f>
        <v/>
      </c>
      <c r="T1690" s="21" t="str">
        <f aca="false">IF(S1690="","",S1690*K1690)</f>
        <v/>
      </c>
      <c r="U1690" s="5" t="str">
        <f aca="false">IF(A1690="","",IF(J1690&gt;Parâmetros!$C$14,"SIM","NAO"))</f>
        <v/>
      </c>
      <c r="V1690" s="5" t="str">
        <f aca="false">IF(B1690="","",TRIM(LEFT(B1690,IFERROR(FIND(" ",B1690)-1,LEN(B1690)))))</f>
        <v/>
      </c>
      <c r="W1690" s="22"/>
      <c r="X1690" s="5" t="str">
        <f aca="false">IF(A1690="","",IF(W1690&lt;&gt;"",W1690,V1690))</f>
        <v/>
      </c>
      <c r="Y1690" s="5" t="str">
        <f aca="false">IF(A1690="","",IF(COUNTIFS($X$2:$X$2001,X1690,$D$2:$D$2001,"&lt;&gt;"&amp;D1690,$C$2:$C$2001,C1690)&gt;0,"SIM","NAO"))</f>
        <v/>
      </c>
      <c r="Z1690" s="5" t="str">
        <f aca="false">IF(A1690="","",IF(J1690="","",IFERROR(360/J1690,"")))</f>
        <v/>
      </c>
      <c r="AA1690" s="5" t="str">
        <f aca="false">IF(A1690="","",IF(H1690=0,"Parado (sem venda 90d)",IF(Z1690&gt;12,"Alto (&gt;12x/ano)",IF(Z1690&gt;=4,"Medio (4-12x/ano)","Baixo (&lt;4x/ano)"))))</f>
        <v/>
      </c>
    </row>
    <row r="1691" customFormat="false" ht="15" hidden="false" customHeight="true" outlineLevel="0" collapsed="false">
      <c r="A1691" s="6"/>
      <c r="B1691" s="6"/>
      <c r="C1691" s="6"/>
      <c r="D1691" s="6"/>
      <c r="E1691" s="6"/>
      <c r="F1691" s="6"/>
      <c r="G1691" s="6"/>
      <c r="H1691" s="6"/>
      <c r="I1691" s="6"/>
      <c r="J1691" s="6"/>
      <c r="K1691" s="18"/>
      <c r="L1691" s="19" t="str">
        <f aca="false">IF(A1691="","",G1691*K1691)</f>
        <v/>
      </c>
      <c r="M1691" s="20"/>
      <c r="N1691" s="6"/>
      <c r="O1691" s="6"/>
      <c r="P1691" s="5" t="str">
        <f aca="false">IF(A1691="","",H1691/90)</f>
        <v/>
      </c>
      <c r="Q1691" s="5" t="str">
        <f aca="false">IF(A1691="","",IFERROR(INDEX(Parâmetros!$C$6:$C$10,MATCH(F1691,Parâmetros!$B$6:$B$10,0)),""))</f>
        <v/>
      </c>
      <c r="R1691" s="5" t="str">
        <f aca="false">IF(OR(A1691="",P1691="",Q1691=""),"",P1691*Q1691)</f>
        <v/>
      </c>
      <c r="S1691" s="5" t="str">
        <f aca="false">IF(R1691="","",MAX(0,R1691-G1691))</f>
        <v/>
      </c>
      <c r="T1691" s="21" t="str">
        <f aca="false">IF(S1691="","",S1691*K1691)</f>
        <v/>
      </c>
      <c r="U1691" s="5" t="str">
        <f aca="false">IF(A1691="","",IF(J1691&gt;Parâmetros!$C$14,"SIM","NAO"))</f>
        <v/>
      </c>
      <c r="V1691" s="5" t="str">
        <f aca="false">IF(B1691="","",TRIM(LEFT(B1691,IFERROR(FIND(" ",B1691)-1,LEN(B1691)))))</f>
        <v/>
      </c>
      <c r="W1691" s="22"/>
      <c r="X1691" s="5" t="str">
        <f aca="false">IF(A1691="","",IF(W1691&lt;&gt;"",W1691,V1691))</f>
        <v/>
      </c>
      <c r="Y1691" s="5" t="str">
        <f aca="false">IF(A1691="","",IF(COUNTIFS($X$2:$X$2001,X1691,$D$2:$D$2001,"&lt;&gt;"&amp;D1691,$C$2:$C$2001,C1691)&gt;0,"SIM","NAO"))</f>
        <v/>
      </c>
      <c r="Z1691" s="5" t="str">
        <f aca="false">IF(A1691="","",IF(J1691="","",IFERROR(360/J1691,"")))</f>
        <v/>
      </c>
      <c r="AA1691" s="5" t="str">
        <f aca="false">IF(A1691="","",IF(H1691=0,"Parado (sem venda 90d)",IF(Z1691&gt;12,"Alto (&gt;12x/ano)",IF(Z1691&gt;=4,"Medio (4-12x/ano)","Baixo (&lt;4x/ano)"))))</f>
        <v/>
      </c>
    </row>
    <row r="1692" customFormat="false" ht="15" hidden="false" customHeight="true" outlineLevel="0" collapsed="false">
      <c r="A1692" s="6"/>
      <c r="B1692" s="6"/>
      <c r="C1692" s="6"/>
      <c r="D1692" s="6"/>
      <c r="E1692" s="6"/>
      <c r="F1692" s="6"/>
      <c r="G1692" s="6"/>
      <c r="H1692" s="6"/>
      <c r="I1692" s="6"/>
      <c r="J1692" s="6"/>
      <c r="K1692" s="18"/>
      <c r="L1692" s="19" t="str">
        <f aca="false">IF(A1692="","",G1692*K1692)</f>
        <v/>
      </c>
      <c r="M1692" s="20"/>
      <c r="N1692" s="6"/>
      <c r="O1692" s="6"/>
      <c r="P1692" s="5" t="str">
        <f aca="false">IF(A1692="","",H1692/90)</f>
        <v/>
      </c>
      <c r="Q1692" s="5" t="str">
        <f aca="false">IF(A1692="","",IFERROR(INDEX(Parâmetros!$C$6:$C$10,MATCH(F1692,Parâmetros!$B$6:$B$10,0)),""))</f>
        <v/>
      </c>
      <c r="R1692" s="5" t="str">
        <f aca="false">IF(OR(A1692="",P1692="",Q1692=""),"",P1692*Q1692)</f>
        <v/>
      </c>
      <c r="S1692" s="5" t="str">
        <f aca="false">IF(R1692="","",MAX(0,R1692-G1692))</f>
        <v/>
      </c>
      <c r="T1692" s="21" t="str">
        <f aca="false">IF(S1692="","",S1692*K1692)</f>
        <v/>
      </c>
      <c r="U1692" s="5" t="str">
        <f aca="false">IF(A1692="","",IF(J1692&gt;Parâmetros!$C$14,"SIM","NAO"))</f>
        <v/>
      </c>
      <c r="V1692" s="5" t="str">
        <f aca="false">IF(B1692="","",TRIM(LEFT(B1692,IFERROR(FIND(" ",B1692)-1,LEN(B1692)))))</f>
        <v/>
      </c>
      <c r="W1692" s="22"/>
      <c r="X1692" s="5" t="str">
        <f aca="false">IF(A1692="","",IF(W1692&lt;&gt;"",W1692,V1692))</f>
        <v/>
      </c>
      <c r="Y1692" s="5" t="str">
        <f aca="false">IF(A1692="","",IF(COUNTIFS($X$2:$X$2001,X1692,$D$2:$D$2001,"&lt;&gt;"&amp;D1692,$C$2:$C$2001,C1692)&gt;0,"SIM","NAO"))</f>
        <v/>
      </c>
      <c r="Z1692" s="5" t="str">
        <f aca="false">IF(A1692="","",IF(J1692="","",IFERROR(360/J1692,"")))</f>
        <v/>
      </c>
      <c r="AA1692" s="5" t="str">
        <f aca="false">IF(A1692="","",IF(H1692=0,"Parado (sem venda 90d)",IF(Z1692&gt;12,"Alto (&gt;12x/ano)",IF(Z1692&gt;=4,"Medio (4-12x/ano)","Baixo (&lt;4x/ano)"))))</f>
        <v/>
      </c>
    </row>
    <row r="1693" customFormat="false" ht="15" hidden="false" customHeight="true" outlineLevel="0" collapsed="false">
      <c r="A1693" s="6"/>
      <c r="B1693" s="6"/>
      <c r="C1693" s="6"/>
      <c r="D1693" s="6"/>
      <c r="E1693" s="6"/>
      <c r="F1693" s="6"/>
      <c r="G1693" s="6"/>
      <c r="H1693" s="6"/>
      <c r="I1693" s="6"/>
      <c r="J1693" s="6"/>
      <c r="K1693" s="18"/>
      <c r="L1693" s="19" t="str">
        <f aca="false">IF(A1693="","",G1693*K1693)</f>
        <v/>
      </c>
      <c r="M1693" s="20"/>
      <c r="N1693" s="6"/>
      <c r="O1693" s="6"/>
      <c r="P1693" s="5" t="str">
        <f aca="false">IF(A1693="","",H1693/90)</f>
        <v/>
      </c>
      <c r="Q1693" s="5" t="str">
        <f aca="false">IF(A1693="","",IFERROR(INDEX(Parâmetros!$C$6:$C$10,MATCH(F1693,Parâmetros!$B$6:$B$10,0)),""))</f>
        <v/>
      </c>
      <c r="R1693" s="5" t="str">
        <f aca="false">IF(OR(A1693="",P1693="",Q1693=""),"",P1693*Q1693)</f>
        <v/>
      </c>
      <c r="S1693" s="5" t="str">
        <f aca="false">IF(R1693="","",MAX(0,R1693-G1693))</f>
        <v/>
      </c>
      <c r="T1693" s="21" t="str">
        <f aca="false">IF(S1693="","",S1693*K1693)</f>
        <v/>
      </c>
      <c r="U1693" s="5" t="str">
        <f aca="false">IF(A1693="","",IF(J1693&gt;Parâmetros!$C$14,"SIM","NAO"))</f>
        <v/>
      </c>
      <c r="V1693" s="5" t="str">
        <f aca="false">IF(B1693="","",TRIM(LEFT(B1693,IFERROR(FIND(" ",B1693)-1,LEN(B1693)))))</f>
        <v/>
      </c>
      <c r="W1693" s="22"/>
      <c r="X1693" s="5" t="str">
        <f aca="false">IF(A1693="","",IF(W1693&lt;&gt;"",W1693,V1693))</f>
        <v/>
      </c>
      <c r="Y1693" s="5" t="str">
        <f aca="false">IF(A1693="","",IF(COUNTIFS($X$2:$X$2001,X1693,$D$2:$D$2001,"&lt;&gt;"&amp;D1693,$C$2:$C$2001,C1693)&gt;0,"SIM","NAO"))</f>
        <v/>
      </c>
      <c r="Z1693" s="5" t="str">
        <f aca="false">IF(A1693="","",IF(J1693="","",IFERROR(360/J1693,"")))</f>
        <v/>
      </c>
      <c r="AA1693" s="5" t="str">
        <f aca="false">IF(A1693="","",IF(H1693=0,"Parado (sem venda 90d)",IF(Z1693&gt;12,"Alto (&gt;12x/ano)",IF(Z1693&gt;=4,"Medio (4-12x/ano)","Baixo (&lt;4x/ano)"))))</f>
        <v/>
      </c>
    </row>
    <row r="1694" customFormat="false" ht="15" hidden="false" customHeight="true" outlineLevel="0" collapsed="false">
      <c r="A1694" s="6"/>
      <c r="B1694" s="6"/>
      <c r="C1694" s="6"/>
      <c r="D1694" s="6"/>
      <c r="E1694" s="6"/>
      <c r="F1694" s="6"/>
      <c r="G1694" s="6"/>
      <c r="H1694" s="6"/>
      <c r="I1694" s="6"/>
      <c r="J1694" s="6"/>
      <c r="K1694" s="18"/>
      <c r="L1694" s="19" t="str">
        <f aca="false">IF(A1694="","",G1694*K1694)</f>
        <v/>
      </c>
      <c r="M1694" s="20"/>
      <c r="N1694" s="6"/>
      <c r="O1694" s="6"/>
      <c r="P1694" s="5" t="str">
        <f aca="false">IF(A1694="","",H1694/90)</f>
        <v/>
      </c>
      <c r="Q1694" s="5" t="str">
        <f aca="false">IF(A1694="","",IFERROR(INDEX(Parâmetros!$C$6:$C$10,MATCH(F1694,Parâmetros!$B$6:$B$10,0)),""))</f>
        <v/>
      </c>
      <c r="R1694" s="5" t="str">
        <f aca="false">IF(OR(A1694="",P1694="",Q1694=""),"",P1694*Q1694)</f>
        <v/>
      </c>
      <c r="S1694" s="5" t="str">
        <f aca="false">IF(R1694="","",MAX(0,R1694-G1694))</f>
        <v/>
      </c>
      <c r="T1694" s="21" t="str">
        <f aca="false">IF(S1694="","",S1694*K1694)</f>
        <v/>
      </c>
      <c r="U1694" s="5" t="str">
        <f aca="false">IF(A1694="","",IF(J1694&gt;Parâmetros!$C$14,"SIM","NAO"))</f>
        <v/>
      </c>
      <c r="V1694" s="5" t="str">
        <f aca="false">IF(B1694="","",TRIM(LEFT(B1694,IFERROR(FIND(" ",B1694)-1,LEN(B1694)))))</f>
        <v/>
      </c>
      <c r="W1694" s="22"/>
      <c r="X1694" s="5" t="str">
        <f aca="false">IF(A1694="","",IF(W1694&lt;&gt;"",W1694,V1694))</f>
        <v/>
      </c>
      <c r="Y1694" s="5" t="str">
        <f aca="false">IF(A1694="","",IF(COUNTIFS($X$2:$X$2001,X1694,$D$2:$D$2001,"&lt;&gt;"&amp;D1694,$C$2:$C$2001,C1694)&gt;0,"SIM","NAO"))</f>
        <v/>
      </c>
      <c r="Z1694" s="5" t="str">
        <f aca="false">IF(A1694="","",IF(J1694="","",IFERROR(360/J1694,"")))</f>
        <v/>
      </c>
      <c r="AA1694" s="5" t="str">
        <f aca="false">IF(A1694="","",IF(H1694=0,"Parado (sem venda 90d)",IF(Z1694&gt;12,"Alto (&gt;12x/ano)",IF(Z1694&gt;=4,"Medio (4-12x/ano)","Baixo (&lt;4x/ano)"))))</f>
        <v/>
      </c>
    </row>
    <row r="1695" customFormat="false" ht="15" hidden="false" customHeight="true" outlineLevel="0" collapsed="false">
      <c r="A1695" s="6"/>
      <c r="B1695" s="6"/>
      <c r="C1695" s="6"/>
      <c r="D1695" s="6"/>
      <c r="E1695" s="6"/>
      <c r="F1695" s="6"/>
      <c r="G1695" s="6"/>
      <c r="H1695" s="6"/>
      <c r="I1695" s="6"/>
      <c r="J1695" s="6"/>
      <c r="K1695" s="18"/>
      <c r="L1695" s="19" t="str">
        <f aca="false">IF(A1695="","",G1695*K1695)</f>
        <v/>
      </c>
      <c r="M1695" s="20"/>
      <c r="N1695" s="6"/>
      <c r="O1695" s="6"/>
      <c r="P1695" s="5" t="str">
        <f aca="false">IF(A1695="","",H1695/90)</f>
        <v/>
      </c>
      <c r="Q1695" s="5" t="str">
        <f aca="false">IF(A1695="","",IFERROR(INDEX(Parâmetros!$C$6:$C$10,MATCH(F1695,Parâmetros!$B$6:$B$10,0)),""))</f>
        <v/>
      </c>
      <c r="R1695" s="5" t="str">
        <f aca="false">IF(OR(A1695="",P1695="",Q1695=""),"",P1695*Q1695)</f>
        <v/>
      </c>
      <c r="S1695" s="5" t="str">
        <f aca="false">IF(R1695="","",MAX(0,R1695-G1695))</f>
        <v/>
      </c>
      <c r="T1695" s="21" t="str">
        <f aca="false">IF(S1695="","",S1695*K1695)</f>
        <v/>
      </c>
      <c r="U1695" s="5" t="str">
        <f aca="false">IF(A1695="","",IF(J1695&gt;Parâmetros!$C$14,"SIM","NAO"))</f>
        <v/>
      </c>
      <c r="V1695" s="5" t="str">
        <f aca="false">IF(B1695="","",TRIM(LEFT(B1695,IFERROR(FIND(" ",B1695)-1,LEN(B1695)))))</f>
        <v/>
      </c>
      <c r="W1695" s="22"/>
      <c r="X1695" s="5" t="str">
        <f aca="false">IF(A1695="","",IF(W1695&lt;&gt;"",W1695,V1695))</f>
        <v/>
      </c>
      <c r="Y1695" s="5" t="str">
        <f aca="false">IF(A1695="","",IF(COUNTIFS($X$2:$X$2001,X1695,$D$2:$D$2001,"&lt;&gt;"&amp;D1695,$C$2:$C$2001,C1695)&gt;0,"SIM","NAO"))</f>
        <v/>
      </c>
      <c r="Z1695" s="5" t="str">
        <f aca="false">IF(A1695="","",IF(J1695="","",IFERROR(360/J1695,"")))</f>
        <v/>
      </c>
      <c r="AA1695" s="5" t="str">
        <f aca="false">IF(A1695="","",IF(H1695=0,"Parado (sem venda 90d)",IF(Z1695&gt;12,"Alto (&gt;12x/ano)",IF(Z1695&gt;=4,"Medio (4-12x/ano)","Baixo (&lt;4x/ano)"))))</f>
        <v/>
      </c>
    </row>
    <row r="1696" customFormat="false" ht="15" hidden="false" customHeight="true" outlineLevel="0" collapsed="false">
      <c r="A1696" s="6"/>
      <c r="B1696" s="6"/>
      <c r="C1696" s="6"/>
      <c r="D1696" s="6"/>
      <c r="E1696" s="6"/>
      <c r="F1696" s="6"/>
      <c r="G1696" s="6"/>
      <c r="H1696" s="6"/>
      <c r="I1696" s="6"/>
      <c r="J1696" s="6"/>
      <c r="K1696" s="18"/>
      <c r="L1696" s="19" t="str">
        <f aca="false">IF(A1696="","",G1696*K1696)</f>
        <v/>
      </c>
      <c r="M1696" s="20"/>
      <c r="N1696" s="6"/>
      <c r="O1696" s="6"/>
      <c r="P1696" s="5" t="str">
        <f aca="false">IF(A1696="","",H1696/90)</f>
        <v/>
      </c>
      <c r="Q1696" s="5" t="str">
        <f aca="false">IF(A1696="","",IFERROR(INDEX(Parâmetros!$C$6:$C$10,MATCH(F1696,Parâmetros!$B$6:$B$10,0)),""))</f>
        <v/>
      </c>
      <c r="R1696" s="5" t="str">
        <f aca="false">IF(OR(A1696="",P1696="",Q1696=""),"",P1696*Q1696)</f>
        <v/>
      </c>
      <c r="S1696" s="5" t="str">
        <f aca="false">IF(R1696="","",MAX(0,R1696-G1696))</f>
        <v/>
      </c>
      <c r="T1696" s="21" t="str">
        <f aca="false">IF(S1696="","",S1696*K1696)</f>
        <v/>
      </c>
      <c r="U1696" s="5" t="str">
        <f aca="false">IF(A1696="","",IF(J1696&gt;Parâmetros!$C$14,"SIM","NAO"))</f>
        <v/>
      </c>
      <c r="V1696" s="5" t="str">
        <f aca="false">IF(B1696="","",TRIM(LEFT(B1696,IFERROR(FIND(" ",B1696)-1,LEN(B1696)))))</f>
        <v/>
      </c>
      <c r="W1696" s="22"/>
      <c r="X1696" s="5" t="str">
        <f aca="false">IF(A1696="","",IF(W1696&lt;&gt;"",W1696,V1696))</f>
        <v/>
      </c>
      <c r="Y1696" s="5" t="str">
        <f aca="false">IF(A1696="","",IF(COUNTIFS($X$2:$X$2001,X1696,$D$2:$D$2001,"&lt;&gt;"&amp;D1696,$C$2:$C$2001,C1696)&gt;0,"SIM","NAO"))</f>
        <v/>
      </c>
      <c r="Z1696" s="5" t="str">
        <f aca="false">IF(A1696="","",IF(J1696="","",IFERROR(360/J1696,"")))</f>
        <v/>
      </c>
      <c r="AA1696" s="5" t="str">
        <f aca="false">IF(A1696="","",IF(H1696=0,"Parado (sem venda 90d)",IF(Z1696&gt;12,"Alto (&gt;12x/ano)",IF(Z1696&gt;=4,"Medio (4-12x/ano)","Baixo (&lt;4x/ano)"))))</f>
        <v/>
      </c>
    </row>
    <row r="1697" customFormat="false" ht="15" hidden="false" customHeight="true" outlineLevel="0" collapsed="false">
      <c r="A1697" s="6"/>
      <c r="B1697" s="6"/>
      <c r="C1697" s="6"/>
      <c r="D1697" s="6"/>
      <c r="E1697" s="6"/>
      <c r="F1697" s="6"/>
      <c r="G1697" s="6"/>
      <c r="H1697" s="6"/>
      <c r="I1697" s="6"/>
      <c r="J1697" s="6"/>
      <c r="K1697" s="18"/>
      <c r="L1697" s="19" t="str">
        <f aca="false">IF(A1697="","",G1697*K1697)</f>
        <v/>
      </c>
      <c r="M1697" s="20"/>
      <c r="N1697" s="6"/>
      <c r="O1697" s="6"/>
      <c r="P1697" s="5" t="str">
        <f aca="false">IF(A1697="","",H1697/90)</f>
        <v/>
      </c>
      <c r="Q1697" s="5" t="str">
        <f aca="false">IF(A1697="","",IFERROR(INDEX(Parâmetros!$C$6:$C$10,MATCH(F1697,Parâmetros!$B$6:$B$10,0)),""))</f>
        <v/>
      </c>
      <c r="R1697" s="5" t="str">
        <f aca="false">IF(OR(A1697="",P1697="",Q1697=""),"",P1697*Q1697)</f>
        <v/>
      </c>
      <c r="S1697" s="5" t="str">
        <f aca="false">IF(R1697="","",MAX(0,R1697-G1697))</f>
        <v/>
      </c>
      <c r="T1697" s="21" t="str">
        <f aca="false">IF(S1697="","",S1697*K1697)</f>
        <v/>
      </c>
      <c r="U1697" s="5" t="str">
        <f aca="false">IF(A1697="","",IF(J1697&gt;Parâmetros!$C$14,"SIM","NAO"))</f>
        <v/>
      </c>
      <c r="V1697" s="5" t="str">
        <f aca="false">IF(B1697="","",TRIM(LEFT(B1697,IFERROR(FIND(" ",B1697)-1,LEN(B1697)))))</f>
        <v/>
      </c>
      <c r="W1697" s="22"/>
      <c r="X1697" s="5" t="str">
        <f aca="false">IF(A1697="","",IF(W1697&lt;&gt;"",W1697,V1697))</f>
        <v/>
      </c>
      <c r="Y1697" s="5" t="str">
        <f aca="false">IF(A1697="","",IF(COUNTIFS($X$2:$X$2001,X1697,$D$2:$D$2001,"&lt;&gt;"&amp;D1697,$C$2:$C$2001,C1697)&gt;0,"SIM","NAO"))</f>
        <v/>
      </c>
      <c r="Z1697" s="5" t="str">
        <f aca="false">IF(A1697="","",IF(J1697="","",IFERROR(360/J1697,"")))</f>
        <v/>
      </c>
      <c r="AA1697" s="5" t="str">
        <f aca="false">IF(A1697="","",IF(H1697=0,"Parado (sem venda 90d)",IF(Z1697&gt;12,"Alto (&gt;12x/ano)",IF(Z1697&gt;=4,"Medio (4-12x/ano)","Baixo (&lt;4x/ano)"))))</f>
        <v/>
      </c>
    </row>
    <row r="1698" customFormat="false" ht="15" hidden="false" customHeight="true" outlineLevel="0" collapsed="false">
      <c r="A1698" s="6"/>
      <c r="B1698" s="6"/>
      <c r="C1698" s="6"/>
      <c r="D1698" s="6"/>
      <c r="E1698" s="6"/>
      <c r="F1698" s="6"/>
      <c r="G1698" s="6"/>
      <c r="H1698" s="6"/>
      <c r="I1698" s="6"/>
      <c r="J1698" s="6"/>
      <c r="K1698" s="18"/>
      <c r="L1698" s="19" t="str">
        <f aca="false">IF(A1698="","",G1698*K1698)</f>
        <v/>
      </c>
      <c r="M1698" s="20"/>
      <c r="N1698" s="6"/>
      <c r="O1698" s="6"/>
      <c r="P1698" s="5" t="str">
        <f aca="false">IF(A1698="","",H1698/90)</f>
        <v/>
      </c>
      <c r="Q1698" s="5" t="str">
        <f aca="false">IF(A1698="","",IFERROR(INDEX(Parâmetros!$C$6:$C$10,MATCH(F1698,Parâmetros!$B$6:$B$10,0)),""))</f>
        <v/>
      </c>
      <c r="R1698" s="5" t="str">
        <f aca="false">IF(OR(A1698="",P1698="",Q1698=""),"",P1698*Q1698)</f>
        <v/>
      </c>
      <c r="S1698" s="5" t="str">
        <f aca="false">IF(R1698="","",MAX(0,R1698-G1698))</f>
        <v/>
      </c>
      <c r="T1698" s="21" t="str">
        <f aca="false">IF(S1698="","",S1698*K1698)</f>
        <v/>
      </c>
      <c r="U1698" s="5" t="str">
        <f aca="false">IF(A1698="","",IF(J1698&gt;Parâmetros!$C$14,"SIM","NAO"))</f>
        <v/>
      </c>
      <c r="V1698" s="5" t="str">
        <f aca="false">IF(B1698="","",TRIM(LEFT(B1698,IFERROR(FIND(" ",B1698)-1,LEN(B1698)))))</f>
        <v/>
      </c>
      <c r="W1698" s="22"/>
      <c r="X1698" s="5" t="str">
        <f aca="false">IF(A1698="","",IF(W1698&lt;&gt;"",W1698,V1698))</f>
        <v/>
      </c>
      <c r="Y1698" s="5" t="str">
        <f aca="false">IF(A1698="","",IF(COUNTIFS($X$2:$X$2001,X1698,$D$2:$D$2001,"&lt;&gt;"&amp;D1698,$C$2:$C$2001,C1698)&gt;0,"SIM","NAO"))</f>
        <v/>
      </c>
      <c r="Z1698" s="5" t="str">
        <f aca="false">IF(A1698="","",IF(J1698="","",IFERROR(360/J1698,"")))</f>
        <v/>
      </c>
      <c r="AA1698" s="5" t="str">
        <f aca="false">IF(A1698="","",IF(H1698=0,"Parado (sem venda 90d)",IF(Z1698&gt;12,"Alto (&gt;12x/ano)",IF(Z1698&gt;=4,"Medio (4-12x/ano)","Baixo (&lt;4x/ano)"))))</f>
        <v/>
      </c>
    </row>
    <row r="1699" customFormat="false" ht="15" hidden="false" customHeight="true" outlineLevel="0" collapsed="false">
      <c r="A1699" s="6"/>
      <c r="B1699" s="6"/>
      <c r="C1699" s="6"/>
      <c r="D1699" s="6"/>
      <c r="E1699" s="6"/>
      <c r="F1699" s="6"/>
      <c r="G1699" s="6"/>
      <c r="H1699" s="6"/>
      <c r="I1699" s="6"/>
      <c r="J1699" s="6"/>
      <c r="K1699" s="18"/>
      <c r="L1699" s="19" t="str">
        <f aca="false">IF(A1699="","",G1699*K1699)</f>
        <v/>
      </c>
      <c r="M1699" s="20"/>
      <c r="N1699" s="6"/>
      <c r="O1699" s="6"/>
      <c r="P1699" s="5" t="str">
        <f aca="false">IF(A1699="","",H1699/90)</f>
        <v/>
      </c>
      <c r="Q1699" s="5" t="str">
        <f aca="false">IF(A1699="","",IFERROR(INDEX(Parâmetros!$C$6:$C$10,MATCH(F1699,Parâmetros!$B$6:$B$10,0)),""))</f>
        <v/>
      </c>
      <c r="R1699" s="5" t="str">
        <f aca="false">IF(OR(A1699="",P1699="",Q1699=""),"",P1699*Q1699)</f>
        <v/>
      </c>
      <c r="S1699" s="5" t="str">
        <f aca="false">IF(R1699="","",MAX(0,R1699-G1699))</f>
        <v/>
      </c>
      <c r="T1699" s="21" t="str">
        <f aca="false">IF(S1699="","",S1699*K1699)</f>
        <v/>
      </c>
      <c r="U1699" s="5" t="str">
        <f aca="false">IF(A1699="","",IF(J1699&gt;Parâmetros!$C$14,"SIM","NAO"))</f>
        <v/>
      </c>
      <c r="V1699" s="5" t="str">
        <f aca="false">IF(B1699="","",TRIM(LEFT(B1699,IFERROR(FIND(" ",B1699)-1,LEN(B1699)))))</f>
        <v/>
      </c>
      <c r="W1699" s="22"/>
      <c r="X1699" s="5" t="str">
        <f aca="false">IF(A1699="","",IF(W1699&lt;&gt;"",W1699,V1699))</f>
        <v/>
      </c>
      <c r="Y1699" s="5" t="str">
        <f aca="false">IF(A1699="","",IF(COUNTIFS($X$2:$X$2001,X1699,$D$2:$D$2001,"&lt;&gt;"&amp;D1699,$C$2:$C$2001,C1699)&gt;0,"SIM","NAO"))</f>
        <v/>
      </c>
      <c r="Z1699" s="5" t="str">
        <f aca="false">IF(A1699="","",IF(J1699="","",IFERROR(360/J1699,"")))</f>
        <v/>
      </c>
      <c r="AA1699" s="5" t="str">
        <f aca="false">IF(A1699="","",IF(H1699=0,"Parado (sem venda 90d)",IF(Z1699&gt;12,"Alto (&gt;12x/ano)",IF(Z1699&gt;=4,"Medio (4-12x/ano)","Baixo (&lt;4x/ano)"))))</f>
        <v/>
      </c>
    </row>
    <row r="1700" customFormat="false" ht="15" hidden="false" customHeight="true" outlineLevel="0" collapsed="false">
      <c r="A1700" s="6"/>
      <c r="B1700" s="6"/>
      <c r="C1700" s="6"/>
      <c r="D1700" s="6"/>
      <c r="E1700" s="6"/>
      <c r="F1700" s="6"/>
      <c r="G1700" s="6"/>
      <c r="H1700" s="6"/>
      <c r="I1700" s="6"/>
      <c r="J1700" s="6"/>
      <c r="K1700" s="18"/>
      <c r="L1700" s="19" t="str">
        <f aca="false">IF(A1700="","",G1700*K1700)</f>
        <v/>
      </c>
      <c r="M1700" s="20"/>
      <c r="N1700" s="6"/>
      <c r="O1700" s="6"/>
      <c r="P1700" s="5" t="str">
        <f aca="false">IF(A1700="","",H1700/90)</f>
        <v/>
      </c>
      <c r="Q1700" s="5" t="str">
        <f aca="false">IF(A1700="","",IFERROR(INDEX(Parâmetros!$C$6:$C$10,MATCH(F1700,Parâmetros!$B$6:$B$10,0)),""))</f>
        <v/>
      </c>
      <c r="R1700" s="5" t="str">
        <f aca="false">IF(OR(A1700="",P1700="",Q1700=""),"",P1700*Q1700)</f>
        <v/>
      </c>
      <c r="S1700" s="5" t="str">
        <f aca="false">IF(R1700="","",MAX(0,R1700-G1700))</f>
        <v/>
      </c>
      <c r="T1700" s="21" t="str">
        <f aca="false">IF(S1700="","",S1700*K1700)</f>
        <v/>
      </c>
      <c r="U1700" s="5" t="str">
        <f aca="false">IF(A1700="","",IF(J1700&gt;Parâmetros!$C$14,"SIM","NAO"))</f>
        <v/>
      </c>
      <c r="V1700" s="5" t="str">
        <f aca="false">IF(B1700="","",TRIM(LEFT(B1700,IFERROR(FIND(" ",B1700)-1,LEN(B1700)))))</f>
        <v/>
      </c>
      <c r="W1700" s="22"/>
      <c r="X1700" s="5" t="str">
        <f aca="false">IF(A1700="","",IF(W1700&lt;&gt;"",W1700,V1700))</f>
        <v/>
      </c>
      <c r="Y1700" s="5" t="str">
        <f aca="false">IF(A1700="","",IF(COUNTIFS($X$2:$X$2001,X1700,$D$2:$D$2001,"&lt;&gt;"&amp;D1700,$C$2:$C$2001,C1700)&gt;0,"SIM","NAO"))</f>
        <v/>
      </c>
      <c r="Z1700" s="5" t="str">
        <f aca="false">IF(A1700="","",IF(J1700="","",IFERROR(360/J1700,"")))</f>
        <v/>
      </c>
      <c r="AA1700" s="5" t="str">
        <f aca="false">IF(A1700="","",IF(H1700=0,"Parado (sem venda 90d)",IF(Z1700&gt;12,"Alto (&gt;12x/ano)",IF(Z1700&gt;=4,"Medio (4-12x/ano)","Baixo (&lt;4x/ano)"))))</f>
        <v/>
      </c>
    </row>
    <row r="1701" customFormat="false" ht="15" hidden="false" customHeight="true" outlineLevel="0" collapsed="false">
      <c r="A1701" s="6"/>
      <c r="B1701" s="6"/>
      <c r="C1701" s="6"/>
      <c r="D1701" s="6"/>
      <c r="E1701" s="6"/>
      <c r="F1701" s="6"/>
      <c r="G1701" s="6"/>
      <c r="H1701" s="6"/>
      <c r="I1701" s="6"/>
      <c r="J1701" s="6"/>
      <c r="K1701" s="18"/>
      <c r="L1701" s="19" t="str">
        <f aca="false">IF(A1701="","",G1701*K1701)</f>
        <v/>
      </c>
      <c r="M1701" s="20"/>
      <c r="N1701" s="6"/>
      <c r="O1701" s="6"/>
      <c r="P1701" s="5" t="str">
        <f aca="false">IF(A1701="","",H1701/90)</f>
        <v/>
      </c>
      <c r="Q1701" s="5" t="str">
        <f aca="false">IF(A1701="","",IFERROR(INDEX(Parâmetros!$C$6:$C$10,MATCH(F1701,Parâmetros!$B$6:$B$10,0)),""))</f>
        <v/>
      </c>
      <c r="R1701" s="5" t="str">
        <f aca="false">IF(OR(A1701="",P1701="",Q1701=""),"",P1701*Q1701)</f>
        <v/>
      </c>
      <c r="S1701" s="5" t="str">
        <f aca="false">IF(R1701="","",MAX(0,R1701-G1701))</f>
        <v/>
      </c>
      <c r="T1701" s="21" t="str">
        <f aca="false">IF(S1701="","",S1701*K1701)</f>
        <v/>
      </c>
      <c r="U1701" s="5" t="str">
        <f aca="false">IF(A1701="","",IF(J1701&gt;Parâmetros!$C$14,"SIM","NAO"))</f>
        <v/>
      </c>
      <c r="V1701" s="5" t="str">
        <f aca="false">IF(B1701="","",TRIM(LEFT(B1701,IFERROR(FIND(" ",B1701)-1,LEN(B1701)))))</f>
        <v/>
      </c>
      <c r="W1701" s="22"/>
      <c r="X1701" s="5" t="str">
        <f aca="false">IF(A1701="","",IF(W1701&lt;&gt;"",W1701,V1701))</f>
        <v/>
      </c>
      <c r="Y1701" s="5" t="str">
        <f aca="false">IF(A1701="","",IF(COUNTIFS($X$2:$X$2001,X1701,$D$2:$D$2001,"&lt;&gt;"&amp;D1701,$C$2:$C$2001,C1701)&gt;0,"SIM","NAO"))</f>
        <v/>
      </c>
      <c r="Z1701" s="5" t="str">
        <f aca="false">IF(A1701="","",IF(J1701="","",IFERROR(360/J1701,"")))</f>
        <v/>
      </c>
      <c r="AA1701" s="5" t="str">
        <f aca="false">IF(A1701="","",IF(H1701=0,"Parado (sem venda 90d)",IF(Z1701&gt;12,"Alto (&gt;12x/ano)",IF(Z1701&gt;=4,"Medio (4-12x/ano)","Baixo (&lt;4x/ano)"))))</f>
        <v/>
      </c>
    </row>
    <row r="1702" customFormat="false" ht="15" hidden="false" customHeight="true" outlineLevel="0" collapsed="false">
      <c r="A1702" s="6"/>
      <c r="B1702" s="6"/>
      <c r="C1702" s="6"/>
      <c r="D1702" s="6"/>
      <c r="E1702" s="6"/>
      <c r="F1702" s="6"/>
      <c r="G1702" s="6"/>
      <c r="H1702" s="6"/>
      <c r="I1702" s="6"/>
      <c r="J1702" s="6"/>
      <c r="K1702" s="18"/>
      <c r="L1702" s="19" t="str">
        <f aca="false">IF(A1702="","",G1702*K1702)</f>
        <v/>
      </c>
      <c r="M1702" s="20"/>
      <c r="N1702" s="6"/>
      <c r="O1702" s="6"/>
      <c r="P1702" s="5" t="str">
        <f aca="false">IF(A1702="","",H1702/90)</f>
        <v/>
      </c>
      <c r="Q1702" s="5" t="str">
        <f aca="false">IF(A1702="","",IFERROR(INDEX(Parâmetros!$C$6:$C$10,MATCH(F1702,Parâmetros!$B$6:$B$10,0)),""))</f>
        <v/>
      </c>
      <c r="R1702" s="5" t="str">
        <f aca="false">IF(OR(A1702="",P1702="",Q1702=""),"",P1702*Q1702)</f>
        <v/>
      </c>
      <c r="S1702" s="5" t="str">
        <f aca="false">IF(R1702="","",MAX(0,R1702-G1702))</f>
        <v/>
      </c>
      <c r="T1702" s="21" t="str">
        <f aca="false">IF(S1702="","",S1702*K1702)</f>
        <v/>
      </c>
      <c r="U1702" s="5" t="str">
        <f aca="false">IF(A1702="","",IF(J1702&gt;Parâmetros!$C$14,"SIM","NAO"))</f>
        <v/>
      </c>
      <c r="V1702" s="5" t="str">
        <f aca="false">IF(B1702="","",TRIM(LEFT(B1702,IFERROR(FIND(" ",B1702)-1,LEN(B1702)))))</f>
        <v/>
      </c>
      <c r="W1702" s="22"/>
      <c r="X1702" s="5" t="str">
        <f aca="false">IF(A1702="","",IF(W1702&lt;&gt;"",W1702,V1702))</f>
        <v/>
      </c>
      <c r="Y1702" s="5" t="str">
        <f aca="false">IF(A1702="","",IF(COUNTIFS($X$2:$X$2001,X1702,$D$2:$D$2001,"&lt;&gt;"&amp;D1702,$C$2:$C$2001,C1702)&gt;0,"SIM","NAO"))</f>
        <v/>
      </c>
      <c r="Z1702" s="5" t="str">
        <f aca="false">IF(A1702="","",IF(J1702="","",IFERROR(360/J1702,"")))</f>
        <v/>
      </c>
      <c r="AA1702" s="5" t="str">
        <f aca="false">IF(A1702="","",IF(H1702=0,"Parado (sem venda 90d)",IF(Z1702&gt;12,"Alto (&gt;12x/ano)",IF(Z1702&gt;=4,"Medio (4-12x/ano)","Baixo (&lt;4x/ano)"))))</f>
        <v/>
      </c>
    </row>
    <row r="1703" customFormat="false" ht="15" hidden="false" customHeight="true" outlineLevel="0" collapsed="false">
      <c r="A1703" s="6"/>
      <c r="B1703" s="6"/>
      <c r="C1703" s="6"/>
      <c r="D1703" s="6"/>
      <c r="E1703" s="6"/>
      <c r="F1703" s="6"/>
      <c r="G1703" s="6"/>
      <c r="H1703" s="6"/>
      <c r="I1703" s="6"/>
      <c r="J1703" s="6"/>
      <c r="K1703" s="18"/>
      <c r="L1703" s="19" t="str">
        <f aca="false">IF(A1703="","",G1703*K1703)</f>
        <v/>
      </c>
      <c r="M1703" s="20"/>
      <c r="N1703" s="6"/>
      <c r="O1703" s="6"/>
      <c r="P1703" s="5" t="str">
        <f aca="false">IF(A1703="","",H1703/90)</f>
        <v/>
      </c>
      <c r="Q1703" s="5" t="str">
        <f aca="false">IF(A1703="","",IFERROR(INDEX(Parâmetros!$C$6:$C$10,MATCH(F1703,Parâmetros!$B$6:$B$10,0)),""))</f>
        <v/>
      </c>
      <c r="R1703" s="5" t="str">
        <f aca="false">IF(OR(A1703="",P1703="",Q1703=""),"",P1703*Q1703)</f>
        <v/>
      </c>
      <c r="S1703" s="5" t="str">
        <f aca="false">IF(R1703="","",MAX(0,R1703-G1703))</f>
        <v/>
      </c>
      <c r="T1703" s="21" t="str">
        <f aca="false">IF(S1703="","",S1703*K1703)</f>
        <v/>
      </c>
      <c r="U1703" s="5" t="str">
        <f aca="false">IF(A1703="","",IF(J1703&gt;Parâmetros!$C$14,"SIM","NAO"))</f>
        <v/>
      </c>
      <c r="V1703" s="5" t="str">
        <f aca="false">IF(B1703="","",TRIM(LEFT(B1703,IFERROR(FIND(" ",B1703)-1,LEN(B1703)))))</f>
        <v/>
      </c>
      <c r="W1703" s="22"/>
      <c r="X1703" s="5" t="str">
        <f aca="false">IF(A1703="","",IF(W1703&lt;&gt;"",W1703,V1703))</f>
        <v/>
      </c>
      <c r="Y1703" s="5" t="str">
        <f aca="false">IF(A1703="","",IF(COUNTIFS($X$2:$X$2001,X1703,$D$2:$D$2001,"&lt;&gt;"&amp;D1703,$C$2:$C$2001,C1703)&gt;0,"SIM","NAO"))</f>
        <v/>
      </c>
      <c r="Z1703" s="5" t="str">
        <f aca="false">IF(A1703="","",IF(J1703="","",IFERROR(360/J1703,"")))</f>
        <v/>
      </c>
      <c r="AA1703" s="5" t="str">
        <f aca="false">IF(A1703="","",IF(H1703=0,"Parado (sem venda 90d)",IF(Z1703&gt;12,"Alto (&gt;12x/ano)",IF(Z1703&gt;=4,"Medio (4-12x/ano)","Baixo (&lt;4x/ano)"))))</f>
        <v/>
      </c>
    </row>
    <row r="1704" customFormat="false" ht="15" hidden="false" customHeight="true" outlineLevel="0" collapsed="false">
      <c r="A1704" s="6"/>
      <c r="B1704" s="6"/>
      <c r="C1704" s="6"/>
      <c r="D1704" s="6"/>
      <c r="E1704" s="6"/>
      <c r="F1704" s="6"/>
      <c r="G1704" s="6"/>
      <c r="H1704" s="6"/>
      <c r="I1704" s="6"/>
      <c r="J1704" s="6"/>
      <c r="K1704" s="18"/>
      <c r="L1704" s="19" t="str">
        <f aca="false">IF(A1704="","",G1704*K1704)</f>
        <v/>
      </c>
      <c r="M1704" s="20"/>
      <c r="N1704" s="6"/>
      <c r="O1704" s="6"/>
      <c r="P1704" s="5" t="str">
        <f aca="false">IF(A1704="","",H1704/90)</f>
        <v/>
      </c>
      <c r="Q1704" s="5" t="str">
        <f aca="false">IF(A1704="","",IFERROR(INDEX(Parâmetros!$C$6:$C$10,MATCH(F1704,Parâmetros!$B$6:$B$10,0)),""))</f>
        <v/>
      </c>
      <c r="R1704" s="5" t="str">
        <f aca="false">IF(OR(A1704="",P1704="",Q1704=""),"",P1704*Q1704)</f>
        <v/>
      </c>
      <c r="S1704" s="5" t="str">
        <f aca="false">IF(R1704="","",MAX(0,R1704-G1704))</f>
        <v/>
      </c>
      <c r="T1704" s="21" t="str">
        <f aca="false">IF(S1704="","",S1704*K1704)</f>
        <v/>
      </c>
      <c r="U1704" s="5" t="str">
        <f aca="false">IF(A1704="","",IF(J1704&gt;Parâmetros!$C$14,"SIM","NAO"))</f>
        <v/>
      </c>
      <c r="V1704" s="5" t="str">
        <f aca="false">IF(B1704="","",TRIM(LEFT(B1704,IFERROR(FIND(" ",B1704)-1,LEN(B1704)))))</f>
        <v/>
      </c>
      <c r="W1704" s="22"/>
      <c r="X1704" s="5" t="str">
        <f aca="false">IF(A1704="","",IF(W1704&lt;&gt;"",W1704,V1704))</f>
        <v/>
      </c>
      <c r="Y1704" s="5" t="str">
        <f aca="false">IF(A1704="","",IF(COUNTIFS($X$2:$X$2001,X1704,$D$2:$D$2001,"&lt;&gt;"&amp;D1704,$C$2:$C$2001,C1704)&gt;0,"SIM","NAO"))</f>
        <v/>
      </c>
      <c r="Z1704" s="5" t="str">
        <f aca="false">IF(A1704="","",IF(J1704="","",IFERROR(360/J1704,"")))</f>
        <v/>
      </c>
      <c r="AA1704" s="5" t="str">
        <f aca="false">IF(A1704="","",IF(H1704=0,"Parado (sem venda 90d)",IF(Z1704&gt;12,"Alto (&gt;12x/ano)",IF(Z1704&gt;=4,"Medio (4-12x/ano)","Baixo (&lt;4x/ano)"))))</f>
        <v/>
      </c>
    </row>
    <row r="1705" customFormat="false" ht="15" hidden="false" customHeight="true" outlineLevel="0" collapsed="false">
      <c r="A1705" s="6"/>
      <c r="B1705" s="6"/>
      <c r="C1705" s="6"/>
      <c r="D1705" s="6"/>
      <c r="E1705" s="6"/>
      <c r="F1705" s="6"/>
      <c r="G1705" s="6"/>
      <c r="H1705" s="6"/>
      <c r="I1705" s="6"/>
      <c r="J1705" s="6"/>
      <c r="K1705" s="18"/>
      <c r="L1705" s="19" t="str">
        <f aca="false">IF(A1705="","",G1705*K1705)</f>
        <v/>
      </c>
      <c r="M1705" s="20"/>
      <c r="N1705" s="6"/>
      <c r="O1705" s="6"/>
      <c r="P1705" s="5" t="str">
        <f aca="false">IF(A1705="","",H1705/90)</f>
        <v/>
      </c>
      <c r="Q1705" s="5" t="str">
        <f aca="false">IF(A1705="","",IFERROR(INDEX(Parâmetros!$C$6:$C$10,MATCH(F1705,Parâmetros!$B$6:$B$10,0)),""))</f>
        <v/>
      </c>
      <c r="R1705" s="5" t="str">
        <f aca="false">IF(OR(A1705="",P1705="",Q1705=""),"",P1705*Q1705)</f>
        <v/>
      </c>
      <c r="S1705" s="5" t="str">
        <f aca="false">IF(R1705="","",MAX(0,R1705-G1705))</f>
        <v/>
      </c>
      <c r="T1705" s="21" t="str">
        <f aca="false">IF(S1705="","",S1705*K1705)</f>
        <v/>
      </c>
      <c r="U1705" s="5" t="str">
        <f aca="false">IF(A1705="","",IF(J1705&gt;Parâmetros!$C$14,"SIM","NAO"))</f>
        <v/>
      </c>
      <c r="V1705" s="5" t="str">
        <f aca="false">IF(B1705="","",TRIM(LEFT(B1705,IFERROR(FIND(" ",B1705)-1,LEN(B1705)))))</f>
        <v/>
      </c>
      <c r="W1705" s="22"/>
      <c r="X1705" s="5" t="str">
        <f aca="false">IF(A1705="","",IF(W1705&lt;&gt;"",W1705,V1705))</f>
        <v/>
      </c>
      <c r="Y1705" s="5" t="str">
        <f aca="false">IF(A1705="","",IF(COUNTIFS($X$2:$X$2001,X1705,$D$2:$D$2001,"&lt;&gt;"&amp;D1705,$C$2:$C$2001,C1705)&gt;0,"SIM","NAO"))</f>
        <v/>
      </c>
      <c r="Z1705" s="5" t="str">
        <f aca="false">IF(A1705="","",IF(J1705="","",IFERROR(360/J1705,"")))</f>
        <v/>
      </c>
      <c r="AA1705" s="5" t="str">
        <f aca="false">IF(A1705="","",IF(H1705=0,"Parado (sem venda 90d)",IF(Z1705&gt;12,"Alto (&gt;12x/ano)",IF(Z1705&gt;=4,"Medio (4-12x/ano)","Baixo (&lt;4x/ano)"))))</f>
        <v/>
      </c>
    </row>
    <row r="1706" customFormat="false" ht="15" hidden="false" customHeight="true" outlineLevel="0" collapsed="false">
      <c r="A1706" s="6"/>
      <c r="B1706" s="6"/>
      <c r="C1706" s="6"/>
      <c r="D1706" s="6"/>
      <c r="E1706" s="6"/>
      <c r="F1706" s="6"/>
      <c r="G1706" s="6"/>
      <c r="H1706" s="6"/>
      <c r="I1706" s="6"/>
      <c r="J1706" s="6"/>
      <c r="K1706" s="18"/>
      <c r="L1706" s="19" t="str">
        <f aca="false">IF(A1706="","",G1706*K1706)</f>
        <v/>
      </c>
      <c r="M1706" s="20"/>
      <c r="N1706" s="6"/>
      <c r="O1706" s="6"/>
      <c r="P1706" s="5" t="str">
        <f aca="false">IF(A1706="","",H1706/90)</f>
        <v/>
      </c>
      <c r="Q1706" s="5" t="str">
        <f aca="false">IF(A1706="","",IFERROR(INDEX(Parâmetros!$C$6:$C$10,MATCH(F1706,Parâmetros!$B$6:$B$10,0)),""))</f>
        <v/>
      </c>
      <c r="R1706" s="5" t="str">
        <f aca="false">IF(OR(A1706="",P1706="",Q1706=""),"",P1706*Q1706)</f>
        <v/>
      </c>
      <c r="S1706" s="5" t="str">
        <f aca="false">IF(R1706="","",MAX(0,R1706-G1706))</f>
        <v/>
      </c>
      <c r="T1706" s="21" t="str">
        <f aca="false">IF(S1706="","",S1706*K1706)</f>
        <v/>
      </c>
      <c r="U1706" s="5" t="str">
        <f aca="false">IF(A1706="","",IF(J1706&gt;Parâmetros!$C$14,"SIM","NAO"))</f>
        <v/>
      </c>
      <c r="V1706" s="5" t="str">
        <f aca="false">IF(B1706="","",TRIM(LEFT(B1706,IFERROR(FIND(" ",B1706)-1,LEN(B1706)))))</f>
        <v/>
      </c>
      <c r="W1706" s="22"/>
      <c r="X1706" s="5" t="str">
        <f aca="false">IF(A1706="","",IF(W1706&lt;&gt;"",W1706,V1706))</f>
        <v/>
      </c>
      <c r="Y1706" s="5" t="str">
        <f aca="false">IF(A1706="","",IF(COUNTIFS($X$2:$X$2001,X1706,$D$2:$D$2001,"&lt;&gt;"&amp;D1706,$C$2:$C$2001,C1706)&gt;0,"SIM","NAO"))</f>
        <v/>
      </c>
      <c r="Z1706" s="5" t="str">
        <f aca="false">IF(A1706="","",IF(J1706="","",IFERROR(360/J1706,"")))</f>
        <v/>
      </c>
      <c r="AA1706" s="5" t="str">
        <f aca="false">IF(A1706="","",IF(H1706=0,"Parado (sem venda 90d)",IF(Z1706&gt;12,"Alto (&gt;12x/ano)",IF(Z1706&gt;=4,"Medio (4-12x/ano)","Baixo (&lt;4x/ano)"))))</f>
        <v/>
      </c>
    </row>
    <row r="1707" customFormat="false" ht="15" hidden="false" customHeight="true" outlineLevel="0" collapsed="false">
      <c r="A1707" s="6"/>
      <c r="B1707" s="6"/>
      <c r="C1707" s="6"/>
      <c r="D1707" s="6"/>
      <c r="E1707" s="6"/>
      <c r="F1707" s="6"/>
      <c r="G1707" s="6"/>
      <c r="H1707" s="6"/>
      <c r="I1707" s="6"/>
      <c r="J1707" s="6"/>
      <c r="K1707" s="18"/>
      <c r="L1707" s="19" t="str">
        <f aca="false">IF(A1707="","",G1707*K1707)</f>
        <v/>
      </c>
      <c r="M1707" s="20"/>
      <c r="N1707" s="6"/>
      <c r="O1707" s="6"/>
      <c r="P1707" s="5" t="str">
        <f aca="false">IF(A1707="","",H1707/90)</f>
        <v/>
      </c>
      <c r="Q1707" s="5" t="str">
        <f aca="false">IF(A1707="","",IFERROR(INDEX(Parâmetros!$C$6:$C$10,MATCH(F1707,Parâmetros!$B$6:$B$10,0)),""))</f>
        <v/>
      </c>
      <c r="R1707" s="5" t="str">
        <f aca="false">IF(OR(A1707="",P1707="",Q1707=""),"",P1707*Q1707)</f>
        <v/>
      </c>
      <c r="S1707" s="5" t="str">
        <f aca="false">IF(R1707="","",MAX(0,R1707-G1707))</f>
        <v/>
      </c>
      <c r="T1707" s="21" t="str">
        <f aca="false">IF(S1707="","",S1707*K1707)</f>
        <v/>
      </c>
      <c r="U1707" s="5" t="str">
        <f aca="false">IF(A1707="","",IF(J1707&gt;Parâmetros!$C$14,"SIM","NAO"))</f>
        <v/>
      </c>
      <c r="V1707" s="5" t="str">
        <f aca="false">IF(B1707="","",TRIM(LEFT(B1707,IFERROR(FIND(" ",B1707)-1,LEN(B1707)))))</f>
        <v/>
      </c>
      <c r="W1707" s="22"/>
      <c r="X1707" s="5" t="str">
        <f aca="false">IF(A1707="","",IF(W1707&lt;&gt;"",W1707,V1707))</f>
        <v/>
      </c>
      <c r="Y1707" s="5" t="str">
        <f aca="false">IF(A1707="","",IF(COUNTIFS($X$2:$X$2001,X1707,$D$2:$D$2001,"&lt;&gt;"&amp;D1707,$C$2:$C$2001,C1707)&gt;0,"SIM","NAO"))</f>
        <v/>
      </c>
      <c r="Z1707" s="5" t="str">
        <f aca="false">IF(A1707="","",IF(J1707="","",IFERROR(360/J1707,"")))</f>
        <v/>
      </c>
      <c r="AA1707" s="5" t="str">
        <f aca="false">IF(A1707="","",IF(H1707=0,"Parado (sem venda 90d)",IF(Z1707&gt;12,"Alto (&gt;12x/ano)",IF(Z1707&gt;=4,"Medio (4-12x/ano)","Baixo (&lt;4x/ano)"))))</f>
        <v/>
      </c>
    </row>
    <row r="1708" customFormat="false" ht="15" hidden="false" customHeight="true" outlineLevel="0" collapsed="false">
      <c r="A1708" s="6"/>
      <c r="B1708" s="6"/>
      <c r="C1708" s="6"/>
      <c r="D1708" s="6"/>
      <c r="E1708" s="6"/>
      <c r="F1708" s="6"/>
      <c r="G1708" s="6"/>
      <c r="H1708" s="6"/>
      <c r="I1708" s="6"/>
      <c r="J1708" s="6"/>
      <c r="K1708" s="18"/>
      <c r="L1708" s="19" t="str">
        <f aca="false">IF(A1708="","",G1708*K1708)</f>
        <v/>
      </c>
      <c r="M1708" s="20"/>
      <c r="N1708" s="6"/>
      <c r="O1708" s="6"/>
      <c r="P1708" s="5" t="str">
        <f aca="false">IF(A1708="","",H1708/90)</f>
        <v/>
      </c>
      <c r="Q1708" s="5" t="str">
        <f aca="false">IF(A1708="","",IFERROR(INDEX(Parâmetros!$C$6:$C$10,MATCH(F1708,Parâmetros!$B$6:$B$10,0)),""))</f>
        <v/>
      </c>
      <c r="R1708" s="5" t="str">
        <f aca="false">IF(OR(A1708="",P1708="",Q1708=""),"",P1708*Q1708)</f>
        <v/>
      </c>
      <c r="S1708" s="5" t="str">
        <f aca="false">IF(R1708="","",MAX(0,R1708-G1708))</f>
        <v/>
      </c>
      <c r="T1708" s="21" t="str">
        <f aca="false">IF(S1708="","",S1708*K1708)</f>
        <v/>
      </c>
      <c r="U1708" s="5" t="str">
        <f aca="false">IF(A1708="","",IF(J1708&gt;Parâmetros!$C$14,"SIM","NAO"))</f>
        <v/>
      </c>
      <c r="V1708" s="5" t="str">
        <f aca="false">IF(B1708="","",TRIM(LEFT(B1708,IFERROR(FIND(" ",B1708)-1,LEN(B1708)))))</f>
        <v/>
      </c>
      <c r="W1708" s="22"/>
      <c r="X1708" s="5" t="str">
        <f aca="false">IF(A1708="","",IF(W1708&lt;&gt;"",W1708,V1708))</f>
        <v/>
      </c>
      <c r="Y1708" s="5" t="str">
        <f aca="false">IF(A1708="","",IF(COUNTIFS($X$2:$X$2001,X1708,$D$2:$D$2001,"&lt;&gt;"&amp;D1708,$C$2:$C$2001,C1708)&gt;0,"SIM","NAO"))</f>
        <v/>
      </c>
      <c r="Z1708" s="5" t="str">
        <f aca="false">IF(A1708="","",IF(J1708="","",IFERROR(360/J1708,"")))</f>
        <v/>
      </c>
      <c r="AA1708" s="5" t="str">
        <f aca="false">IF(A1708="","",IF(H1708=0,"Parado (sem venda 90d)",IF(Z1708&gt;12,"Alto (&gt;12x/ano)",IF(Z1708&gt;=4,"Medio (4-12x/ano)","Baixo (&lt;4x/ano)"))))</f>
        <v/>
      </c>
    </row>
    <row r="1709" customFormat="false" ht="15" hidden="false" customHeight="true" outlineLevel="0" collapsed="false">
      <c r="A1709" s="6"/>
      <c r="B1709" s="6"/>
      <c r="C1709" s="6"/>
      <c r="D1709" s="6"/>
      <c r="E1709" s="6"/>
      <c r="F1709" s="6"/>
      <c r="G1709" s="6"/>
      <c r="H1709" s="6"/>
      <c r="I1709" s="6"/>
      <c r="J1709" s="6"/>
      <c r="K1709" s="18"/>
      <c r="L1709" s="19" t="str">
        <f aca="false">IF(A1709="","",G1709*K1709)</f>
        <v/>
      </c>
      <c r="M1709" s="20"/>
      <c r="N1709" s="6"/>
      <c r="O1709" s="6"/>
      <c r="P1709" s="5" t="str">
        <f aca="false">IF(A1709="","",H1709/90)</f>
        <v/>
      </c>
      <c r="Q1709" s="5" t="str">
        <f aca="false">IF(A1709="","",IFERROR(INDEX(Parâmetros!$C$6:$C$10,MATCH(F1709,Parâmetros!$B$6:$B$10,0)),""))</f>
        <v/>
      </c>
      <c r="R1709" s="5" t="str">
        <f aca="false">IF(OR(A1709="",P1709="",Q1709=""),"",P1709*Q1709)</f>
        <v/>
      </c>
      <c r="S1709" s="5" t="str">
        <f aca="false">IF(R1709="","",MAX(0,R1709-G1709))</f>
        <v/>
      </c>
      <c r="T1709" s="21" t="str">
        <f aca="false">IF(S1709="","",S1709*K1709)</f>
        <v/>
      </c>
      <c r="U1709" s="5" t="str">
        <f aca="false">IF(A1709="","",IF(J1709&gt;Parâmetros!$C$14,"SIM","NAO"))</f>
        <v/>
      </c>
      <c r="V1709" s="5" t="str">
        <f aca="false">IF(B1709="","",TRIM(LEFT(B1709,IFERROR(FIND(" ",B1709)-1,LEN(B1709)))))</f>
        <v/>
      </c>
      <c r="W1709" s="22"/>
      <c r="X1709" s="5" t="str">
        <f aca="false">IF(A1709="","",IF(W1709&lt;&gt;"",W1709,V1709))</f>
        <v/>
      </c>
      <c r="Y1709" s="5" t="str">
        <f aca="false">IF(A1709="","",IF(COUNTIFS($X$2:$X$2001,X1709,$D$2:$D$2001,"&lt;&gt;"&amp;D1709,$C$2:$C$2001,C1709)&gt;0,"SIM","NAO"))</f>
        <v/>
      </c>
      <c r="Z1709" s="5" t="str">
        <f aca="false">IF(A1709="","",IF(J1709="","",IFERROR(360/J1709,"")))</f>
        <v/>
      </c>
      <c r="AA1709" s="5" t="str">
        <f aca="false">IF(A1709="","",IF(H1709=0,"Parado (sem venda 90d)",IF(Z1709&gt;12,"Alto (&gt;12x/ano)",IF(Z1709&gt;=4,"Medio (4-12x/ano)","Baixo (&lt;4x/ano)"))))</f>
        <v/>
      </c>
    </row>
    <row r="1710" customFormat="false" ht="15" hidden="false" customHeight="true" outlineLevel="0" collapsed="false">
      <c r="A1710" s="6"/>
      <c r="B1710" s="6"/>
      <c r="C1710" s="6"/>
      <c r="D1710" s="6"/>
      <c r="E1710" s="6"/>
      <c r="F1710" s="6"/>
      <c r="G1710" s="6"/>
      <c r="H1710" s="6"/>
      <c r="I1710" s="6"/>
      <c r="J1710" s="6"/>
      <c r="K1710" s="18"/>
      <c r="L1710" s="19" t="str">
        <f aca="false">IF(A1710="","",G1710*K1710)</f>
        <v/>
      </c>
      <c r="M1710" s="20"/>
      <c r="N1710" s="6"/>
      <c r="O1710" s="6"/>
      <c r="P1710" s="5" t="str">
        <f aca="false">IF(A1710="","",H1710/90)</f>
        <v/>
      </c>
      <c r="Q1710" s="5" t="str">
        <f aca="false">IF(A1710="","",IFERROR(INDEX(Parâmetros!$C$6:$C$10,MATCH(F1710,Parâmetros!$B$6:$B$10,0)),""))</f>
        <v/>
      </c>
      <c r="R1710" s="5" t="str">
        <f aca="false">IF(OR(A1710="",P1710="",Q1710=""),"",P1710*Q1710)</f>
        <v/>
      </c>
      <c r="S1710" s="5" t="str">
        <f aca="false">IF(R1710="","",MAX(0,R1710-G1710))</f>
        <v/>
      </c>
      <c r="T1710" s="21" t="str">
        <f aca="false">IF(S1710="","",S1710*K1710)</f>
        <v/>
      </c>
      <c r="U1710" s="5" t="str">
        <f aca="false">IF(A1710="","",IF(J1710&gt;Parâmetros!$C$14,"SIM","NAO"))</f>
        <v/>
      </c>
      <c r="V1710" s="5" t="str">
        <f aca="false">IF(B1710="","",TRIM(LEFT(B1710,IFERROR(FIND(" ",B1710)-1,LEN(B1710)))))</f>
        <v/>
      </c>
      <c r="W1710" s="22"/>
      <c r="X1710" s="5" t="str">
        <f aca="false">IF(A1710="","",IF(W1710&lt;&gt;"",W1710,V1710))</f>
        <v/>
      </c>
      <c r="Y1710" s="5" t="str">
        <f aca="false">IF(A1710="","",IF(COUNTIFS($X$2:$X$2001,X1710,$D$2:$D$2001,"&lt;&gt;"&amp;D1710,$C$2:$C$2001,C1710)&gt;0,"SIM","NAO"))</f>
        <v/>
      </c>
      <c r="Z1710" s="5" t="str">
        <f aca="false">IF(A1710="","",IF(J1710="","",IFERROR(360/J1710,"")))</f>
        <v/>
      </c>
      <c r="AA1710" s="5" t="str">
        <f aca="false">IF(A1710="","",IF(H1710=0,"Parado (sem venda 90d)",IF(Z1710&gt;12,"Alto (&gt;12x/ano)",IF(Z1710&gt;=4,"Medio (4-12x/ano)","Baixo (&lt;4x/ano)"))))</f>
        <v/>
      </c>
    </row>
    <row r="1711" customFormat="false" ht="15" hidden="false" customHeight="true" outlineLevel="0" collapsed="false">
      <c r="A1711" s="6"/>
      <c r="B1711" s="6"/>
      <c r="C1711" s="6"/>
      <c r="D1711" s="6"/>
      <c r="E1711" s="6"/>
      <c r="F1711" s="6"/>
      <c r="G1711" s="6"/>
      <c r="H1711" s="6"/>
      <c r="I1711" s="6"/>
      <c r="J1711" s="6"/>
      <c r="K1711" s="18"/>
      <c r="L1711" s="19" t="str">
        <f aca="false">IF(A1711="","",G1711*K1711)</f>
        <v/>
      </c>
      <c r="M1711" s="20"/>
      <c r="N1711" s="6"/>
      <c r="O1711" s="6"/>
      <c r="P1711" s="5" t="str">
        <f aca="false">IF(A1711="","",H1711/90)</f>
        <v/>
      </c>
      <c r="Q1711" s="5" t="str">
        <f aca="false">IF(A1711="","",IFERROR(INDEX(Parâmetros!$C$6:$C$10,MATCH(F1711,Parâmetros!$B$6:$B$10,0)),""))</f>
        <v/>
      </c>
      <c r="R1711" s="5" t="str">
        <f aca="false">IF(OR(A1711="",P1711="",Q1711=""),"",P1711*Q1711)</f>
        <v/>
      </c>
      <c r="S1711" s="5" t="str">
        <f aca="false">IF(R1711="","",MAX(0,R1711-G1711))</f>
        <v/>
      </c>
      <c r="T1711" s="21" t="str">
        <f aca="false">IF(S1711="","",S1711*K1711)</f>
        <v/>
      </c>
      <c r="U1711" s="5" t="str">
        <f aca="false">IF(A1711="","",IF(J1711&gt;Parâmetros!$C$14,"SIM","NAO"))</f>
        <v/>
      </c>
      <c r="V1711" s="5" t="str">
        <f aca="false">IF(B1711="","",TRIM(LEFT(B1711,IFERROR(FIND(" ",B1711)-1,LEN(B1711)))))</f>
        <v/>
      </c>
      <c r="W1711" s="22"/>
      <c r="X1711" s="5" t="str">
        <f aca="false">IF(A1711="","",IF(W1711&lt;&gt;"",W1711,V1711))</f>
        <v/>
      </c>
      <c r="Y1711" s="5" t="str">
        <f aca="false">IF(A1711="","",IF(COUNTIFS($X$2:$X$2001,X1711,$D$2:$D$2001,"&lt;&gt;"&amp;D1711,$C$2:$C$2001,C1711)&gt;0,"SIM","NAO"))</f>
        <v/>
      </c>
      <c r="Z1711" s="5" t="str">
        <f aca="false">IF(A1711="","",IF(J1711="","",IFERROR(360/J1711,"")))</f>
        <v/>
      </c>
      <c r="AA1711" s="5" t="str">
        <f aca="false">IF(A1711="","",IF(H1711=0,"Parado (sem venda 90d)",IF(Z1711&gt;12,"Alto (&gt;12x/ano)",IF(Z1711&gt;=4,"Medio (4-12x/ano)","Baixo (&lt;4x/ano)"))))</f>
        <v/>
      </c>
    </row>
    <row r="1712" customFormat="false" ht="15" hidden="false" customHeight="true" outlineLevel="0" collapsed="false">
      <c r="A1712" s="6"/>
      <c r="B1712" s="6"/>
      <c r="C1712" s="6"/>
      <c r="D1712" s="6"/>
      <c r="E1712" s="6"/>
      <c r="F1712" s="6"/>
      <c r="G1712" s="6"/>
      <c r="H1712" s="6"/>
      <c r="I1712" s="6"/>
      <c r="J1712" s="6"/>
      <c r="K1712" s="18"/>
      <c r="L1712" s="19" t="str">
        <f aca="false">IF(A1712="","",G1712*K1712)</f>
        <v/>
      </c>
      <c r="M1712" s="20"/>
      <c r="N1712" s="6"/>
      <c r="O1712" s="6"/>
      <c r="P1712" s="5" t="str">
        <f aca="false">IF(A1712="","",H1712/90)</f>
        <v/>
      </c>
      <c r="Q1712" s="5" t="str">
        <f aca="false">IF(A1712="","",IFERROR(INDEX(Parâmetros!$C$6:$C$10,MATCH(F1712,Parâmetros!$B$6:$B$10,0)),""))</f>
        <v/>
      </c>
      <c r="R1712" s="5" t="str">
        <f aca="false">IF(OR(A1712="",P1712="",Q1712=""),"",P1712*Q1712)</f>
        <v/>
      </c>
      <c r="S1712" s="5" t="str">
        <f aca="false">IF(R1712="","",MAX(0,R1712-G1712))</f>
        <v/>
      </c>
      <c r="T1712" s="21" t="str">
        <f aca="false">IF(S1712="","",S1712*K1712)</f>
        <v/>
      </c>
      <c r="U1712" s="5" t="str">
        <f aca="false">IF(A1712="","",IF(J1712&gt;Parâmetros!$C$14,"SIM","NAO"))</f>
        <v/>
      </c>
      <c r="V1712" s="5" t="str">
        <f aca="false">IF(B1712="","",TRIM(LEFT(B1712,IFERROR(FIND(" ",B1712)-1,LEN(B1712)))))</f>
        <v/>
      </c>
      <c r="W1712" s="22"/>
      <c r="X1712" s="5" t="str">
        <f aca="false">IF(A1712="","",IF(W1712&lt;&gt;"",W1712,V1712))</f>
        <v/>
      </c>
      <c r="Y1712" s="5" t="str">
        <f aca="false">IF(A1712="","",IF(COUNTIFS($X$2:$X$2001,X1712,$D$2:$D$2001,"&lt;&gt;"&amp;D1712,$C$2:$C$2001,C1712)&gt;0,"SIM","NAO"))</f>
        <v/>
      </c>
      <c r="Z1712" s="5" t="str">
        <f aca="false">IF(A1712="","",IF(J1712="","",IFERROR(360/J1712,"")))</f>
        <v/>
      </c>
      <c r="AA1712" s="5" t="str">
        <f aca="false">IF(A1712="","",IF(H1712=0,"Parado (sem venda 90d)",IF(Z1712&gt;12,"Alto (&gt;12x/ano)",IF(Z1712&gt;=4,"Medio (4-12x/ano)","Baixo (&lt;4x/ano)"))))</f>
        <v/>
      </c>
    </row>
    <row r="1713" customFormat="false" ht="15" hidden="false" customHeight="true" outlineLevel="0" collapsed="false">
      <c r="A1713" s="6"/>
      <c r="B1713" s="6"/>
      <c r="C1713" s="6"/>
      <c r="D1713" s="6"/>
      <c r="E1713" s="6"/>
      <c r="F1713" s="6"/>
      <c r="G1713" s="6"/>
      <c r="H1713" s="6"/>
      <c r="I1713" s="6"/>
      <c r="J1713" s="6"/>
      <c r="K1713" s="18"/>
      <c r="L1713" s="19" t="str">
        <f aca="false">IF(A1713="","",G1713*K1713)</f>
        <v/>
      </c>
      <c r="M1713" s="20"/>
      <c r="N1713" s="6"/>
      <c r="O1713" s="6"/>
      <c r="P1713" s="5" t="str">
        <f aca="false">IF(A1713="","",H1713/90)</f>
        <v/>
      </c>
      <c r="Q1713" s="5" t="str">
        <f aca="false">IF(A1713="","",IFERROR(INDEX(Parâmetros!$C$6:$C$10,MATCH(F1713,Parâmetros!$B$6:$B$10,0)),""))</f>
        <v/>
      </c>
      <c r="R1713" s="5" t="str">
        <f aca="false">IF(OR(A1713="",P1713="",Q1713=""),"",P1713*Q1713)</f>
        <v/>
      </c>
      <c r="S1713" s="5" t="str">
        <f aca="false">IF(R1713="","",MAX(0,R1713-G1713))</f>
        <v/>
      </c>
      <c r="T1713" s="21" t="str">
        <f aca="false">IF(S1713="","",S1713*K1713)</f>
        <v/>
      </c>
      <c r="U1713" s="5" t="str">
        <f aca="false">IF(A1713="","",IF(J1713&gt;Parâmetros!$C$14,"SIM","NAO"))</f>
        <v/>
      </c>
      <c r="V1713" s="5" t="str">
        <f aca="false">IF(B1713="","",TRIM(LEFT(B1713,IFERROR(FIND(" ",B1713)-1,LEN(B1713)))))</f>
        <v/>
      </c>
      <c r="W1713" s="22"/>
      <c r="X1713" s="5" t="str">
        <f aca="false">IF(A1713="","",IF(W1713&lt;&gt;"",W1713,V1713))</f>
        <v/>
      </c>
      <c r="Y1713" s="5" t="str">
        <f aca="false">IF(A1713="","",IF(COUNTIFS($X$2:$X$2001,X1713,$D$2:$D$2001,"&lt;&gt;"&amp;D1713,$C$2:$C$2001,C1713)&gt;0,"SIM","NAO"))</f>
        <v/>
      </c>
      <c r="Z1713" s="5" t="str">
        <f aca="false">IF(A1713="","",IF(J1713="","",IFERROR(360/J1713,"")))</f>
        <v/>
      </c>
      <c r="AA1713" s="5" t="str">
        <f aca="false">IF(A1713="","",IF(H1713=0,"Parado (sem venda 90d)",IF(Z1713&gt;12,"Alto (&gt;12x/ano)",IF(Z1713&gt;=4,"Medio (4-12x/ano)","Baixo (&lt;4x/ano)"))))</f>
        <v/>
      </c>
    </row>
    <row r="1714" customFormat="false" ht="15" hidden="false" customHeight="true" outlineLevel="0" collapsed="false">
      <c r="A1714" s="6"/>
      <c r="B1714" s="6"/>
      <c r="C1714" s="6"/>
      <c r="D1714" s="6"/>
      <c r="E1714" s="6"/>
      <c r="F1714" s="6"/>
      <c r="G1714" s="6"/>
      <c r="H1714" s="6"/>
      <c r="I1714" s="6"/>
      <c r="J1714" s="6"/>
      <c r="K1714" s="18"/>
      <c r="L1714" s="19" t="str">
        <f aca="false">IF(A1714="","",G1714*K1714)</f>
        <v/>
      </c>
      <c r="M1714" s="20"/>
      <c r="N1714" s="6"/>
      <c r="O1714" s="6"/>
      <c r="P1714" s="5" t="str">
        <f aca="false">IF(A1714="","",H1714/90)</f>
        <v/>
      </c>
      <c r="Q1714" s="5" t="str">
        <f aca="false">IF(A1714="","",IFERROR(INDEX(Parâmetros!$C$6:$C$10,MATCH(F1714,Parâmetros!$B$6:$B$10,0)),""))</f>
        <v/>
      </c>
      <c r="R1714" s="5" t="str">
        <f aca="false">IF(OR(A1714="",P1714="",Q1714=""),"",P1714*Q1714)</f>
        <v/>
      </c>
      <c r="S1714" s="5" t="str">
        <f aca="false">IF(R1714="","",MAX(0,R1714-G1714))</f>
        <v/>
      </c>
      <c r="T1714" s="21" t="str">
        <f aca="false">IF(S1714="","",S1714*K1714)</f>
        <v/>
      </c>
      <c r="U1714" s="5" t="str">
        <f aca="false">IF(A1714="","",IF(J1714&gt;Parâmetros!$C$14,"SIM","NAO"))</f>
        <v/>
      </c>
      <c r="V1714" s="5" t="str">
        <f aca="false">IF(B1714="","",TRIM(LEFT(B1714,IFERROR(FIND(" ",B1714)-1,LEN(B1714)))))</f>
        <v/>
      </c>
      <c r="W1714" s="22"/>
      <c r="X1714" s="5" t="str">
        <f aca="false">IF(A1714="","",IF(W1714&lt;&gt;"",W1714,V1714))</f>
        <v/>
      </c>
      <c r="Y1714" s="5" t="str">
        <f aca="false">IF(A1714="","",IF(COUNTIFS($X$2:$X$2001,X1714,$D$2:$D$2001,"&lt;&gt;"&amp;D1714,$C$2:$C$2001,C1714)&gt;0,"SIM","NAO"))</f>
        <v/>
      </c>
      <c r="Z1714" s="5" t="str">
        <f aca="false">IF(A1714="","",IF(J1714="","",IFERROR(360/J1714,"")))</f>
        <v/>
      </c>
      <c r="AA1714" s="5" t="str">
        <f aca="false">IF(A1714="","",IF(H1714=0,"Parado (sem venda 90d)",IF(Z1714&gt;12,"Alto (&gt;12x/ano)",IF(Z1714&gt;=4,"Medio (4-12x/ano)","Baixo (&lt;4x/ano)"))))</f>
        <v/>
      </c>
    </row>
    <row r="1715" customFormat="false" ht="15" hidden="false" customHeight="true" outlineLevel="0" collapsed="false">
      <c r="A1715" s="6"/>
      <c r="B1715" s="6"/>
      <c r="C1715" s="6"/>
      <c r="D1715" s="6"/>
      <c r="E1715" s="6"/>
      <c r="F1715" s="6"/>
      <c r="G1715" s="6"/>
      <c r="H1715" s="6"/>
      <c r="I1715" s="6"/>
      <c r="J1715" s="6"/>
      <c r="K1715" s="18"/>
      <c r="L1715" s="19" t="str">
        <f aca="false">IF(A1715="","",G1715*K1715)</f>
        <v/>
      </c>
      <c r="M1715" s="20"/>
      <c r="N1715" s="6"/>
      <c r="O1715" s="6"/>
      <c r="P1715" s="5" t="str">
        <f aca="false">IF(A1715="","",H1715/90)</f>
        <v/>
      </c>
      <c r="Q1715" s="5" t="str">
        <f aca="false">IF(A1715="","",IFERROR(INDEX(Parâmetros!$C$6:$C$10,MATCH(F1715,Parâmetros!$B$6:$B$10,0)),""))</f>
        <v/>
      </c>
      <c r="R1715" s="5" t="str">
        <f aca="false">IF(OR(A1715="",P1715="",Q1715=""),"",P1715*Q1715)</f>
        <v/>
      </c>
      <c r="S1715" s="5" t="str">
        <f aca="false">IF(R1715="","",MAX(0,R1715-G1715))</f>
        <v/>
      </c>
      <c r="T1715" s="21" t="str">
        <f aca="false">IF(S1715="","",S1715*K1715)</f>
        <v/>
      </c>
      <c r="U1715" s="5" t="str">
        <f aca="false">IF(A1715="","",IF(J1715&gt;Parâmetros!$C$14,"SIM","NAO"))</f>
        <v/>
      </c>
      <c r="V1715" s="5" t="str">
        <f aca="false">IF(B1715="","",TRIM(LEFT(B1715,IFERROR(FIND(" ",B1715)-1,LEN(B1715)))))</f>
        <v/>
      </c>
      <c r="W1715" s="22"/>
      <c r="X1715" s="5" t="str">
        <f aca="false">IF(A1715="","",IF(W1715&lt;&gt;"",W1715,V1715))</f>
        <v/>
      </c>
      <c r="Y1715" s="5" t="str">
        <f aca="false">IF(A1715="","",IF(COUNTIFS($X$2:$X$2001,X1715,$D$2:$D$2001,"&lt;&gt;"&amp;D1715,$C$2:$C$2001,C1715)&gt;0,"SIM","NAO"))</f>
        <v/>
      </c>
      <c r="Z1715" s="5" t="str">
        <f aca="false">IF(A1715="","",IF(J1715="","",IFERROR(360/J1715,"")))</f>
        <v/>
      </c>
      <c r="AA1715" s="5" t="str">
        <f aca="false">IF(A1715="","",IF(H1715=0,"Parado (sem venda 90d)",IF(Z1715&gt;12,"Alto (&gt;12x/ano)",IF(Z1715&gt;=4,"Medio (4-12x/ano)","Baixo (&lt;4x/ano)"))))</f>
        <v/>
      </c>
    </row>
    <row r="1716" customFormat="false" ht="15" hidden="false" customHeight="true" outlineLevel="0" collapsed="false">
      <c r="A1716" s="6"/>
      <c r="B1716" s="6"/>
      <c r="C1716" s="6"/>
      <c r="D1716" s="6"/>
      <c r="E1716" s="6"/>
      <c r="F1716" s="6"/>
      <c r="G1716" s="6"/>
      <c r="H1716" s="6"/>
      <c r="I1716" s="6"/>
      <c r="J1716" s="6"/>
      <c r="K1716" s="18"/>
      <c r="L1716" s="19" t="str">
        <f aca="false">IF(A1716="","",G1716*K1716)</f>
        <v/>
      </c>
      <c r="M1716" s="20"/>
      <c r="N1716" s="6"/>
      <c r="O1716" s="6"/>
      <c r="P1716" s="5" t="str">
        <f aca="false">IF(A1716="","",H1716/90)</f>
        <v/>
      </c>
      <c r="Q1716" s="5" t="str">
        <f aca="false">IF(A1716="","",IFERROR(INDEX(Parâmetros!$C$6:$C$10,MATCH(F1716,Parâmetros!$B$6:$B$10,0)),""))</f>
        <v/>
      </c>
      <c r="R1716" s="5" t="str">
        <f aca="false">IF(OR(A1716="",P1716="",Q1716=""),"",P1716*Q1716)</f>
        <v/>
      </c>
      <c r="S1716" s="5" t="str">
        <f aca="false">IF(R1716="","",MAX(0,R1716-G1716))</f>
        <v/>
      </c>
      <c r="T1716" s="21" t="str">
        <f aca="false">IF(S1716="","",S1716*K1716)</f>
        <v/>
      </c>
      <c r="U1716" s="5" t="str">
        <f aca="false">IF(A1716="","",IF(J1716&gt;Parâmetros!$C$14,"SIM","NAO"))</f>
        <v/>
      </c>
      <c r="V1716" s="5" t="str">
        <f aca="false">IF(B1716="","",TRIM(LEFT(B1716,IFERROR(FIND(" ",B1716)-1,LEN(B1716)))))</f>
        <v/>
      </c>
      <c r="W1716" s="22"/>
      <c r="X1716" s="5" t="str">
        <f aca="false">IF(A1716="","",IF(W1716&lt;&gt;"",W1716,V1716))</f>
        <v/>
      </c>
      <c r="Y1716" s="5" t="str">
        <f aca="false">IF(A1716="","",IF(COUNTIFS($X$2:$X$2001,X1716,$D$2:$D$2001,"&lt;&gt;"&amp;D1716,$C$2:$C$2001,C1716)&gt;0,"SIM","NAO"))</f>
        <v/>
      </c>
      <c r="Z1716" s="5" t="str">
        <f aca="false">IF(A1716="","",IF(J1716="","",IFERROR(360/J1716,"")))</f>
        <v/>
      </c>
      <c r="AA1716" s="5" t="str">
        <f aca="false">IF(A1716="","",IF(H1716=0,"Parado (sem venda 90d)",IF(Z1716&gt;12,"Alto (&gt;12x/ano)",IF(Z1716&gt;=4,"Medio (4-12x/ano)","Baixo (&lt;4x/ano)"))))</f>
        <v/>
      </c>
    </row>
    <row r="1717" customFormat="false" ht="15" hidden="false" customHeight="true" outlineLevel="0" collapsed="false">
      <c r="A1717" s="6"/>
      <c r="B1717" s="6"/>
      <c r="C1717" s="6"/>
      <c r="D1717" s="6"/>
      <c r="E1717" s="6"/>
      <c r="F1717" s="6"/>
      <c r="G1717" s="6"/>
      <c r="H1717" s="6"/>
      <c r="I1717" s="6"/>
      <c r="J1717" s="6"/>
      <c r="K1717" s="18"/>
      <c r="L1717" s="19" t="str">
        <f aca="false">IF(A1717="","",G1717*K1717)</f>
        <v/>
      </c>
      <c r="M1717" s="20"/>
      <c r="N1717" s="6"/>
      <c r="O1717" s="6"/>
      <c r="P1717" s="5" t="str">
        <f aca="false">IF(A1717="","",H1717/90)</f>
        <v/>
      </c>
      <c r="Q1717" s="5" t="str">
        <f aca="false">IF(A1717="","",IFERROR(INDEX(Parâmetros!$C$6:$C$10,MATCH(F1717,Parâmetros!$B$6:$B$10,0)),""))</f>
        <v/>
      </c>
      <c r="R1717" s="5" t="str">
        <f aca="false">IF(OR(A1717="",P1717="",Q1717=""),"",P1717*Q1717)</f>
        <v/>
      </c>
      <c r="S1717" s="5" t="str">
        <f aca="false">IF(R1717="","",MAX(0,R1717-G1717))</f>
        <v/>
      </c>
      <c r="T1717" s="21" t="str">
        <f aca="false">IF(S1717="","",S1717*K1717)</f>
        <v/>
      </c>
      <c r="U1717" s="5" t="str">
        <f aca="false">IF(A1717="","",IF(J1717&gt;Parâmetros!$C$14,"SIM","NAO"))</f>
        <v/>
      </c>
      <c r="V1717" s="5" t="str">
        <f aca="false">IF(B1717="","",TRIM(LEFT(B1717,IFERROR(FIND(" ",B1717)-1,LEN(B1717)))))</f>
        <v/>
      </c>
      <c r="W1717" s="22"/>
      <c r="X1717" s="5" t="str">
        <f aca="false">IF(A1717="","",IF(W1717&lt;&gt;"",W1717,V1717))</f>
        <v/>
      </c>
      <c r="Y1717" s="5" t="str">
        <f aca="false">IF(A1717="","",IF(COUNTIFS($X$2:$X$2001,X1717,$D$2:$D$2001,"&lt;&gt;"&amp;D1717,$C$2:$C$2001,C1717)&gt;0,"SIM","NAO"))</f>
        <v/>
      </c>
      <c r="Z1717" s="5" t="str">
        <f aca="false">IF(A1717="","",IF(J1717="","",IFERROR(360/J1717,"")))</f>
        <v/>
      </c>
      <c r="AA1717" s="5" t="str">
        <f aca="false">IF(A1717="","",IF(H1717=0,"Parado (sem venda 90d)",IF(Z1717&gt;12,"Alto (&gt;12x/ano)",IF(Z1717&gt;=4,"Medio (4-12x/ano)","Baixo (&lt;4x/ano)"))))</f>
        <v/>
      </c>
    </row>
    <row r="1718" customFormat="false" ht="15" hidden="false" customHeight="true" outlineLevel="0" collapsed="false">
      <c r="A1718" s="6"/>
      <c r="B1718" s="6"/>
      <c r="C1718" s="6"/>
      <c r="D1718" s="6"/>
      <c r="E1718" s="6"/>
      <c r="F1718" s="6"/>
      <c r="G1718" s="6"/>
      <c r="H1718" s="6"/>
      <c r="I1718" s="6"/>
      <c r="J1718" s="6"/>
      <c r="K1718" s="18"/>
      <c r="L1718" s="19" t="str">
        <f aca="false">IF(A1718="","",G1718*K1718)</f>
        <v/>
      </c>
      <c r="M1718" s="20"/>
      <c r="N1718" s="6"/>
      <c r="O1718" s="6"/>
      <c r="P1718" s="5" t="str">
        <f aca="false">IF(A1718="","",H1718/90)</f>
        <v/>
      </c>
      <c r="Q1718" s="5" t="str">
        <f aca="false">IF(A1718="","",IFERROR(INDEX(Parâmetros!$C$6:$C$10,MATCH(F1718,Parâmetros!$B$6:$B$10,0)),""))</f>
        <v/>
      </c>
      <c r="R1718" s="5" t="str">
        <f aca="false">IF(OR(A1718="",P1718="",Q1718=""),"",P1718*Q1718)</f>
        <v/>
      </c>
      <c r="S1718" s="5" t="str">
        <f aca="false">IF(R1718="","",MAX(0,R1718-G1718))</f>
        <v/>
      </c>
      <c r="T1718" s="21" t="str">
        <f aca="false">IF(S1718="","",S1718*K1718)</f>
        <v/>
      </c>
      <c r="U1718" s="5" t="str">
        <f aca="false">IF(A1718="","",IF(J1718&gt;Parâmetros!$C$14,"SIM","NAO"))</f>
        <v/>
      </c>
      <c r="V1718" s="5" t="str">
        <f aca="false">IF(B1718="","",TRIM(LEFT(B1718,IFERROR(FIND(" ",B1718)-1,LEN(B1718)))))</f>
        <v/>
      </c>
      <c r="W1718" s="22"/>
      <c r="X1718" s="5" t="str">
        <f aca="false">IF(A1718="","",IF(W1718&lt;&gt;"",W1718,V1718))</f>
        <v/>
      </c>
      <c r="Y1718" s="5" t="str">
        <f aca="false">IF(A1718="","",IF(COUNTIFS($X$2:$X$2001,X1718,$D$2:$D$2001,"&lt;&gt;"&amp;D1718,$C$2:$C$2001,C1718)&gt;0,"SIM","NAO"))</f>
        <v/>
      </c>
      <c r="Z1718" s="5" t="str">
        <f aca="false">IF(A1718="","",IF(J1718="","",IFERROR(360/J1718,"")))</f>
        <v/>
      </c>
      <c r="AA1718" s="5" t="str">
        <f aca="false">IF(A1718="","",IF(H1718=0,"Parado (sem venda 90d)",IF(Z1718&gt;12,"Alto (&gt;12x/ano)",IF(Z1718&gt;=4,"Medio (4-12x/ano)","Baixo (&lt;4x/ano)"))))</f>
        <v/>
      </c>
    </row>
    <row r="1719" customFormat="false" ht="15" hidden="false" customHeight="true" outlineLevel="0" collapsed="false">
      <c r="A1719" s="6"/>
      <c r="B1719" s="6"/>
      <c r="C1719" s="6"/>
      <c r="D1719" s="6"/>
      <c r="E1719" s="6"/>
      <c r="F1719" s="6"/>
      <c r="G1719" s="6"/>
      <c r="H1719" s="6"/>
      <c r="I1719" s="6"/>
      <c r="J1719" s="6"/>
      <c r="K1719" s="18"/>
      <c r="L1719" s="19" t="str">
        <f aca="false">IF(A1719="","",G1719*K1719)</f>
        <v/>
      </c>
      <c r="M1719" s="20"/>
      <c r="N1719" s="6"/>
      <c r="O1719" s="6"/>
      <c r="P1719" s="5" t="str">
        <f aca="false">IF(A1719="","",H1719/90)</f>
        <v/>
      </c>
      <c r="Q1719" s="5" t="str">
        <f aca="false">IF(A1719="","",IFERROR(INDEX(Parâmetros!$C$6:$C$10,MATCH(F1719,Parâmetros!$B$6:$B$10,0)),""))</f>
        <v/>
      </c>
      <c r="R1719" s="5" t="str">
        <f aca="false">IF(OR(A1719="",P1719="",Q1719=""),"",P1719*Q1719)</f>
        <v/>
      </c>
      <c r="S1719" s="5" t="str">
        <f aca="false">IF(R1719="","",MAX(0,R1719-G1719))</f>
        <v/>
      </c>
      <c r="T1719" s="21" t="str">
        <f aca="false">IF(S1719="","",S1719*K1719)</f>
        <v/>
      </c>
      <c r="U1719" s="5" t="str">
        <f aca="false">IF(A1719="","",IF(J1719&gt;Parâmetros!$C$14,"SIM","NAO"))</f>
        <v/>
      </c>
      <c r="V1719" s="5" t="str">
        <f aca="false">IF(B1719="","",TRIM(LEFT(B1719,IFERROR(FIND(" ",B1719)-1,LEN(B1719)))))</f>
        <v/>
      </c>
      <c r="W1719" s="22"/>
      <c r="X1719" s="5" t="str">
        <f aca="false">IF(A1719="","",IF(W1719&lt;&gt;"",W1719,V1719))</f>
        <v/>
      </c>
      <c r="Y1719" s="5" t="str">
        <f aca="false">IF(A1719="","",IF(COUNTIFS($X$2:$X$2001,X1719,$D$2:$D$2001,"&lt;&gt;"&amp;D1719,$C$2:$C$2001,C1719)&gt;0,"SIM","NAO"))</f>
        <v/>
      </c>
      <c r="Z1719" s="5" t="str">
        <f aca="false">IF(A1719="","",IF(J1719="","",IFERROR(360/J1719,"")))</f>
        <v/>
      </c>
      <c r="AA1719" s="5" t="str">
        <f aca="false">IF(A1719="","",IF(H1719=0,"Parado (sem venda 90d)",IF(Z1719&gt;12,"Alto (&gt;12x/ano)",IF(Z1719&gt;=4,"Medio (4-12x/ano)","Baixo (&lt;4x/ano)"))))</f>
        <v/>
      </c>
    </row>
    <row r="1720" customFormat="false" ht="15" hidden="false" customHeight="true" outlineLevel="0" collapsed="false">
      <c r="A1720" s="6"/>
      <c r="B1720" s="6"/>
      <c r="C1720" s="6"/>
      <c r="D1720" s="6"/>
      <c r="E1720" s="6"/>
      <c r="F1720" s="6"/>
      <c r="G1720" s="6"/>
      <c r="H1720" s="6"/>
      <c r="I1720" s="6"/>
      <c r="J1720" s="6"/>
      <c r="K1720" s="18"/>
      <c r="L1720" s="19" t="str">
        <f aca="false">IF(A1720="","",G1720*K1720)</f>
        <v/>
      </c>
      <c r="M1720" s="20"/>
      <c r="N1720" s="6"/>
      <c r="O1720" s="6"/>
      <c r="P1720" s="5" t="str">
        <f aca="false">IF(A1720="","",H1720/90)</f>
        <v/>
      </c>
      <c r="Q1720" s="5" t="str">
        <f aca="false">IF(A1720="","",IFERROR(INDEX(Parâmetros!$C$6:$C$10,MATCH(F1720,Parâmetros!$B$6:$B$10,0)),""))</f>
        <v/>
      </c>
      <c r="R1720" s="5" t="str">
        <f aca="false">IF(OR(A1720="",P1720="",Q1720=""),"",P1720*Q1720)</f>
        <v/>
      </c>
      <c r="S1720" s="5" t="str">
        <f aca="false">IF(R1720="","",MAX(0,R1720-G1720))</f>
        <v/>
      </c>
      <c r="T1720" s="21" t="str">
        <f aca="false">IF(S1720="","",S1720*K1720)</f>
        <v/>
      </c>
      <c r="U1720" s="5" t="str">
        <f aca="false">IF(A1720="","",IF(J1720&gt;Parâmetros!$C$14,"SIM","NAO"))</f>
        <v/>
      </c>
      <c r="V1720" s="5" t="str">
        <f aca="false">IF(B1720="","",TRIM(LEFT(B1720,IFERROR(FIND(" ",B1720)-1,LEN(B1720)))))</f>
        <v/>
      </c>
      <c r="W1720" s="22"/>
      <c r="X1720" s="5" t="str">
        <f aca="false">IF(A1720="","",IF(W1720&lt;&gt;"",W1720,V1720))</f>
        <v/>
      </c>
      <c r="Y1720" s="5" t="str">
        <f aca="false">IF(A1720="","",IF(COUNTIFS($X$2:$X$2001,X1720,$D$2:$D$2001,"&lt;&gt;"&amp;D1720,$C$2:$C$2001,C1720)&gt;0,"SIM","NAO"))</f>
        <v/>
      </c>
      <c r="Z1720" s="5" t="str">
        <f aca="false">IF(A1720="","",IF(J1720="","",IFERROR(360/J1720,"")))</f>
        <v/>
      </c>
      <c r="AA1720" s="5" t="str">
        <f aca="false">IF(A1720="","",IF(H1720=0,"Parado (sem venda 90d)",IF(Z1720&gt;12,"Alto (&gt;12x/ano)",IF(Z1720&gt;=4,"Medio (4-12x/ano)","Baixo (&lt;4x/ano)"))))</f>
        <v/>
      </c>
    </row>
    <row r="1721" customFormat="false" ht="15" hidden="false" customHeight="true" outlineLevel="0" collapsed="false">
      <c r="A1721" s="6"/>
      <c r="B1721" s="6"/>
      <c r="C1721" s="6"/>
      <c r="D1721" s="6"/>
      <c r="E1721" s="6"/>
      <c r="F1721" s="6"/>
      <c r="G1721" s="6"/>
      <c r="H1721" s="6"/>
      <c r="I1721" s="6"/>
      <c r="J1721" s="6"/>
      <c r="K1721" s="18"/>
      <c r="L1721" s="19" t="str">
        <f aca="false">IF(A1721="","",G1721*K1721)</f>
        <v/>
      </c>
      <c r="M1721" s="20"/>
      <c r="N1721" s="6"/>
      <c r="O1721" s="6"/>
      <c r="P1721" s="5" t="str">
        <f aca="false">IF(A1721="","",H1721/90)</f>
        <v/>
      </c>
      <c r="Q1721" s="5" t="str">
        <f aca="false">IF(A1721="","",IFERROR(INDEX(Parâmetros!$C$6:$C$10,MATCH(F1721,Parâmetros!$B$6:$B$10,0)),""))</f>
        <v/>
      </c>
      <c r="R1721" s="5" t="str">
        <f aca="false">IF(OR(A1721="",P1721="",Q1721=""),"",P1721*Q1721)</f>
        <v/>
      </c>
      <c r="S1721" s="5" t="str">
        <f aca="false">IF(R1721="","",MAX(0,R1721-G1721))</f>
        <v/>
      </c>
      <c r="T1721" s="21" t="str">
        <f aca="false">IF(S1721="","",S1721*K1721)</f>
        <v/>
      </c>
      <c r="U1721" s="5" t="str">
        <f aca="false">IF(A1721="","",IF(J1721&gt;Parâmetros!$C$14,"SIM","NAO"))</f>
        <v/>
      </c>
      <c r="V1721" s="5" t="str">
        <f aca="false">IF(B1721="","",TRIM(LEFT(B1721,IFERROR(FIND(" ",B1721)-1,LEN(B1721)))))</f>
        <v/>
      </c>
      <c r="W1721" s="22"/>
      <c r="X1721" s="5" t="str">
        <f aca="false">IF(A1721="","",IF(W1721&lt;&gt;"",W1721,V1721))</f>
        <v/>
      </c>
      <c r="Y1721" s="5" t="str">
        <f aca="false">IF(A1721="","",IF(COUNTIFS($X$2:$X$2001,X1721,$D$2:$D$2001,"&lt;&gt;"&amp;D1721,$C$2:$C$2001,C1721)&gt;0,"SIM","NAO"))</f>
        <v/>
      </c>
      <c r="Z1721" s="5" t="str">
        <f aca="false">IF(A1721="","",IF(J1721="","",IFERROR(360/J1721,"")))</f>
        <v/>
      </c>
      <c r="AA1721" s="5" t="str">
        <f aca="false">IF(A1721="","",IF(H1721=0,"Parado (sem venda 90d)",IF(Z1721&gt;12,"Alto (&gt;12x/ano)",IF(Z1721&gt;=4,"Medio (4-12x/ano)","Baixo (&lt;4x/ano)"))))</f>
        <v/>
      </c>
    </row>
    <row r="1722" customFormat="false" ht="15" hidden="false" customHeight="true" outlineLevel="0" collapsed="false">
      <c r="A1722" s="6"/>
      <c r="B1722" s="6"/>
      <c r="C1722" s="6"/>
      <c r="D1722" s="6"/>
      <c r="E1722" s="6"/>
      <c r="F1722" s="6"/>
      <c r="G1722" s="6"/>
      <c r="H1722" s="6"/>
      <c r="I1722" s="6"/>
      <c r="J1722" s="6"/>
      <c r="K1722" s="18"/>
      <c r="L1722" s="19" t="str">
        <f aca="false">IF(A1722="","",G1722*K1722)</f>
        <v/>
      </c>
      <c r="M1722" s="20"/>
      <c r="N1722" s="6"/>
      <c r="O1722" s="6"/>
      <c r="P1722" s="5" t="str">
        <f aca="false">IF(A1722="","",H1722/90)</f>
        <v/>
      </c>
      <c r="Q1722" s="5" t="str">
        <f aca="false">IF(A1722="","",IFERROR(INDEX(Parâmetros!$C$6:$C$10,MATCH(F1722,Parâmetros!$B$6:$B$10,0)),""))</f>
        <v/>
      </c>
      <c r="R1722" s="5" t="str">
        <f aca="false">IF(OR(A1722="",P1722="",Q1722=""),"",P1722*Q1722)</f>
        <v/>
      </c>
      <c r="S1722" s="5" t="str">
        <f aca="false">IF(R1722="","",MAX(0,R1722-G1722))</f>
        <v/>
      </c>
      <c r="T1722" s="21" t="str">
        <f aca="false">IF(S1722="","",S1722*K1722)</f>
        <v/>
      </c>
      <c r="U1722" s="5" t="str">
        <f aca="false">IF(A1722="","",IF(J1722&gt;Parâmetros!$C$14,"SIM","NAO"))</f>
        <v/>
      </c>
      <c r="V1722" s="5" t="str">
        <f aca="false">IF(B1722="","",TRIM(LEFT(B1722,IFERROR(FIND(" ",B1722)-1,LEN(B1722)))))</f>
        <v/>
      </c>
      <c r="W1722" s="22"/>
      <c r="X1722" s="5" t="str">
        <f aca="false">IF(A1722="","",IF(W1722&lt;&gt;"",W1722,V1722))</f>
        <v/>
      </c>
      <c r="Y1722" s="5" t="str">
        <f aca="false">IF(A1722="","",IF(COUNTIFS($X$2:$X$2001,X1722,$D$2:$D$2001,"&lt;&gt;"&amp;D1722,$C$2:$C$2001,C1722)&gt;0,"SIM","NAO"))</f>
        <v/>
      </c>
      <c r="Z1722" s="5" t="str">
        <f aca="false">IF(A1722="","",IF(J1722="","",IFERROR(360/J1722,"")))</f>
        <v/>
      </c>
      <c r="AA1722" s="5" t="str">
        <f aca="false">IF(A1722="","",IF(H1722=0,"Parado (sem venda 90d)",IF(Z1722&gt;12,"Alto (&gt;12x/ano)",IF(Z1722&gt;=4,"Medio (4-12x/ano)","Baixo (&lt;4x/ano)"))))</f>
        <v/>
      </c>
    </row>
    <row r="1723" customFormat="false" ht="15" hidden="false" customHeight="true" outlineLevel="0" collapsed="false">
      <c r="A1723" s="6"/>
      <c r="B1723" s="6"/>
      <c r="C1723" s="6"/>
      <c r="D1723" s="6"/>
      <c r="E1723" s="6"/>
      <c r="F1723" s="6"/>
      <c r="G1723" s="6"/>
      <c r="H1723" s="6"/>
      <c r="I1723" s="6"/>
      <c r="J1723" s="6"/>
      <c r="K1723" s="18"/>
      <c r="L1723" s="19" t="str">
        <f aca="false">IF(A1723="","",G1723*K1723)</f>
        <v/>
      </c>
      <c r="M1723" s="20"/>
      <c r="N1723" s="6"/>
      <c r="O1723" s="6"/>
      <c r="P1723" s="5" t="str">
        <f aca="false">IF(A1723="","",H1723/90)</f>
        <v/>
      </c>
      <c r="Q1723" s="5" t="str">
        <f aca="false">IF(A1723="","",IFERROR(INDEX(Parâmetros!$C$6:$C$10,MATCH(F1723,Parâmetros!$B$6:$B$10,0)),""))</f>
        <v/>
      </c>
      <c r="R1723" s="5" t="str">
        <f aca="false">IF(OR(A1723="",P1723="",Q1723=""),"",P1723*Q1723)</f>
        <v/>
      </c>
      <c r="S1723" s="5" t="str">
        <f aca="false">IF(R1723="","",MAX(0,R1723-G1723))</f>
        <v/>
      </c>
      <c r="T1723" s="21" t="str">
        <f aca="false">IF(S1723="","",S1723*K1723)</f>
        <v/>
      </c>
      <c r="U1723" s="5" t="str">
        <f aca="false">IF(A1723="","",IF(J1723&gt;Parâmetros!$C$14,"SIM","NAO"))</f>
        <v/>
      </c>
      <c r="V1723" s="5" t="str">
        <f aca="false">IF(B1723="","",TRIM(LEFT(B1723,IFERROR(FIND(" ",B1723)-1,LEN(B1723)))))</f>
        <v/>
      </c>
      <c r="W1723" s="22"/>
      <c r="X1723" s="5" t="str">
        <f aca="false">IF(A1723="","",IF(W1723&lt;&gt;"",W1723,V1723))</f>
        <v/>
      </c>
      <c r="Y1723" s="5" t="str">
        <f aca="false">IF(A1723="","",IF(COUNTIFS($X$2:$X$2001,X1723,$D$2:$D$2001,"&lt;&gt;"&amp;D1723,$C$2:$C$2001,C1723)&gt;0,"SIM","NAO"))</f>
        <v/>
      </c>
      <c r="Z1723" s="5" t="str">
        <f aca="false">IF(A1723="","",IF(J1723="","",IFERROR(360/J1723,"")))</f>
        <v/>
      </c>
      <c r="AA1723" s="5" t="str">
        <f aca="false">IF(A1723="","",IF(H1723=0,"Parado (sem venda 90d)",IF(Z1723&gt;12,"Alto (&gt;12x/ano)",IF(Z1723&gt;=4,"Medio (4-12x/ano)","Baixo (&lt;4x/ano)"))))</f>
        <v/>
      </c>
    </row>
    <row r="1724" customFormat="false" ht="15" hidden="false" customHeight="true" outlineLevel="0" collapsed="false">
      <c r="A1724" s="6"/>
      <c r="B1724" s="6"/>
      <c r="C1724" s="6"/>
      <c r="D1724" s="6"/>
      <c r="E1724" s="6"/>
      <c r="F1724" s="6"/>
      <c r="G1724" s="6"/>
      <c r="H1724" s="6"/>
      <c r="I1724" s="6"/>
      <c r="J1724" s="6"/>
      <c r="K1724" s="18"/>
      <c r="L1724" s="19" t="str">
        <f aca="false">IF(A1724="","",G1724*K1724)</f>
        <v/>
      </c>
      <c r="M1724" s="20"/>
      <c r="N1724" s="6"/>
      <c r="O1724" s="6"/>
      <c r="P1724" s="5" t="str">
        <f aca="false">IF(A1724="","",H1724/90)</f>
        <v/>
      </c>
      <c r="Q1724" s="5" t="str">
        <f aca="false">IF(A1724="","",IFERROR(INDEX(Parâmetros!$C$6:$C$10,MATCH(F1724,Parâmetros!$B$6:$B$10,0)),""))</f>
        <v/>
      </c>
      <c r="R1724" s="5" t="str">
        <f aca="false">IF(OR(A1724="",P1724="",Q1724=""),"",P1724*Q1724)</f>
        <v/>
      </c>
      <c r="S1724" s="5" t="str">
        <f aca="false">IF(R1724="","",MAX(0,R1724-G1724))</f>
        <v/>
      </c>
      <c r="T1724" s="21" t="str">
        <f aca="false">IF(S1724="","",S1724*K1724)</f>
        <v/>
      </c>
      <c r="U1724" s="5" t="str">
        <f aca="false">IF(A1724="","",IF(J1724&gt;Parâmetros!$C$14,"SIM","NAO"))</f>
        <v/>
      </c>
      <c r="V1724" s="5" t="str">
        <f aca="false">IF(B1724="","",TRIM(LEFT(B1724,IFERROR(FIND(" ",B1724)-1,LEN(B1724)))))</f>
        <v/>
      </c>
      <c r="W1724" s="22"/>
      <c r="X1724" s="5" t="str">
        <f aca="false">IF(A1724="","",IF(W1724&lt;&gt;"",W1724,V1724))</f>
        <v/>
      </c>
      <c r="Y1724" s="5" t="str">
        <f aca="false">IF(A1724="","",IF(COUNTIFS($X$2:$X$2001,X1724,$D$2:$D$2001,"&lt;&gt;"&amp;D1724,$C$2:$C$2001,C1724)&gt;0,"SIM","NAO"))</f>
        <v/>
      </c>
      <c r="Z1724" s="5" t="str">
        <f aca="false">IF(A1724="","",IF(J1724="","",IFERROR(360/J1724,"")))</f>
        <v/>
      </c>
      <c r="AA1724" s="5" t="str">
        <f aca="false">IF(A1724="","",IF(H1724=0,"Parado (sem venda 90d)",IF(Z1724&gt;12,"Alto (&gt;12x/ano)",IF(Z1724&gt;=4,"Medio (4-12x/ano)","Baixo (&lt;4x/ano)"))))</f>
        <v/>
      </c>
    </row>
    <row r="1725" customFormat="false" ht="15" hidden="false" customHeight="true" outlineLevel="0" collapsed="false">
      <c r="A1725" s="6"/>
      <c r="B1725" s="6"/>
      <c r="C1725" s="6"/>
      <c r="D1725" s="6"/>
      <c r="E1725" s="6"/>
      <c r="F1725" s="6"/>
      <c r="G1725" s="6"/>
      <c r="H1725" s="6"/>
      <c r="I1725" s="6"/>
      <c r="J1725" s="6"/>
      <c r="K1725" s="18"/>
      <c r="L1725" s="19" t="str">
        <f aca="false">IF(A1725="","",G1725*K1725)</f>
        <v/>
      </c>
      <c r="M1725" s="20"/>
      <c r="N1725" s="6"/>
      <c r="O1725" s="6"/>
      <c r="P1725" s="5" t="str">
        <f aca="false">IF(A1725="","",H1725/90)</f>
        <v/>
      </c>
      <c r="Q1725" s="5" t="str">
        <f aca="false">IF(A1725="","",IFERROR(INDEX(Parâmetros!$C$6:$C$10,MATCH(F1725,Parâmetros!$B$6:$B$10,0)),""))</f>
        <v/>
      </c>
      <c r="R1725" s="5" t="str">
        <f aca="false">IF(OR(A1725="",P1725="",Q1725=""),"",P1725*Q1725)</f>
        <v/>
      </c>
      <c r="S1725" s="5" t="str">
        <f aca="false">IF(R1725="","",MAX(0,R1725-G1725))</f>
        <v/>
      </c>
      <c r="T1725" s="21" t="str">
        <f aca="false">IF(S1725="","",S1725*K1725)</f>
        <v/>
      </c>
      <c r="U1725" s="5" t="str">
        <f aca="false">IF(A1725="","",IF(J1725&gt;Parâmetros!$C$14,"SIM","NAO"))</f>
        <v/>
      </c>
      <c r="V1725" s="5" t="str">
        <f aca="false">IF(B1725="","",TRIM(LEFT(B1725,IFERROR(FIND(" ",B1725)-1,LEN(B1725)))))</f>
        <v/>
      </c>
      <c r="W1725" s="22"/>
      <c r="X1725" s="5" t="str">
        <f aca="false">IF(A1725="","",IF(W1725&lt;&gt;"",W1725,V1725))</f>
        <v/>
      </c>
      <c r="Y1725" s="5" t="str">
        <f aca="false">IF(A1725="","",IF(COUNTIFS($X$2:$X$2001,X1725,$D$2:$D$2001,"&lt;&gt;"&amp;D1725,$C$2:$C$2001,C1725)&gt;0,"SIM","NAO"))</f>
        <v/>
      </c>
      <c r="Z1725" s="5" t="str">
        <f aca="false">IF(A1725="","",IF(J1725="","",IFERROR(360/J1725,"")))</f>
        <v/>
      </c>
      <c r="AA1725" s="5" t="str">
        <f aca="false">IF(A1725="","",IF(H1725=0,"Parado (sem venda 90d)",IF(Z1725&gt;12,"Alto (&gt;12x/ano)",IF(Z1725&gt;=4,"Medio (4-12x/ano)","Baixo (&lt;4x/ano)"))))</f>
        <v/>
      </c>
    </row>
    <row r="1726" customFormat="false" ht="15" hidden="false" customHeight="true" outlineLevel="0" collapsed="false">
      <c r="A1726" s="6"/>
      <c r="B1726" s="6"/>
      <c r="C1726" s="6"/>
      <c r="D1726" s="6"/>
      <c r="E1726" s="6"/>
      <c r="F1726" s="6"/>
      <c r="G1726" s="6"/>
      <c r="H1726" s="6"/>
      <c r="I1726" s="6"/>
      <c r="J1726" s="6"/>
      <c r="K1726" s="18"/>
      <c r="L1726" s="19" t="str">
        <f aca="false">IF(A1726="","",G1726*K1726)</f>
        <v/>
      </c>
      <c r="M1726" s="20"/>
      <c r="N1726" s="6"/>
      <c r="O1726" s="6"/>
      <c r="P1726" s="5" t="str">
        <f aca="false">IF(A1726="","",H1726/90)</f>
        <v/>
      </c>
      <c r="Q1726" s="5" t="str">
        <f aca="false">IF(A1726="","",IFERROR(INDEX(Parâmetros!$C$6:$C$10,MATCH(F1726,Parâmetros!$B$6:$B$10,0)),""))</f>
        <v/>
      </c>
      <c r="R1726" s="5" t="str">
        <f aca="false">IF(OR(A1726="",P1726="",Q1726=""),"",P1726*Q1726)</f>
        <v/>
      </c>
      <c r="S1726" s="5" t="str">
        <f aca="false">IF(R1726="","",MAX(0,R1726-G1726))</f>
        <v/>
      </c>
      <c r="T1726" s="21" t="str">
        <f aca="false">IF(S1726="","",S1726*K1726)</f>
        <v/>
      </c>
      <c r="U1726" s="5" t="str">
        <f aca="false">IF(A1726="","",IF(J1726&gt;Parâmetros!$C$14,"SIM","NAO"))</f>
        <v/>
      </c>
      <c r="V1726" s="5" t="str">
        <f aca="false">IF(B1726="","",TRIM(LEFT(B1726,IFERROR(FIND(" ",B1726)-1,LEN(B1726)))))</f>
        <v/>
      </c>
      <c r="W1726" s="22"/>
      <c r="X1726" s="5" t="str">
        <f aca="false">IF(A1726="","",IF(W1726&lt;&gt;"",W1726,V1726))</f>
        <v/>
      </c>
      <c r="Y1726" s="5" t="str">
        <f aca="false">IF(A1726="","",IF(COUNTIFS($X$2:$X$2001,X1726,$D$2:$D$2001,"&lt;&gt;"&amp;D1726,$C$2:$C$2001,C1726)&gt;0,"SIM","NAO"))</f>
        <v/>
      </c>
      <c r="Z1726" s="5" t="str">
        <f aca="false">IF(A1726="","",IF(J1726="","",IFERROR(360/J1726,"")))</f>
        <v/>
      </c>
      <c r="AA1726" s="5" t="str">
        <f aca="false">IF(A1726="","",IF(H1726=0,"Parado (sem venda 90d)",IF(Z1726&gt;12,"Alto (&gt;12x/ano)",IF(Z1726&gt;=4,"Medio (4-12x/ano)","Baixo (&lt;4x/ano)"))))</f>
        <v/>
      </c>
    </row>
    <row r="1727" customFormat="false" ht="15" hidden="false" customHeight="true" outlineLevel="0" collapsed="false">
      <c r="A1727" s="6"/>
      <c r="B1727" s="6"/>
      <c r="C1727" s="6"/>
      <c r="D1727" s="6"/>
      <c r="E1727" s="6"/>
      <c r="F1727" s="6"/>
      <c r="G1727" s="6"/>
      <c r="H1727" s="6"/>
      <c r="I1727" s="6"/>
      <c r="J1727" s="6"/>
      <c r="K1727" s="18"/>
      <c r="L1727" s="19" t="str">
        <f aca="false">IF(A1727="","",G1727*K1727)</f>
        <v/>
      </c>
      <c r="M1727" s="20"/>
      <c r="N1727" s="6"/>
      <c r="O1727" s="6"/>
      <c r="P1727" s="5" t="str">
        <f aca="false">IF(A1727="","",H1727/90)</f>
        <v/>
      </c>
      <c r="Q1727" s="5" t="str">
        <f aca="false">IF(A1727="","",IFERROR(INDEX(Parâmetros!$C$6:$C$10,MATCH(F1727,Parâmetros!$B$6:$B$10,0)),""))</f>
        <v/>
      </c>
      <c r="R1727" s="5" t="str">
        <f aca="false">IF(OR(A1727="",P1727="",Q1727=""),"",P1727*Q1727)</f>
        <v/>
      </c>
      <c r="S1727" s="5" t="str">
        <f aca="false">IF(R1727="","",MAX(0,R1727-G1727))</f>
        <v/>
      </c>
      <c r="T1727" s="21" t="str">
        <f aca="false">IF(S1727="","",S1727*K1727)</f>
        <v/>
      </c>
      <c r="U1727" s="5" t="str">
        <f aca="false">IF(A1727="","",IF(J1727&gt;Parâmetros!$C$14,"SIM","NAO"))</f>
        <v/>
      </c>
      <c r="V1727" s="5" t="str">
        <f aca="false">IF(B1727="","",TRIM(LEFT(B1727,IFERROR(FIND(" ",B1727)-1,LEN(B1727)))))</f>
        <v/>
      </c>
      <c r="W1727" s="22"/>
      <c r="X1727" s="5" t="str">
        <f aca="false">IF(A1727="","",IF(W1727&lt;&gt;"",W1727,V1727))</f>
        <v/>
      </c>
      <c r="Y1727" s="5" t="str">
        <f aca="false">IF(A1727="","",IF(COUNTIFS($X$2:$X$2001,X1727,$D$2:$D$2001,"&lt;&gt;"&amp;D1727,$C$2:$C$2001,C1727)&gt;0,"SIM","NAO"))</f>
        <v/>
      </c>
      <c r="Z1727" s="5" t="str">
        <f aca="false">IF(A1727="","",IF(J1727="","",IFERROR(360/J1727,"")))</f>
        <v/>
      </c>
      <c r="AA1727" s="5" t="str">
        <f aca="false">IF(A1727="","",IF(H1727=0,"Parado (sem venda 90d)",IF(Z1727&gt;12,"Alto (&gt;12x/ano)",IF(Z1727&gt;=4,"Medio (4-12x/ano)","Baixo (&lt;4x/ano)"))))</f>
        <v/>
      </c>
    </row>
    <row r="1728" customFormat="false" ht="15" hidden="false" customHeight="true" outlineLevel="0" collapsed="false">
      <c r="A1728" s="6"/>
      <c r="B1728" s="6"/>
      <c r="C1728" s="6"/>
      <c r="D1728" s="6"/>
      <c r="E1728" s="6"/>
      <c r="F1728" s="6"/>
      <c r="G1728" s="6"/>
      <c r="H1728" s="6"/>
      <c r="I1728" s="6"/>
      <c r="J1728" s="6"/>
      <c r="K1728" s="18"/>
      <c r="L1728" s="19" t="str">
        <f aca="false">IF(A1728="","",G1728*K1728)</f>
        <v/>
      </c>
      <c r="M1728" s="20"/>
      <c r="N1728" s="6"/>
      <c r="O1728" s="6"/>
      <c r="P1728" s="5" t="str">
        <f aca="false">IF(A1728="","",H1728/90)</f>
        <v/>
      </c>
      <c r="Q1728" s="5" t="str">
        <f aca="false">IF(A1728="","",IFERROR(INDEX(Parâmetros!$C$6:$C$10,MATCH(F1728,Parâmetros!$B$6:$B$10,0)),""))</f>
        <v/>
      </c>
      <c r="R1728" s="5" t="str">
        <f aca="false">IF(OR(A1728="",P1728="",Q1728=""),"",P1728*Q1728)</f>
        <v/>
      </c>
      <c r="S1728" s="5" t="str">
        <f aca="false">IF(R1728="","",MAX(0,R1728-G1728))</f>
        <v/>
      </c>
      <c r="T1728" s="21" t="str">
        <f aca="false">IF(S1728="","",S1728*K1728)</f>
        <v/>
      </c>
      <c r="U1728" s="5" t="str">
        <f aca="false">IF(A1728="","",IF(J1728&gt;Parâmetros!$C$14,"SIM","NAO"))</f>
        <v/>
      </c>
      <c r="V1728" s="5" t="str">
        <f aca="false">IF(B1728="","",TRIM(LEFT(B1728,IFERROR(FIND(" ",B1728)-1,LEN(B1728)))))</f>
        <v/>
      </c>
      <c r="W1728" s="22"/>
      <c r="X1728" s="5" t="str">
        <f aca="false">IF(A1728="","",IF(W1728&lt;&gt;"",W1728,V1728))</f>
        <v/>
      </c>
      <c r="Y1728" s="5" t="str">
        <f aca="false">IF(A1728="","",IF(COUNTIFS($X$2:$X$2001,X1728,$D$2:$D$2001,"&lt;&gt;"&amp;D1728,$C$2:$C$2001,C1728)&gt;0,"SIM","NAO"))</f>
        <v/>
      </c>
      <c r="Z1728" s="5" t="str">
        <f aca="false">IF(A1728="","",IF(J1728="","",IFERROR(360/J1728,"")))</f>
        <v/>
      </c>
      <c r="AA1728" s="5" t="str">
        <f aca="false">IF(A1728="","",IF(H1728=0,"Parado (sem venda 90d)",IF(Z1728&gt;12,"Alto (&gt;12x/ano)",IF(Z1728&gt;=4,"Medio (4-12x/ano)","Baixo (&lt;4x/ano)"))))</f>
        <v/>
      </c>
    </row>
    <row r="1729" customFormat="false" ht="15" hidden="false" customHeight="true" outlineLevel="0" collapsed="false">
      <c r="A1729" s="6"/>
      <c r="B1729" s="6"/>
      <c r="C1729" s="6"/>
      <c r="D1729" s="6"/>
      <c r="E1729" s="6"/>
      <c r="F1729" s="6"/>
      <c r="G1729" s="6"/>
      <c r="H1729" s="6"/>
      <c r="I1729" s="6"/>
      <c r="J1729" s="6"/>
      <c r="K1729" s="18"/>
      <c r="L1729" s="19" t="str">
        <f aca="false">IF(A1729="","",G1729*K1729)</f>
        <v/>
      </c>
      <c r="M1729" s="20"/>
      <c r="N1729" s="6"/>
      <c r="O1729" s="6"/>
      <c r="P1729" s="5" t="str">
        <f aca="false">IF(A1729="","",H1729/90)</f>
        <v/>
      </c>
      <c r="Q1729" s="5" t="str">
        <f aca="false">IF(A1729="","",IFERROR(INDEX(Parâmetros!$C$6:$C$10,MATCH(F1729,Parâmetros!$B$6:$B$10,0)),""))</f>
        <v/>
      </c>
      <c r="R1729" s="5" t="str">
        <f aca="false">IF(OR(A1729="",P1729="",Q1729=""),"",P1729*Q1729)</f>
        <v/>
      </c>
      <c r="S1729" s="5" t="str">
        <f aca="false">IF(R1729="","",MAX(0,R1729-G1729))</f>
        <v/>
      </c>
      <c r="T1729" s="21" t="str">
        <f aca="false">IF(S1729="","",S1729*K1729)</f>
        <v/>
      </c>
      <c r="U1729" s="5" t="str">
        <f aca="false">IF(A1729="","",IF(J1729&gt;Parâmetros!$C$14,"SIM","NAO"))</f>
        <v/>
      </c>
      <c r="V1729" s="5" t="str">
        <f aca="false">IF(B1729="","",TRIM(LEFT(B1729,IFERROR(FIND(" ",B1729)-1,LEN(B1729)))))</f>
        <v/>
      </c>
      <c r="W1729" s="22"/>
      <c r="X1729" s="5" t="str">
        <f aca="false">IF(A1729="","",IF(W1729&lt;&gt;"",W1729,V1729))</f>
        <v/>
      </c>
      <c r="Y1729" s="5" t="str">
        <f aca="false">IF(A1729="","",IF(COUNTIFS($X$2:$X$2001,X1729,$D$2:$D$2001,"&lt;&gt;"&amp;D1729,$C$2:$C$2001,C1729)&gt;0,"SIM","NAO"))</f>
        <v/>
      </c>
      <c r="Z1729" s="5" t="str">
        <f aca="false">IF(A1729="","",IF(J1729="","",IFERROR(360/J1729,"")))</f>
        <v/>
      </c>
      <c r="AA1729" s="5" t="str">
        <f aca="false">IF(A1729="","",IF(H1729=0,"Parado (sem venda 90d)",IF(Z1729&gt;12,"Alto (&gt;12x/ano)",IF(Z1729&gt;=4,"Medio (4-12x/ano)","Baixo (&lt;4x/ano)"))))</f>
        <v/>
      </c>
    </row>
    <row r="1730" customFormat="false" ht="15" hidden="false" customHeight="true" outlineLevel="0" collapsed="false">
      <c r="A1730" s="6"/>
      <c r="B1730" s="6"/>
      <c r="C1730" s="6"/>
      <c r="D1730" s="6"/>
      <c r="E1730" s="6"/>
      <c r="F1730" s="6"/>
      <c r="G1730" s="6"/>
      <c r="H1730" s="6"/>
      <c r="I1730" s="6"/>
      <c r="J1730" s="6"/>
      <c r="K1730" s="18"/>
      <c r="L1730" s="19" t="str">
        <f aca="false">IF(A1730="","",G1730*K1730)</f>
        <v/>
      </c>
      <c r="M1730" s="20"/>
      <c r="N1730" s="6"/>
      <c r="O1730" s="6"/>
      <c r="P1730" s="5" t="str">
        <f aca="false">IF(A1730="","",H1730/90)</f>
        <v/>
      </c>
      <c r="Q1730" s="5" t="str">
        <f aca="false">IF(A1730="","",IFERROR(INDEX(Parâmetros!$C$6:$C$10,MATCH(F1730,Parâmetros!$B$6:$B$10,0)),""))</f>
        <v/>
      </c>
      <c r="R1730" s="5" t="str">
        <f aca="false">IF(OR(A1730="",P1730="",Q1730=""),"",P1730*Q1730)</f>
        <v/>
      </c>
      <c r="S1730" s="5" t="str">
        <f aca="false">IF(R1730="","",MAX(0,R1730-G1730))</f>
        <v/>
      </c>
      <c r="T1730" s="21" t="str">
        <f aca="false">IF(S1730="","",S1730*K1730)</f>
        <v/>
      </c>
      <c r="U1730" s="5" t="str">
        <f aca="false">IF(A1730="","",IF(J1730&gt;Parâmetros!$C$14,"SIM","NAO"))</f>
        <v/>
      </c>
      <c r="V1730" s="5" t="str">
        <f aca="false">IF(B1730="","",TRIM(LEFT(B1730,IFERROR(FIND(" ",B1730)-1,LEN(B1730)))))</f>
        <v/>
      </c>
      <c r="W1730" s="22"/>
      <c r="X1730" s="5" t="str">
        <f aca="false">IF(A1730="","",IF(W1730&lt;&gt;"",W1730,V1730))</f>
        <v/>
      </c>
      <c r="Y1730" s="5" t="str">
        <f aca="false">IF(A1730="","",IF(COUNTIFS($X$2:$X$2001,X1730,$D$2:$D$2001,"&lt;&gt;"&amp;D1730,$C$2:$C$2001,C1730)&gt;0,"SIM","NAO"))</f>
        <v/>
      </c>
      <c r="Z1730" s="5" t="str">
        <f aca="false">IF(A1730="","",IF(J1730="","",IFERROR(360/J1730,"")))</f>
        <v/>
      </c>
      <c r="AA1730" s="5" t="str">
        <f aca="false">IF(A1730="","",IF(H1730=0,"Parado (sem venda 90d)",IF(Z1730&gt;12,"Alto (&gt;12x/ano)",IF(Z1730&gt;=4,"Medio (4-12x/ano)","Baixo (&lt;4x/ano)"))))</f>
        <v/>
      </c>
    </row>
    <row r="1731" customFormat="false" ht="15" hidden="false" customHeight="true" outlineLevel="0" collapsed="false">
      <c r="A1731" s="6"/>
      <c r="B1731" s="6"/>
      <c r="C1731" s="6"/>
      <c r="D1731" s="6"/>
      <c r="E1731" s="6"/>
      <c r="F1731" s="6"/>
      <c r="G1731" s="6"/>
      <c r="H1731" s="6"/>
      <c r="I1731" s="6"/>
      <c r="J1731" s="6"/>
      <c r="K1731" s="18"/>
      <c r="L1731" s="19" t="str">
        <f aca="false">IF(A1731="","",G1731*K1731)</f>
        <v/>
      </c>
      <c r="M1731" s="20"/>
      <c r="N1731" s="6"/>
      <c r="O1731" s="6"/>
      <c r="P1731" s="5" t="str">
        <f aca="false">IF(A1731="","",H1731/90)</f>
        <v/>
      </c>
      <c r="Q1731" s="5" t="str">
        <f aca="false">IF(A1731="","",IFERROR(INDEX(Parâmetros!$C$6:$C$10,MATCH(F1731,Parâmetros!$B$6:$B$10,0)),""))</f>
        <v/>
      </c>
      <c r="R1731" s="5" t="str">
        <f aca="false">IF(OR(A1731="",P1731="",Q1731=""),"",P1731*Q1731)</f>
        <v/>
      </c>
      <c r="S1731" s="5" t="str">
        <f aca="false">IF(R1731="","",MAX(0,R1731-G1731))</f>
        <v/>
      </c>
      <c r="T1731" s="21" t="str">
        <f aca="false">IF(S1731="","",S1731*K1731)</f>
        <v/>
      </c>
      <c r="U1731" s="5" t="str">
        <f aca="false">IF(A1731="","",IF(J1731&gt;Parâmetros!$C$14,"SIM","NAO"))</f>
        <v/>
      </c>
      <c r="V1731" s="5" t="str">
        <f aca="false">IF(B1731="","",TRIM(LEFT(B1731,IFERROR(FIND(" ",B1731)-1,LEN(B1731)))))</f>
        <v/>
      </c>
      <c r="W1731" s="22"/>
      <c r="X1731" s="5" t="str">
        <f aca="false">IF(A1731="","",IF(W1731&lt;&gt;"",W1731,V1731))</f>
        <v/>
      </c>
      <c r="Y1731" s="5" t="str">
        <f aca="false">IF(A1731="","",IF(COUNTIFS($X$2:$X$2001,X1731,$D$2:$D$2001,"&lt;&gt;"&amp;D1731,$C$2:$C$2001,C1731)&gt;0,"SIM","NAO"))</f>
        <v/>
      </c>
      <c r="Z1731" s="5" t="str">
        <f aca="false">IF(A1731="","",IF(J1731="","",IFERROR(360/J1731,"")))</f>
        <v/>
      </c>
      <c r="AA1731" s="5" t="str">
        <f aca="false">IF(A1731="","",IF(H1731=0,"Parado (sem venda 90d)",IF(Z1731&gt;12,"Alto (&gt;12x/ano)",IF(Z1731&gt;=4,"Medio (4-12x/ano)","Baixo (&lt;4x/ano)"))))</f>
        <v/>
      </c>
    </row>
    <row r="1732" customFormat="false" ht="15" hidden="false" customHeight="true" outlineLevel="0" collapsed="false">
      <c r="A1732" s="6"/>
      <c r="B1732" s="6"/>
      <c r="C1732" s="6"/>
      <c r="D1732" s="6"/>
      <c r="E1732" s="6"/>
      <c r="F1732" s="6"/>
      <c r="G1732" s="6"/>
      <c r="H1732" s="6"/>
      <c r="I1732" s="6"/>
      <c r="J1732" s="6"/>
      <c r="K1732" s="18"/>
      <c r="L1732" s="19" t="str">
        <f aca="false">IF(A1732="","",G1732*K1732)</f>
        <v/>
      </c>
      <c r="M1732" s="20"/>
      <c r="N1732" s="6"/>
      <c r="O1732" s="6"/>
      <c r="P1732" s="5" t="str">
        <f aca="false">IF(A1732="","",H1732/90)</f>
        <v/>
      </c>
      <c r="Q1732" s="5" t="str">
        <f aca="false">IF(A1732="","",IFERROR(INDEX(Parâmetros!$C$6:$C$10,MATCH(F1732,Parâmetros!$B$6:$B$10,0)),""))</f>
        <v/>
      </c>
      <c r="R1732" s="5" t="str">
        <f aca="false">IF(OR(A1732="",P1732="",Q1732=""),"",P1732*Q1732)</f>
        <v/>
      </c>
      <c r="S1732" s="5" t="str">
        <f aca="false">IF(R1732="","",MAX(0,R1732-G1732))</f>
        <v/>
      </c>
      <c r="T1732" s="21" t="str">
        <f aca="false">IF(S1732="","",S1732*K1732)</f>
        <v/>
      </c>
      <c r="U1732" s="5" t="str">
        <f aca="false">IF(A1732="","",IF(J1732&gt;Parâmetros!$C$14,"SIM","NAO"))</f>
        <v/>
      </c>
      <c r="V1732" s="5" t="str">
        <f aca="false">IF(B1732="","",TRIM(LEFT(B1732,IFERROR(FIND(" ",B1732)-1,LEN(B1732)))))</f>
        <v/>
      </c>
      <c r="W1732" s="22"/>
      <c r="X1732" s="5" t="str">
        <f aca="false">IF(A1732="","",IF(W1732&lt;&gt;"",W1732,V1732))</f>
        <v/>
      </c>
      <c r="Y1732" s="5" t="str">
        <f aca="false">IF(A1732="","",IF(COUNTIFS($X$2:$X$2001,X1732,$D$2:$D$2001,"&lt;&gt;"&amp;D1732,$C$2:$C$2001,C1732)&gt;0,"SIM","NAO"))</f>
        <v/>
      </c>
      <c r="Z1732" s="5" t="str">
        <f aca="false">IF(A1732="","",IF(J1732="","",IFERROR(360/J1732,"")))</f>
        <v/>
      </c>
      <c r="AA1732" s="5" t="str">
        <f aca="false">IF(A1732="","",IF(H1732=0,"Parado (sem venda 90d)",IF(Z1732&gt;12,"Alto (&gt;12x/ano)",IF(Z1732&gt;=4,"Medio (4-12x/ano)","Baixo (&lt;4x/ano)"))))</f>
        <v/>
      </c>
    </row>
    <row r="1733" customFormat="false" ht="15" hidden="false" customHeight="true" outlineLevel="0" collapsed="false">
      <c r="A1733" s="6"/>
      <c r="B1733" s="6"/>
      <c r="C1733" s="6"/>
      <c r="D1733" s="6"/>
      <c r="E1733" s="6"/>
      <c r="F1733" s="6"/>
      <c r="G1733" s="6"/>
      <c r="H1733" s="6"/>
      <c r="I1733" s="6"/>
      <c r="J1733" s="6"/>
      <c r="K1733" s="18"/>
      <c r="L1733" s="19" t="str">
        <f aca="false">IF(A1733="","",G1733*K1733)</f>
        <v/>
      </c>
      <c r="M1733" s="20"/>
      <c r="N1733" s="6"/>
      <c r="O1733" s="6"/>
      <c r="P1733" s="5" t="str">
        <f aca="false">IF(A1733="","",H1733/90)</f>
        <v/>
      </c>
      <c r="Q1733" s="5" t="str">
        <f aca="false">IF(A1733="","",IFERROR(INDEX(Parâmetros!$C$6:$C$10,MATCH(F1733,Parâmetros!$B$6:$B$10,0)),""))</f>
        <v/>
      </c>
      <c r="R1733" s="5" t="str">
        <f aca="false">IF(OR(A1733="",P1733="",Q1733=""),"",P1733*Q1733)</f>
        <v/>
      </c>
      <c r="S1733" s="5" t="str">
        <f aca="false">IF(R1733="","",MAX(0,R1733-G1733))</f>
        <v/>
      </c>
      <c r="T1733" s="21" t="str">
        <f aca="false">IF(S1733="","",S1733*K1733)</f>
        <v/>
      </c>
      <c r="U1733" s="5" t="str">
        <f aca="false">IF(A1733="","",IF(J1733&gt;Parâmetros!$C$14,"SIM","NAO"))</f>
        <v/>
      </c>
      <c r="V1733" s="5" t="str">
        <f aca="false">IF(B1733="","",TRIM(LEFT(B1733,IFERROR(FIND(" ",B1733)-1,LEN(B1733)))))</f>
        <v/>
      </c>
      <c r="W1733" s="22"/>
      <c r="X1733" s="5" t="str">
        <f aca="false">IF(A1733="","",IF(W1733&lt;&gt;"",W1733,V1733))</f>
        <v/>
      </c>
      <c r="Y1733" s="5" t="str">
        <f aca="false">IF(A1733="","",IF(COUNTIFS($X$2:$X$2001,X1733,$D$2:$D$2001,"&lt;&gt;"&amp;D1733,$C$2:$C$2001,C1733)&gt;0,"SIM","NAO"))</f>
        <v/>
      </c>
      <c r="Z1733" s="5" t="str">
        <f aca="false">IF(A1733="","",IF(J1733="","",IFERROR(360/J1733,"")))</f>
        <v/>
      </c>
      <c r="AA1733" s="5" t="str">
        <f aca="false">IF(A1733="","",IF(H1733=0,"Parado (sem venda 90d)",IF(Z1733&gt;12,"Alto (&gt;12x/ano)",IF(Z1733&gt;=4,"Medio (4-12x/ano)","Baixo (&lt;4x/ano)"))))</f>
        <v/>
      </c>
    </row>
    <row r="1734" customFormat="false" ht="15" hidden="false" customHeight="true" outlineLevel="0" collapsed="false">
      <c r="A1734" s="6"/>
      <c r="B1734" s="6"/>
      <c r="C1734" s="6"/>
      <c r="D1734" s="6"/>
      <c r="E1734" s="6"/>
      <c r="F1734" s="6"/>
      <c r="G1734" s="6"/>
      <c r="H1734" s="6"/>
      <c r="I1734" s="6"/>
      <c r="J1734" s="6"/>
      <c r="K1734" s="18"/>
      <c r="L1734" s="19" t="str">
        <f aca="false">IF(A1734="","",G1734*K1734)</f>
        <v/>
      </c>
      <c r="M1734" s="20"/>
      <c r="N1734" s="6"/>
      <c r="O1734" s="6"/>
      <c r="P1734" s="5" t="str">
        <f aca="false">IF(A1734="","",H1734/90)</f>
        <v/>
      </c>
      <c r="Q1734" s="5" t="str">
        <f aca="false">IF(A1734="","",IFERROR(INDEX(Parâmetros!$C$6:$C$10,MATCH(F1734,Parâmetros!$B$6:$B$10,0)),""))</f>
        <v/>
      </c>
      <c r="R1734" s="5" t="str">
        <f aca="false">IF(OR(A1734="",P1734="",Q1734=""),"",P1734*Q1734)</f>
        <v/>
      </c>
      <c r="S1734" s="5" t="str">
        <f aca="false">IF(R1734="","",MAX(0,R1734-G1734))</f>
        <v/>
      </c>
      <c r="T1734" s="21" t="str">
        <f aca="false">IF(S1734="","",S1734*K1734)</f>
        <v/>
      </c>
      <c r="U1734" s="5" t="str">
        <f aca="false">IF(A1734="","",IF(J1734&gt;Parâmetros!$C$14,"SIM","NAO"))</f>
        <v/>
      </c>
      <c r="V1734" s="5" t="str">
        <f aca="false">IF(B1734="","",TRIM(LEFT(B1734,IFERROR(FIND(" ",B1734)-1,LEN(B1734)))))</f>
        <v/>
      </c>
      <c r="W1734" s="22"/>
      <c r="X1734" s="5" t="str">
        <f aca="false">IF(A1734="","",IF(W1734&lt;&gt;"",W1734,V1734))</f>
        <v/>
      </c>
      <c r="Y1734" s="5" t="str">
        <f aca="false">IF(A1734="","",IF(COUNTIFS($X$2:$X$2001,X1734,$D$2:$D$2001,"&lt;&gt;"&amp;D1734,$C$2:$C$2001,C1734)&gt;0,"SIM","NAO"))</f>
        <v/>
      </c>
      <c r="Z1734" s="5" t="str">
        <f aca="false">IF(A1734="","",IF(J1734="","",IFERROR(360/J1734,"")))</f>
        <v/>
      </c>
      <c r="AA1734" s="5" t="str">
        <f aca="false">IF(A1734="","",IF(H1734=0,"Parado (sem venda 90d)",IF(Z1734&gt;12,"Alto (&gt;12x/ano)",IF(Z1734&gt;=4,"Medio (4-12x/ano)","Baixo (&lt;4x/ano)"))))</f>
        <v/>
      </c>
    </row>
    <row r="1735" customFormat="false" ht="15" hidden="false" customHeight="true" outlineLevel="0" collapsed="false">
      <c r="A1735" s="6"/>
      <c r="B1735" s="6"/>
      <c r="C1735" s="6"/>
      <c r="D1735" s="6"/>
      <c r="E1735" s="6"/>
      <c r="F1735" s="6"/>
      <c r="G1735" s="6"/>
      <c r="H1735" s="6"/>
      <c r="I1735" s="6"/>
      <c r="J1735" s="6"/>
      <c r="K1735" s="18"/>
      <c r="L1735" s="19" t="str">
        <f aca="false">IF(A1735="","",G1735*K1735)</f>
        <v/>
      </c>
      <c r="M1735" s="20"/>
      <c r="N1735" s="6"/>
      <c r="O1735" s="6"/>
      <c r="P1735" s="5" t="str">
        <f aca="false">IF(A1735="","",H1735/90)</f>
        <v/>
      </c>
      <c r="Q1735" s="5" t="str">
        <f aca="false">IF(A1735="","",IFERROR(INDEX(Parâmetros!$C$6:$C$10,MATCH(F1735,Parâmetros!$B$6:$B$10,0)),""))</f>
        <v/>
      </c>
      <c r="R1735" s="5" t="str">
        <f aca="false">IF(OR(A1735="",P1735="",Q1735=""),"",P1735*Q1735)</f>
        <v/>
      </c>
      <c r="S1735" s="5" t="str">
        <f aca="false">IF(R1735="","",MAX(0,R1735-G1735))</f>
        <v/>
      </c>
      <c r="T1735" s="21" t="str">
        <f aca="false">IF(S1735="","",S1735*K1735)</f>
        <v/>
      </c>
      <c r="U1735" s="5" t="str">
        <f aca="false">IF(A1735="","",IF(J1735&gt;Parâmetros!$C$14,"SIM","NAO"))</f>
        <v/>
      </c>
      <c r="V1735" s="5" t="str">
        <f aca="false">IF(B1735="","",TRIM(LEFT(B1735,IFERROR(FIND(" ",B1735)-1,LEN(B1735)))))</f>
        <v/>
      </c>
      <c r="W1735" s="22"/>
      <c r="X1735" s="5" t="str">
        <f aca="false">IF(A1735="","",IF(W1735&lt;&gt;"",W1735,V1735))</f>
        <v/>
      </c>
      <c r="Y1735" s="5" t="str">
        <f aca="false">IF(A1735="","",IF(COUNTIFS($X$2:$X$2001,X1735,$D$2:$D$2001,"&lt;&gt;"&amp;D1735,$C$2:$C$2001,C1735)&gt;0,"SIM","NAO"))</f>
        <v/>
      </c>
      <c r="Z1735" s="5" t="str">
        <f aca="false">IF(A1735="","",IF(J1735="","",IFERROR(360/J1735,"")))</f>
        <v/>
      </c>
      <c r="AA1735" s="5" t="str">
        <f aca="false">IF(A1735="","",IF(H1735=0,"Parado (sem venda 90d)",IF(Z1735&gt;12,"Alto (&gt;12x/ano)",IF(Z1735&gt;=4,"Medio (4-12x/ano)","Baixo (&lt;4x/ano)"))))</f>
        <v/>
      </c>
    </row>
    <row r="1736" customFormat="false" ht="15" hidden="false" customHeight="true" outlineLevel="0" collapsed="false">
      <c r="A1736" s="6"/>
      <c r="B1736" s="6"/>
      <c r="C1736" s="6"/>
      <c r="D1736" s="6"/>
      <c r="E1736" s="6"/>
      <c r="F1736" s="6"/>
      <c r="G1736" s="6"/>
      <c r="H1736" s="6"/>
      <c r="I1736" s="6"/>
      <c r="J1736" s="6"/>
      <c r="K1736" s="18"/>
      <c r="L1736" s="19" t="str">
        <f aca="false">IF(A1736="","",G1736*K1736)</f>
        <v/>
      </c>
      <c r="M1736" s="20"/>
      <c r="N1736" s="6"/>
      <c r="O1736" s="6"/>
      <c r="P1736" s="5" t="str">
        <f aca="false">IF(A1736="","",H1736/90)</f>
        <v/>
      </c>
      <c r="Q1736" s="5" t="str">
        <f aca="false">IF(A1736="","",IFERROR(INDEX(Parâmetros!$C$6:$C$10,MATCH(F1736,Parâmetros!$B$6:$B$10,0)),""))</f>
        <v/>
      </c>
      <c r="R1736" s="5" t="str">
        <f aca="false">IF(OR(A1736="",P1736="",Q1736=""),"",P1736*Q1736)</f>
        <v/>
      </c>
      <c r="S1736" s="5" t="str">
        <f aca="false">IF(R1736="","",MAX(0,R1736-G1736))</f>
        <v/>
      </c>
      <c r="T1736" s="21" t="str">
        <f aca="false">IF(S1736="","",S1736*K1736)</f>
        <v/>
      </c>
      <c r="U1736" s="5" t="str">
        <f aca="false">IF(A1736="","",IF(J1736&gt;Parâmetros!$C$14,"SIM","NAO"))</f>
        <v/>
      </c>
      <c r="V1736" s="5" t="str">
        <f aca="false">IF(B1736="","",TRIM(LEFT(B1736,IFERROR(FIND(" ",B1736)-1,LEN(B1736)))))</f>
        <v/>
      </c>
      <c r="W1736" s="22"/>
      <c r="X1736" s="5" t="str">
        <f aca="false">IF(A1736="","",IF(W1736&lt;&gt;"",W1736,V1736))</f>
        <v/>
      </c>
      <c r="Y1736" s="5" t="str">
        <f aca="false">IF(A1736="","",IF(COUNTIFS($X$2:$X$2001,X1736,$D$2:$D$2001,"&lt;&gt;"&amp;D1736,$C$2:$C$2001,C1736)&gt;0,"SIM","NAO"))</f>
        <v/>
      </c>
      <c r="Z1736" s="5" t="str">
        <f aca="false">IF(A1736="","",IF(J1736="","",IFERROR(360/J1736,"")))</f>
        <v/>
      </c>
      <c r="AA1736" s="5" t="str">
        <f aca="false">IF(A1736="","",IF(H1736=0,"Parado (sem venda 90d)",IF(Z1736&gt;12,"Alto (&gt;12x/ano)",IF(Z1736&gt;=4,"Medio (4-12x/ano)","Baixo (&lt;4x/ano)"))))</f>
        <v/>
      </c>
    </row>
    <row r="1737" customFormat="false" ht="15" hidden="false" customHeight="true" outlineLevel="0" collapsed="false">
      <c r="A1737" s="6"/>
      <c r="B1737" s="6"/>
      <c r="C1737" s="6"/>
      <c r="D1737" s="6"/>
      <c r="E1737" s="6"/>
      <c r="F1737" s="6"/>
      <c r="G1737" s="6"/>
      <c r="H1737" s="6"/>
      <c r="I1737" s="6"/>
      <c r="J1737" s="6"/>
      <c r="K1737" s="18"/>
      <c r="L1737" s="19" t="str">
        <f aca="false">IF(A1737="","",G1737*K1737)</f>
        <v/>
      </c>
      <c r="M1737" s="20"/>
      <c r="N1737" s="6"/>
      <c r="O1737" s="6"/>
      <c r="P1737" s="5" t="str">
        <f aca="false">IF(A1737="","",H1737/90)</f>
        <v/>
      </c>
      <c r="Q1737" s="5" t="str">
        <f aca="false">IF(A1737="","",IFERROR(INDEX(Parâmetros!$C$6:$C$10,MATCH(F1737,Parâmetros!$B$6:$B$10,0)),""))</f>
        <v/>
      </c>
      <c r="R1737" s="5" t="str">
        <f aca="false">IF(OR(A1737="",P1737="",Q1737=""),"",P1737*Q1737)</f>
        <v/>
      </c>
      <c r="S1737" s="5" t="str">
        <f aca="false">IF(R1737="","",MAX(0,R1737-G1737))</f>
        <v/>
      </c>
      <c r="T1737" s="21" t="str">
        <f aca="false">IF(S1737="","",S1737*K1737)</f>
        <v/>
      </c>
      <c r="U1737" s="5" t="str">
        <f aca="false">IF(A1737="","",IF(J1737&gt;Parâmetros!$C$14,"SIM","NAO"))</f>
        <v/>
      </c>
      <c r="V1737" s="5" t="str">
        <f aca="false">IF(B1737="","",TRIM(LEFT(B1737,IFERROR(FIND(" ",B1737)-1,LEN(B1737)))))</f>
        <v/>
      </c>
      <c r="W1737" s="22"/>
      <c r="X1737" s="5" t="str">
        <f aca="false">IF(A1737="","",IF(W1737&lt;&gt;"",W1737,V1737))</f>
        <v/>
      </c>
      <c r="Y1737" s="5" t="str">
        <f aca="false">IF(A1737="","",IF(COUNTIFS($X$2:$X$2001,X1737,$D$2:$D$2001,"&lt;&gt;"&amp;D1737,$C$2:$C$2001,C1737)&gt;0,"SIM","NAO"))</f>
        <v/>
      </c>
      <c r="Z1737" s="5" t="str">
        <f aca="false">IF(A1737="","",IF(J1737="","",IFERROR(360/J1737,"")))</f>
        <v/>
      </c>
      <c r="AA1737" s="5" t="str">
        <f aca="false">IF(A1737="","",IF(H1737=0,"Parado (sem venda 90d)",IF(Z1737&gt;12,"Alto (&gt;12x/ano)",IF(Z1737&gt;=4,"Medio (4-12x/ano)","Baixo (&lt;4x/ano)"))))</f>
        <v/>
      </c>
    </row>
    <row r="1738" customFormat="false" ht="15" hidden="false" customHeight="true" outlineLevel="0" collapsed="false">
      <c r="A1738" s="6"/>
      <c r="B1738" s="6"/>
      <c r="C1738" s="6"/>
      <c r="D1738" s="6"/>
      <c r="E1738" s="6"/>
      <c r="F1738" s="6"/>
      <c r="G1738" s="6"/>
      <c r="H1738" s="6"/>
      <c r="I1738" s="6"/>
      <c r="J1738" s="6"/>
      <c r="K1738" s="18"/>
      <c r="L1738" s="19" t="str">
        <f aca="false">IF(A1738="","",G1738*K1738)</f>
        <v/>
      </c>
      <c r="M1738" s="20"/>
      <c r="N1738" s="6"/>
      <c r="O1738" s="6"/>
      <c r="P1738" s="5" t="str">
        <f aca="false">IF(A1738="","",H1738/90)</f>
        <v/>
      </c>
      <c r="Q1738" s="5" t="str">
        <f aca="false">IF(A1738="","",IFERROR(INDEX(Parâmetros!$C$6:$C$10,MATCH(F1738,Parâmetros!$B$6:$B$10,0)),""))</f>
        <v/>
      </c>
      <c r="R1738" s="5" t="str">
        <f aca="false">IF(OR(A1738="",P1738="",Q1738=""),"",P1738*Q1738)</f>
        <v/>
      </c>
      <c r="S1738" s="5" t="str">
        <f aca="false">IF(R1738="","",MAX(0,R1738-G1738))</f>
        <v/>
      </c>
      <c r="T1738" s="21" t="str">
        <f aca="false">IF(S1738="","",S1738*K1738)</f>
        <v/>
      </c>
      <c r="U1738" s="5" t="str">
        <f aca="false">IF(A1738="","",IF(J1738&gt;Parâmetros!$C$14,"SIM","NAO"))</f>
        <v/>
      </c>
      <c r="V1738" s="5" t="str">
        <f aca="false">IF(B1738="","",TRIM(LEFT(B1738,IFERROR(FIND(" ",B1738)-1,LEN(B1738)))))</f>
        <v/>
      </c>
      <c r="W1738" s="22"/>
      <c r="X1738" s="5" t="str">
        <f aca="false">IF(A1738="","",IF(W1738&lt;&gt;"",W1738,V1738))</f>
        <v/>
      </c>
      <c r="Y1738" s="5" t="str">
        <f aca="false">IF(A1738="","",IF(COUNTIFS($X$2:$X$2001,X1738,$D$2:$D$2001,"&lt;&gt;"&amp;D1738,$C$2:$C$2001,C1738)&gt;0,"SIM","NAO"))</f>
        <v/>
      </c>
      <c r="Z1738" s="5" t="str">
        <f aca="false">IF(A1738="","",IF(J1738="","",IFERROR(360/J1738,"")))</f>
        <v/>
      </c>
      <c r="AA1738" s="5" t="str">
        <f aca="false">IF(A1738="","",IF(H1738=0,"Parado (sem venda 90d)",IF(Z1738&gt;12,"Alto (&gt;12x/ano)",IF(Z1738&gt;=4,"Medio (4-12x/ano)","Baixo (&lt;4x/ano)"))))</f>
        <v/>
      </c>
    </row>
    <row r="1739" customFormat="false" ht="15" hidden="false" customHeight="true" outlineLevel="0" collapsed="false">
      <c r="A1739" s="6"/>
      <c r="B1739" s="6"/>
      <c r="C1739" s="6"/>
      <c r="D1739" s="6"/>
      <c r="E1739" s="6"/>
      <c r="F1739" s="6"/>
      <c r="G1739" s="6"/>
      <c r="H1739" s="6"/>
      <c r="I1739" s="6"/>
      <c r="J1739" s="6"/>
      <c r="K1739" s="18"/>
      <c r="L1739" s="19" t="str">
        <f aca="false">IF(A1739="","",G1739*K1739)</f>
        <v/>
      </c>
      <c r="M1739" s="20"/>
      <c r="N1739" s="6"/>
      <c r="O1739" s="6"/>
      <c r="P1739" s="5" t="str">
        <f aca="false">IF(A1739="","",H1739/90)</f>
        <v/>
      </c>
      <c r="Q1739" s="5" t="str">
        <f aca="false">IF(A1739="","",IFERROR(INDEX(Parâmetros!$C$6:$C$10,MATCH(F1739,Parâmetros!$B$6:$B$10,0)),""))</f>
        <v/>
      </c>
      <c r="R1739" s="5" t="str">
        <f aca="false">IF(OR(A1739="",P1739="",Q1739=""),"",P1739*Q1739)</f>
        <v/>
      </c>
      <c r="S1739" s="5" t="str">
        <f aca="false">IF(R1739="","",MAX(0,R1739-G1739))</f>
        <v/>
      </c>
      <c r="T1739" s="21" t="str">
        <f aca="false">IF(S1739="","",S1739*K1739)</f>
        <v/>
      </c>
      <c r="U1739" s="5" t="str">
        <f aca="false">IF(A1739="","",IF(J1739&gt;Parâmetros!$C$14,"SIM","NAO"))</f>
        <v/>
      </c>
      <c r="V1739" s="5" t="str">
        <f aca="false">IF(B1739="","",TRIM(LEFT(B1739,IFERROR(FIND(" ",B1739)-1,LEN(B1739)))))</f>
        <v/>
      </c>
      <c r="W1739" s="22"/>
      <c r="X1739" s="5" t="str">
        <f aca="false">IF(A1739="","",IF(W1739&lt;&gt;"",W1739,V1739))</f>
        <v/>
      </c>
      <c r="Y1739" s="5" t="str">
        <f aca="false">IF(A1739="","",IF(COUNTIFS($X$2:$X$2001,X1739,$D$2:$D$2001,"&lt;&gt;"&amp;D1739,$C$2:$C$2001,C1739)&gt;0,"SIM","NAO"))</f>
        <v/>
      </c>
      <c r="Z1739" s="5" t="str">
        <f aca="false">IF(A1739="","",IF(J1739="","",IFERROR(360/J1739,"")))</f>
        <v/>
      </c>
      <c r="AA1739" s="5" t="str">
        <f aca="false">IF(A1739="","",IF(H1739=0,"Parado (sem venda 90d)",IF(Z1739&gt;12,"Alto (&gt;12x/ano)",IF(Z1739&gt;=4,"Medio (4-12x/ano)","Baixo (&lt;4x/ano)"))))</f>
        <v/>
      </c>
    </row>
    <row r="1740" customFormat="false" ht="15" hidden="false" customHeight="true" outlineLevel="0" collapsed="false">
      <c r="A1740" s="6"/>
      <c r="B1740" s="6"/>
      <c r="C1740" s="6"/>
      <c r="D1740" s="6"/>
      <c r="E1740" s="6"/>
      <c r="F1740" s="6"/>
      <c r="G1740" s="6"/>
      <c r="H1740" s="6"/>
      <c r="I1740" s="6"/>
      <c r="J1740" s="6"/>
      <c r="K1740" s="18"/>
      <c r="L1740" s="19" t="str">
        <f aca="false">IF(A1740="","",G1740*K1740)</f>
        <v/>
      </c>
      <c r="M1740" s="20"/>
      <c r="N1740" s="6"/>
      <c r="O1740" s="6"/>
      <c r="P1740" s="5" t="str">
        <f aca="false">IF(A1740="","",H1740/90)</f>
        <v/>
      </c>
      <c r="Q1740" s="5" t="str">
        <f aca="false">IF(A1740="","",IFERROR(INDEX(Parâmetros!$C$6:$C$10,MATCH(F1740,Parâmetros!$B$6:$B$10,0)),""))</f>
        <v/>
      </c>
      <c r="R1740" s="5" t="str">
        <f aca="false">IF(OR(A1740="",P1740="",Q1740=""),"",P1740*Q1740)</f>
        <v/>
      </c>
      <c r="S1740" s="5" t="str">
        <f aca="false">IF(R1740="","",MAX(0,R1740-G1740))</f>
        <v/>
      </c>
      <c r="T1740" s="21" t="str">
        <f aca="false">IF(S1740="","",S1740*K1740)</f>
        <v/>
      </c>
      <c r="U1740" s="5" t="str">
        <f aca="false">IF(A1740="","",IF(J1740&gt;Parâmetros!$C$14,"SIM","NAO"))</f>
        <v/>
      </c>
      <c r="V1740" s="5" t="str">
        <f aca="false">IF(B1740="","",TRIM(LEFT(B1740,IFERROR(FIND(" ",B1740)-1,LEN(B1740)))))</f>
        <v/>
      </c>
      <c r="W1740" s="22"/>
      <c r="X1740" s="5" t="str">
        <f aca="false">IF(A1740="","",IF(W1740&lt;&gt;"",W1740,V1740))</f>
        <v/>
      </c>
      <c r="Y1740" s="5" t="str">
        <f aca="false">IF(A1740="","",IF(COUNTIFS($X$2:$X$2001,X1740,$D$2:$D$2001,"&lt;&gt;"&amp;D1740,$C$2:$C$2001,C1740)&gt;0,"SIM","NAO"))</f>
        <v/>
      </c>
      <c r="Z1740" s="5" t="str">
        <f aca="false">IF(A1740="","",IF(J1740="","",IFERROR(360/J1740,"")))</f>
        <v/>
      </c>
      <c r="AA1740" s="5" t="str">
        <f aca="false">IF(A1740="","",IF(H1740=0,"Parado (sem venda 90d)",IF(Z1740&gt;12,"Alto (&gt;12x/ano)",IF(Z1740&gt;=4,"Medio (4-12x/ano)","Baixo (&lt;4x/ano)"))))</f>
        <v/>
      </c>
    </row>
    <row r="1741" customFormat="false" ht="15" hidden="false" customHeight="true" outlineLevel="0" collapsed="false">
      <c r="A1741" s="6"/>
      <c r="B1741" s="6"/>
      <c r="C1741" s="6"/>
      <c r="D1741" s="6"/>
      <c r="E1741" s="6"/>
      <c r="F1741" s="6"/>
      <c r="G1741" s="6"/>
      <c r="H1741" s="6"/>
      <c r="I1741" s="6"/>
      <c r="J1741" s="6"/>
      <c r="K1741" s="18"/>
      <c r="L1741" s="19" t="str">
        <f aca="false">IF(A1741="","",G1741*K1741)</f>
        <v/>
      </c>
      <c r="M1741" s="20"/>
      <c r="N1741" s="6"/>
      <c r="O1741" s="6"/>
      <c r="P1741" s="5" t="str">
        <f aca="false">IF(A1741="","",H1741/90)</f>
        <v/>
      </c>
      <c r="Q1741" s="5" t="str">
        <f aca="false">IF(A1741="","",IFERROR(INDEX(Parâmetros!$C$6:$C$10,MATCH(F1741,Parâmetros!$B$6:$B$10,0)),""))</f>
        <v/>
      </c>
      <c r="R1741" s="5" t="str">
        <f aca="false">IF(OR(A1741="",P1741="",Q1741=""),"",P1741*Q1741)</f>
        <v/>
      </c>
      <c r="S1741" s="5" t="str">
        <f aca="false">IF(R1741="","",MAX(0,R1741-G1741))</f>
        <v/>
      </c>
      <c r="T1741" s="21" t="str">
        <f aca="false">IF(S1741="","",S1741*K1741)</f>
        <v/>
      </c>
      <c r="U1741" s="5" t="str">
        <f aca="false">IF(A1741="","",IF(J1741&gt;Parâmetros!$C$14,"SIM","NAO"))</f>
        <v/>
      </c>
      <c r="V1741" s="5" t="str">
        <f aca="false">IF(B1741="","",TRIM(LEFT(B1741,IFERROR(FIND(" ",B1741)-1,LEN(B1741)))))</f>
        <v/>
      </c>
      <c r="W1741" s="22"/>
      <c r="X1741" s="5" t="str">
        <f aca="false">IF(A1741="","",IF(W1741&lt;&gt;"",W1741,V1741))</f>
        <v/>
      </c>
      <c r="Y1741" s="5" t="str">
        <f aca="false">IF(A1741="","",IF(COUNTIFS($X$2:$X$2001,X1741,$D$2:$D$2001,"&lt;&gt;"&amp;D1741,$C$2:$C$2001,C1741)&gt;0,"SIM","NAO"))</f>
        <v/>
      </c>
      <c r="Z1741" s="5" t="str">
        <f aca="false">IF(A1741="","",IF(J1741="","",IFERROR(360/J1741,"")))</f>
        <v/>
      </c>
      <c r="AA1741" s="5" t="str">
        <f aca="false">IF(A1741="","",IF(H1741=0,"Parado (sem venda 90d)",IF(Z1741&gt;12,"Alto (&gt;12x/ano)",IF(Z1741&gt;=4,"Medio (4-12x/ano)","Baixo (&lt;4x/ano)"))))</f>
        <v/>
      </c>
    </row>
    <row r="1742" customFormat="false" ht="15" hidden="false" customHeight="true" outlineLevel="0" collapsed="false">
      <c r="A1742" s="6"/>
      <c r="B1742" s="6"/>
      <c r="C1742" s="6"/>
      <c r="D1742" s="6"/>
      <c r="E1742" s="6"/>
      <c r="F1742" s="6"/>
      <c r="G1742" s="6"/>
      <c r="H1742" s="6"/>
      <c r="I1742" s="6"/>
      <c r="J1742" s="6"/>
      <c r="K1742" s="18"/>
      <c r="L1742" s="19" t="str">
        <f aca="false">IF(A1742="","",G1742*K1742)</f>
        <v/>
      </c>
      <c r="M1742" s="20"/>
      <c r="N1742" s="6"/>
      <c r="O1742" s="6"/>
      <c r="P1742" s="5" t="str">
        <f aca="false">IF(A1742="","",H1742/90)</f>
        <v/>
      </c>
      <c r="Q1742" s="5" t="str">
        <f aca="false">IF(A1742="","",IFERROR(INDEX(Parâmetros!$C$6:$C$10,MATCH(F1742,Parâmetros!$B$6:$B$10,0)),""))</f>
        <v/>
      </c>
      <c r="R1742" s="5" t="str">
        <f aca="false">IF(OR(A1742="",P1742="",Q1742=""),"",P1742*Q1742)</f>
        <v/>
      </c>
      <c r="S1742" s="5" t="str">
        <f aca="false">IF(R1742="","",MAX(0,R1742-G1742))</f>
        <v/>
      </c>
      <c r="T1742" s="21" t="str">
        <f aca="false">IF(S1742="","",S1742*K1742)</f>
        <v/>
      </c>
      <c r="U1742" s="5" t="str">
        <f aca="false">IF(A1742="","",IF(J1742&gt;Parâmetros!$C$14,"SIM","NAO"))</f>
        <v/>
      </c>
      <c r="V1742" s="5" t="str">
        <f aca="false">IF(B1742="","",TRIM(LEFT(B1742,IFERROR(FIND(" ",B1742)-1,LEN(B1742)))))</f>
        <v/>
      </c>
      <c r="W1742" s="22"/>
      <c r="X1742" s="5" t="str">
        <f aca="false">IF(A1742="","",IF(W1742&lt;&gt;"",W1742,V1742))</f>
        <v/>
      </c>
      <c r="Y1742" s="5" t="str">
        <f aca="false">IF(A1742="","",IF(COUNTIFS($X$2:$X$2001,X1742,$D$2:$D$2001,"&lt;&gt;"&amp;D1742,$C$2:$C$2001,C1742)&gt;0,"SIM","NAO"))</f>
        <v/>
      </c>
      <c r="Z1742" s="5" t="str">
        <f aca="false">IF(A1742="","",IF(J1742="","",IFERROR(360/J1742,"")))</f>
        <v/>
      </c>
      <c r="AA1742" s="5" t="str">
        <f aca="false">IF(A1742="","",IF(H1742=0,"Parado (sem venda 90d)",IF(Z1742&gt;12,"Alto (&gt;12x/ano)",IF(Z1742&gt;=4,"Medio (4-12x/ano)","Baixo (&lt;4x/ano)"))))</f>
        <v/>
      </c>
    </row>
    <row r="1743" customFormat="false" ht="15" hidden="false" customHeight="true" outlineLevel="0" collapsed="false">
      <c r="A1743" s="6"/>
      <c r="B1743" s="6"/>
      <c r="C1743" s="6"/>
      <c r="D1743" s="6"/>
      <c r="E1743" s="6"/>
      <c r="F1743" s="6"/>
      <c r="G1743" s="6"/>
      <c r="H1743" s="6"/>
      <c r="I1743" s="6"/>
      <c r="J1743" s="6"/>
      <c r="K1743" s="18"/>
      <c r="L1743" s="19" t="str">
        <f aca="false">IF(A1743="","",G1743*K1743)</f>
        <v/>
      </c>
      <c r="M1743" s="20"/>
      <c r="N1743" s="6"/>
      <c r="O1743" s="6"/>
      <c r="P1743" s="5" t="str">
        <f aca="false">IF(A1743="","",H1743/90)</f>
        <v/>
      </c>
      <c r="Q1743" s="5" t="str">
        <f aca="false">IF(A1743="","",IFERROR(INDEX(Parâmetros!$C$6:$C$10,MATCH(F1743,Parâmetros!$B$6:$B$10,0)),""))</f>
        <v/>
      </c>
      <c r="R1743" s="5" t="str">
        <f aca="false">IF(OR(A1743="",P1743="",Q1743=""),"",P1743*Q1743)</f>
        <v/>
      </c>
      <c r="S1743" s="5" t="str">
        <f aca="false">IF(R1743="","",MAX(0,R1743-G1743))</f>
        <v/>
      </c>
      <c r="T1743" s="21" t="str">
        <f aca="false">IF(S1743="","",S1743*K1743)</f>
        <v/>
      </c>
      <c r="U1743" s="5" t="str">
        <f aca="false">IF(A1743="","",IF(J1743&gt;Parâmetros!$C$14,"SIM","NAO"))</f>
        <v/>
      </c>
      <c r="V1743" s="5" t="str">
        <f aca="false">IF(B1743="","",TRIM(LEFT(B1743,IFERROR(FIND(" ",B1743)-1,LEN(B1743)))))</f>
        <v/>
      </c>
      <c r="W1743" s="22"/>
      <c r="X1743" s="5" t="str">
        <f aca="false">IF(A1743="","",IF(W1743&lt;&gt;"",W1743,V1743))</f>
        <v/>
      </c>
      <c r="Y1743" s="5" t="str">
        <f aca="false">IF(A1743="","",IF(COUNTIFS($X$2:$X$2001,X1743,$D$2:$D$2001,"&lt;&gt;"&amp;D1743,$C$2:$C$2001,C1743)&gt;0,"SIM","NAO"))</f>
        <v/>
      </c>
      <c r="Z1743" s="5" t="str">
        <f aca="false">IF(A1743="","",IF(J1743="","",IFERROR(360/J1743,"")))</f>
        <v/>
      </c>
      <c r="AA1743" s="5" t="str">
        <f aca="false">IF(A1743="","",IF(H1743=0,"Parado (sem venda 90d)",IF(Z1743&gt;12,"Alto (&gt;12x/ano)",IF(Z1743&gt;=4,"Medio (4-12x/ano)","Baixo (&lt;4x/ano)"))))</f>
        <v/>
      </c>
    </row>
    <row r="1744" customFormat="false" ht="15" hidden="false" customHeight="true" outlineLevel="0" collapsed="false">
      <c r="A1744" s="6"/>
      <c r="B1744" s="6"/>
      <c r="C1744" s="6"/>
      <c r="D1744" s="6"/>
      <c r="E1744" s="6"/>
      <c r="F1744" s="6"/>
      <c r="G1744" s="6"/>
      <c r="H1744" s="6"/>
      <c r="I1744" s="6"/>
      <c r="J1744" s="6"/>
      <c r="K1744" s="18"/>
      <c r="L1744" s="19" t="str">
        <f aca="false">IF(A1744="","",G1744*K1744)</f>
        <v/>
      </c>
      <c r="M1744" s="20"/>
      <c r="N1744" s="6"/>
      <c r="O1744" s="6"/>
      <c r="P1744" s="5" t="str">
        <f aca="false">IF(A1744="","",H1744/90)</f>
        <v/>
      </c>
      <c r="Q1744" s="5" t="str">
        <f aca="false">IF(A1744="","",IFERROR(INDEX(Parâmetros!$C$6:$C$10,MATCH(F1744,Parâmetros!$B$6:$B$10,0)),""))</f>
        <v/>
      </c>
      <c r="R1744" s="5" t="str">
        <f aca="false">IF(OR(A1744="",P1744="",Q1744=""),"",P1744*Q1744)</f>
        <v/>
      </c>
      <c r="S1744" s="5" t="str">
        <f aca="false">IF(R1744="","",MAX(0,R1744-G1744))</f>
        <v/>
      </c>
      <c r="T1744" s="21" t="str">
        <f aca="false">IF(S1744="","",S1744*K1744)</f>
        <v/>
      </c>
      <c r="U1744" s="5" t="str">
        <f aca="false">IF(A1744="","",IF(J1744&gt;Parâmetros!$C$14,"SIM","NAO"))</f>
        <v/>
      </c>
      <c r="V1744" s="5" t="str">
        <f aca="false">IF(B1744="","",TRIM(LEFT(B1744,IFERROR(FIND(" ",B1744)-1,LEN(B1744)))))</f>
        <v/>
      </c>
      <c r="W1744" s="22"/>
      <c r="X1744" s="5" t="str">
        <f aca="false">IF(A1744="","",IF(W1744&lt;&gt;"",W1744,V1744))</f>
        <v/>
      </c>
      <c r="Y1744" s="5" t="str">
        <f aca="false">IF(A1744="","",IF(COUNTIFS($X$2:$X$2001,X1744,$D$2:$D$2001,"&lt;&gt;"&amp;D1744,$C$2:$C$2001,C1744)&gt;0,"SIM","NAO"))</f>
        <v/>
      </c>
      <c r="Z1744" s="5" t="str">
        <f aca="false">IF(A1744="","",IF(J1744="","",IFERROR(360/J1744,"")))</f>
        <v/>
      </c>
      <c r="AA1744" s="5" t="str">
        <f aca="false">IF(A1744="","",IF(H1744=0,"Parado (sem venda 90d)",IF(Z1744&gt;12,"Alto (&gt;12x/ano)",IF(Z1744&gt;=4,"Medio (4-12x/ano)","Baixo (&lt;4x/ano)"))))</f>
        <v/>
      </c>
    </row>
    <row r="1745" customFormat="false" ht="15" hidden="false" customHeight="true" outlineLevel="0" collapsed="false">
      <c r="A1745" s="6"/>
      <c r="B1745" s="6"/>
      <c r="C1745" s="6"/>
      <c r="D1745" s="6"/>
      <c r="E1745" s="6"/>
      <c r="F1745" s="6"/>
      <c r="G1745" s="6"/>
      <c r="H1745" s="6"/>
      <c r="I1745" s="6"/>
      <c r="J1745" s="6"/>
      <c r="K1745" s="18"/>
      <c r="L1745" s="19" t="str">
        <f aca="false">IF(A1745="","",G1745*K1745)</f>
        <v/>
      </c>
      <c r="M1745" s="20"/>
      <c r="N1745" s="6"/>
      <c r="O1745" s="6"/>
      <c r="P1745" s="5" t="str">
        <f aca="false">IF(A1745="","",H1745/90)</f>
        <v/>
      </c>
      <c r="Q1745" s="5" t="str">
        <f aca="false">IF(A1745="","",IFERROR(INDEX(Parâmetros!$C$6:$C$10,MATCH(F1745,Parâmetros!$B$6:$B$10,0)),""))</f>
        <v/>
      </c>
      <c r="R1745" s="5" t="str">
        <f aca="false">IF(OR(A1745="",P1745="",Q1745=""),"",P1745*Q1745)</f>
        <v/>
      </c>
      <c r="S1745" s="5" t="str">
        <f aca="false">IF(R1745="","",MAX(0,R1745-G1745))</f>
        <v/>
      </c>
      <c r="T1745" s="21" t="str">
        <f aca="false">IF(S1745="","",S1745*K1745)</f>
        <v/>
      </c>
      <c r="U1745" s="5" t="str">
        <f aca="false">IF(A1745="","",IF(J1745&gt;Parâmetros!$C$14,"SIM","NAO"))</f>
        <v/>
      </c>
      <c r="V1745" s="5" t="str">
        <f aca="false">IF(B1745="","",TRIM(LEFT(B1745,IFERROR(FIND(" ",B1745)-1,LEN(B1745)))))</f>
        <v/>
      </c>
      <c r="W1745" s="22"/>
      <c r="X1745" s="5" t="str">
        <f aca="false">IF(A1745="","",IF(W1745&lt;&gt;"",W1745,V1745))</f>
        <v/>
      </c>
      <c r="Y1745" s="5" t="str">
        <f aca="false">IF(A1745="","",IF(COUNTIFS($X$2:$X$2001,X1745,$D$2:$D$2001,"&lt;&gt;"&amp;D1745,$C$2:$C$2001,C1745)&gt;0,"SIM","NAO"))</f>
        <v/>
      </c>
      <c r="Z1745" s="5" t="str">
        <f aca="false">IF(A1745="","",IF(J1745="","",IFERROR(360/J1745,"")))</f>
        <v/>
      </c>
      <c r="AA1745" s="5" t="str">
        <f aca="false">IF(A1745="","",IF(H1745=0,"Parado (sem venda 90d)",IF(Z1745&gt;12,"Alto (&gt;12x/ano)",IF(Z1745&gt;=4,"Medio (4-12x/ano)","Baixo (&lt;4x/ano)"))))</f>
        <v/>
      </c>
    </row>
    <row r="1746" customFormat="false" ht="15" hidden="false" customHeight="true" outlineLevel="0" collapsed="false">
      <c r="A1746" s="6"/>
      <c r="B1746" s="6"/>
      <c r="C1746" s="6"/>
      <c r="D1746" s="6"/>
      <c r="E1746" s="6"/>
      <c r="F1746" s="6"/>
      <c r="G1746" s="6"/>
      <c r="H1746" s="6"/>
      <c r="I1746" s="6"/>
      <c r="J1746" s="6"/>
      <c r="K1746" s="18"/>
      <c r="L1746" s="19" t="str">
        <f aca="false">IF(A1746="","",G1746*K1746)</f>
        <v/>
      </c>
      <c r="M1746" s="20"/>
      <c r="N1746" s="6"/>
      <c r="O1746" s="6"/>
      <c r="P1746" s="5" t="str">
        <f aca="false">IF(A1746="","",H1746/90)</f>
        <v/>
      </c>
      <c r="Q1746" s="5" t="str">
        <f aca="false">IF(A1746="","",IFERROR(INDEX(Parâmetros!$C$6:$C$10,MATCH(F1746,Parâmetros!$B$6:$B$10,0)),""))</f>
        <v/>
      </c>
      <c r="R1746" s="5" t="str">
        <f aca="false">IF(OR(A1746="",P1746="",Q1746=""),"",P1746*Q1746)</f>
        <v/>
      </c>
      <c r="S1746" s="5" t="str">
        <f aca="false">IF(R1746="","",MAX(0,R1746-G1746))</f>
        <v/>
      </c>
      <c r="T1746" s="21" t="str">
        <f aca="false">IF(S1746="","",S1746*K1746)</f>
        <v/>
      </c>
      <c r="U1746" s="5" t="str">
        <f aca="false">IF(A1746="","",IF(J1746&gt;Parâmetros!$C$14,"SIM","NAO"))</f>
        <v/>
      </c>
      <c r="V1746" s="5" t="str">
        <f aca="false">IF(B1746="","",TRIM(LEFT(B1746,IFERROR(FIND(" ",B1746)-1,LEN(B1746)))))</f>
        <v/>
      </c>
      <c r="W1746" s="22"/>
      <c r="X1746" s="5" t="str">
        <f aca="false">IF(A1746="","",IF(W1746&lt;&gt;"",W1746,V1746))</f>
        <v/>
      </c>
      <c r="Y1746" s="5" t="str">
        <f aca="false">IF(A1746="","",IF(COUNTIFS($X$2:$X$2001,X1746,$D$2:$D$2001,"&lt;&gt;"&amp;D1746,$C$2:$C$2001,C1746)&gt;0,"SIM","NAO"))</f>
        <v/>
      </c>
      <c r="Z1746" s="5" t="str">
        <f aca="false">IF(A1746="","",IF(J1746="","",IFERROR(360/J1746,"")))</f>
        <v/>
      </c>
      <c r="AA1746" s="5" t="str">
        <f aca="false">IF(A1746="","",IF(H1746=0,"Parado (sem venda 90d)",IF(Z1746&gt;12,"Alto (&gt;12x/ano)",IF(Z1746&gt;=4,"Medio (4-12x/ano)","Baixo (&lt;4x/ano)"))))</f>
        <v/>
      </c>
    </row>
    <row r="1747" customFormat="false" ht="15" hidden="false" customHeight="true" outlineLevel="0" collapsed="false">
      <c r="A1747" s="6"/>
      <c r="B1747" s="6"/>
      <c r="C1747" s="6"/>
      <c r="D1747" s="6"/>
      <c r="E1747" s="6"/>
      <c r="F1747" s="6"/>
      <c r="G1747" s="6"/>
      <c r="H1747" s="6"/>
      <c r="I1747" s="6"/>
      <c r="J1747" s="6"/>
      <c r="K1747" s="18"/>
      <c r="L1747" s="19" t="str">
        <f aca="false">IF(A1747="","",G1747*K1747)</f>
        <v/>
      </c>
      <c r="M1747" s="20"/>
      <c r="N1747" s="6"/>
      <c r="O1747" s="6"/>
      <c r="P1747" s="5" t="str">
        <f aca="false">IF(A1747="","",H1747/90)</f>
        <v/>
      </c>
      <c r="Q1747" s="5" t="str">
        <f aca="false">IF(A1747="","",IFERROR(INDEX(Parâmetros!$C$6:$C$10,MATCH(F1747,Parâmetros!$B$6:$B$10,0)),""))</f>
        <v/>
      </c>
      <c r="R1747" s="5" t="str">
        <f aca="false">IF(OR(A1747="",P1747="",Q1747=""),"",P1747*Q1747)</f>
        <v/>
      </c>
      <c r="S1747" s="5" t="str">
        <f aca="false">IF(R1747="","",MAX(0,R1747-G1747))</f>
        <v/>
      </c>
      <c r="T1747" s="21" t="str">
        <f aca="false">IF(S1747="","",S1747*K1747)</f>
        <v/>
      </c>
      <c r="U1747" s="5" t="str">
        <f aca="false">IF(A1747="","",IF(J1747&gt;Parâmetros!$C$14,"SIM","NAO"))</f>
        <v/>
      </c>
      <c r="V1747" s="5" t="str">
        <f aca="false">IF(B1747="","",TRIM(LEFT(B1747,IFERROR(FIND(" ",B1747)-1,LEN(B1747)))))</f>
        <v/>
      </c>
      <c r="W1747" s="22"/>
      <c r="X1747" s="5" t="str">
        <f aca="false">IF(A1747="","",IF(W1747&lt;&gt;"",W1747,V1747))</f>
        <v/>
      </c>
      <c r="Y1747" s="5" t="str">
        <f aca="false">IF(A1747="","",IF(COUNTIFS($X$2:$X$2001,X1747,$D$2:$D$2001,"&lt;&gt;"&amp;D1747,$C$2:$C$2001,C1747)&gt;0,"SIM","NAO"))</f>
        <v/>
      </c>
      <c r="Z1747" s="5" t="str">
        <f aca="false">IF(A1747="","",IF(J1747="","",IFERROR(360/J1747,"")))</f>
        <v/>
      </c>
      <c r="AA1747" s="5" t="str">
        <f aca="false">IF(A1747="","",IF(H1747=0,"Parado (sem venda 90d)",IF(Z1747&gt;12,"Alto (&gt;12x/ano)",IF(Z1747&gt;=4,"Medio (4-12x/ano)","Baixo (&lt;4x/ano)"))))</f>
        <v/>
      </c>
    </row>
    <row r="1748" customFormat="false" ht="15" hidden="false" customHeight="true" outlineLevel="0" collapsed="false">
      <c r="A1748" s="6"/>
      <c r="B1748" s="6"/>
      <c r="C1748" s="6"/>
      <c r="D1748" s="6"/>
      <c r="E1748" s="6"/>
      <c r="F1748" s="6"/>
      <c r="G1748" s="6"/>
      <c r="H1748" s="6"/>
      <c r="I1748" s="6"/>
      <c r="J1748" s="6"/>
      <c r="K1748" s="18"/>
      <c r="L1748" s="19" t="str">
        <f aca="false">IF(A1748="","",G1748*K1748)</f>
        <v/>
      </c>
      <c r="M1748" s="20"/>
      <c r="N1748" s="6"/>
      <c r="O1748" s="6"/>
      <c r="P1748" s="5" t="str">
        <f aca="false">IF(A1748="","",H1748/90)</f>
        <v/>
      </c>
      <c r="Q1748" s="5" t="str">
        <f aca="false">IF(A1748="","",IFERROR(INDEX(Parâmetros!$C$6:$C$10,MATCH(F1748,Parâmetros!$B$6:$B$10,0)),""))</f>
        <v/>
      </c>
      <c r="R1748" s="5" t="str">
        <f aca="false">IF(OR(A1748="",P1748="",Q1748=""),"",P1748*Q1748)</f>
        <v/>
      </c>
      <c r="S1748" s="5" t="str">
        <f aca="false">IF(R1748="","",MAX(0,R1748-G1748))</f>
        <v/>
      </c>
      <c r="T1748" s="21" t="str">
        <f aca="false">IF(S1748="","",S1748*K1748)</f>
        <v/>
      </c>
      <c r="U1748" s="5" t="str">
        <f aca="false">IF(A1748="","",IF(J1748&gt;Parâmetros!$C$14,"SIM","NAO"))</f>
        <v/>
      </c>
      <c r="V1748" s="5" t="str">
        <f aca="false">IF(B1748="","",TRIM(LEFT(B1748,IFERROR(FIND(" ",B1748)-1,LEN(B1748)))))</f>
        <v/>
      </c>
      <c r="W1748" s="22"/>
      <c r="X1748" s="5" t="str">
        <f aca="false">IF(A1748="","",IF(W1748&lt;&gt;"",W1748,V1748))</f>
        <v/>
      </c>
      <c r="Y1748" s="5" t="str">
        <f aca="false">IF(A1748="","",IF(COUNTIFS($X$2:$X$2001,X1748,$D$2:$D$2001,"&lt;&gt;"&amp;D1748,$C$2:$C$2001,C1748)&gt;0,"SIM","NAO"))</f>
        <v/>
      </c>
      <c r="Z1748" s="5" t="str">
        <f aca="false">IF(A1748="","",IF(J1748="","",IFERROR(360/J1748,"")))</f>
        <v/>
      </c>
      <c r="AA1748" s="5" t="str">
        <f aca="false">IF(A1748="","",IF(H1748=0,"Parado (sem venda 90d)",IF(Z1748&gt;12,"Alto (&gt;12x/ano)",IF(Z1748&gt;=4,"Medio (4-12x/ano)","Baixo (&lt;4x/ano)"))))</f>
        <v/>
      </c>
    </row>
    <row r="1749" customFormat="false" ht="15" hidden="false" customHeight="true" outlineLevel="0" collapsed="false">
      <c r="A1749" s="6"/>
      <c r="B1749" s="6"/>
      <c r="C1749" s="6"/>
      <c r="D1749" s="6"/>
      <c r="E1749" s="6"/>
      <c r="F1749" s="6"/>
      <c r="G1749" s="6"/>
      <c r="H1749" s="6"/>
      <c r="I1749" s="6"/>
      <c r="J1749" s="6"/>
      <c r="K1749" s="18"/>
      <c r="L1749" s="19" t="str">
        <f aca="false">IF(A1749="","",G1749*K1749)</f>
        <v/>
      </c>
      <c r="M1749" s="20"/>
      <c r="N1749" s="6"/>
      <c r="O1749" s="6"/>
      <c r="P1749" s="5" t="str">
        <f aca="false">IF(A1749="","",H1749/90)</f>
        <v/>
      </c>
      <c r="Q1749" s="5" t="str">
        <f aca="false">IF(A1749="","",IFERROR(INDEX(Parâmetros!$C$6:$C$10,MATCH(F1749,Parâmetros!$B$6:$B$10,0)),""))</f>
        <v/>
      </c>
      <c r="R1749" s="5" t="str">
        <f aca="false">IF(OR(A1749="",P1749="",Q1749=""),"",P1749*Q1749)</f>
        <v/>
      </c>
      <c r="S1749" s="5" t="str">
        <f aca="false">IF(R1749="","",MAX(0,R1749-G1749))</f>
        <v/>
      </c>
      <c r="T1749" s="21" t="str">
        <f aca="false">IF(S1749="","",S1749*K1749)</f>
        <v/>
      </c>
      <c r="U1749" s="5" t="str">
        <f aca="false">IF(A1749="","",IF(J1749&gt;Parâmetros!$C$14,"SIM","NAO"))</f>
        <v/>
      </c>
      <c r="V1749" s="5" t="str">
        <f aca="false">IF(B1749="","",TRIM(LEFT(B1749,IFERROR(FIND(" ",B1749)-1,LEN(B1749)))))</f>
        <v/>
      </c>
      <c r="W1749" s="22"/>
      <c r="X1749" s="5" t="str">
        <f aca="false">IF(A1749="","",IF(W1749&lt;&gt;"",W1749,V1749))</f>
        <v/>
      </c>
      <c r="Y1749" s="5" t="str">
        <f aca="false">IF(A1749="","",IF(COUNTIFS($X$2:$X$2001,X1749,$D$2:$D$2001,"&lt;&gt;"&amp;D1749,$C$2:$C$2001,C1749)&gt;0,"SIM","NAO"))</f>
        <v/>
      </c>
      <c r="Z1749" s="5" t="str">
        <f aca="false">IF(A1749="","",IF(J1749="","",IFERROR(360/J1749,"")))</f>
        <v/>
      </c>
      <c r="AA1749" s="5" t="str">
        <f aca="false">IF(A1749="","",IF(H1749=0,"Parado (sem venda 90d)",IF(Z1749&gt;12,"Alto (&gt;12x/ano)",IF(Z1749&gt;=4,"Medio (4-12x/ano)","Baixo (&lt;4x/ano)"))))</f>
        <v/>
      </c>
    </row>
    <row r="1750" customFormat="false" ht="15" hidden="false" customHeight="true" outlineLevel="0" collapsed="false">
      <c r="A1750" s="6"/>
      <c r="B1750" s="6"/>
      <c r="C1750" s="6"/>
      <c r="D1750" s="6"/>
      <c r="E1750" s="6"/>
      <c r="F1750" s="6"/>
      <c r="G1750" s="6"/>
      <c r="H1750" s="6"/>
      <c r="I1750" s="6"/>
      <c r="J1750" s="6"/>
      <c r="K1750" s="18"/>
      <c r="L1750" s="19" t="str">
        <f aca="false">IF(A1750="","",G1750*K1750)</f>
        <v/>
      </c>
      <c r="M1750" s="20"/>
      <c r="N1750" s="6"/>
      <c r="O1750" s="6"/>
      <c r="P1750" s="5" t="str">
        <f aca="false">IF(A1750="","",H1750/90)</f>
        <v/>
      </c>
      <c r="Q1750" s="5" t="str">
        <f aca="false">IF(A1750="","",IFERROR(INDEX(Parâmetros!$C$6:$C$10,MATCH(F1750,Parâmetros!$B$6:$B$10,0)),""))</f>
        <v/>
      </c>
      <c r="R1750" s="5" t="str">
        <f aca="false">IF(OR(A1750="",P1750="",Q1750=""),"",P1750*Q1750)</f>
        <v/>
      </c>
      <c r="S1750" s="5" t="str">
        <f aca="false">IF(R1750="","",MAX(0,R1750-G1750))</f>
        <v/>
      </c>
      <c r="T1750" s="21" t="str">
        <f aca="false">IF(S1750="","",S1750*K1750)</f>
        <v/>
      </c>
      <c r="U1750" s="5" t="str">
        <f aca="false">IF(A1750="","",IF(J1750&gt;Parâmetros!$C$14,"SIM","NAO"))</f>
        <v/>
      </c>
      <c r="V1750" s="5" t="str">
        <f aca="false">IF(B1750="","",TRIM(LEFT(B1750,IFERROR(FIND(" ",B1750)-1,LEN(B1750)))))</f>
        <v/>
      </c>
      <c r="W1750" s="22"/>
      <c r="X1750" s="5" t="str">
        <f aca="false">IF(A1750="","",IF(W1750&lt;&gt;"",W1750,V1750))</f>
        <v/>
      </c>
      <c r="Y1750" s="5" t="str">
        <f aca="false">IF(A1750="","",IF(COUNTIFS($X$2:$X$2001,X1750,$D$2:$D$2001,"&lt;&gt;"&amp;D1750,$C$2:$C$2001,C1750)&gt;0,"SIM","NAO"))</f>
        <v/>
      </c>
      <c r="Z1750" s="5" t="str">
        <f aca="false">IF(A1750="","",IF(J1750="","",IFERROR(360/J1750,"")))</f>
        <v/>
      </c>
      <c r="AA1750" s="5" t="str">
        <f aca="false">IF(A1750="","",IF(H1750=0,"Parado (sem venda 90d)",IF(Z1750&gt;12,"Alto (&gt;12x/ano)",IF(Z1750&gt;=4,"Medio (4-12x/ano)","Baixo (&lt;4x/ano)"))))</f>
        <v/>
      </c>
    </row>
    <row r="1751" customFormat="false" ht="15" hidden="false" customHeight="true" outlineLevel="0" collapsed="false">
      <c r="A1751" s="6"/>
      <c r="B1751" s="6"/>
      <c r="C1751" s="6"/>
      <c r="D1751" s="6"/>
      <c r="E1751" s="6"/>
      <c r="F1751" s="6"/>
      <c r="G1751" s="6"/>
      <c r="H1751" s="6"/>
      <c r="I1751" s="6"/>
      <c r="J1751" s="6"/>
      <c r="K1751" s="18"/>
      <c r="L1751" s="19" t="str">
        <f aca="false">IF(A1751="","",G1751*K1751)</f>
        <v/>
      </c>
      <c r="M1751" s="20"/>
      <c r="N1751" s="6"/>
      <c r="O1751" s="6"/>
      <c r="P1751" s="5" t="str">
        <f aca="false">IF(A1751="","",H1751/90)</f>
        <v/>
      </c>
      <c r="Q1751" s="5" t="str">
        <f aca="false">IF(A1751="","",IFERROR(INDEX(Parâmetros!$C$6:$C$10,MATCH(F1751,Parâmetros!$B$6:$B$10,0)),""))</f>
        <v/>
      </c>
      <c r="R1751" s="5" t="str">
        <f aca="false">IF(OR(A1751="",P1751="",Q1751=""),"",P1751*Q1751)</f>
        <v/>
      </c>
      <c r="S1751" s="5" t="str">
        <f aca="false">IF(R1751="","",MAX(0,R1751-G1751))</f>
        <v/>
      </c>
      <c r="T1751" s="21" t="str">
        <f aca="false">IF(S1751="","",S1751*K1751)</f>
        <v/>
      </c>
      <c r="U1751" s="5" t="str">
        <f aca="false">IF(A1751="","",IF(J1751&gt;Parâmetros!$C$14,"SIM","NAO"))</f>
        <v/>
      </c>
      <c r="V1751" s="5" t="str">
        <f aca="false">IF(B1751="","",TRIM(LEFT(B1751,IFERROR(FIND(" ",B1751)-1,LEN(B1751)))))</f>
        <v/>
      </c>
      <c r="W1751" s="22"/>
      <c r="X1751" s="5" t="str">
        <f aca="false">IF(A1751="","",IF(W1751&lt;&gt;"",W1751,V1751))</f>
        <v/>
      </c>
      <c r="Y1751" s="5" t="str">
        <f aca="false">IF(A1751="","",IF(COUNTIFS($X$2:$X$2001,X1751,$D$2:$D$2001,"&lt;&gt;"&amp;D1751,$C$2:$C$2001,C1751)&gt;0,"SIM","NAO"))</f>
        <v/>
      </c>
      <c r="Z1751" s="5" t="str">
        <f aca="false">IF(A1751="","",IF(J1751="","",IFERROR(360/J1751,"")))</f>
        <v/>
      </c>
      <c r="AA1751" s="5" t="str">
        <f aca="false">IF(A1751="","",IF(H1751=0,"Parado (sem venda 90d)",IF(Z1751&gt;12,"Alto (&gt;12x/ano)",IF(Z1751&gt;=4,"Medio (4-12x/ano)","Baixo (&lt;4x/ano)"))))</f>
        <v/>
      </c>
    </row>
    <row r="1752" customFormat="false" ht="15" hidden="false" customHeight="true" outlineLevel="0" collapsed="false">
      <c r="A1752" s="6"/>
      <c r="B1752" s="6"/>
      <c r="C1752" s="6"/>
      <c r="D1752" s="6"/>
      <c r="E1752" s="6"/>
      <c r="F1752" s="6"/>
      <c r="G1752" s="6"/>
      <c r="H1752" s="6"/>
      <c r="I1752" s="6"/>
      <c r="J1752" s="6"/>
      <c r="K1752" s="18"/>
      <c r="L1752" s="19" t="str">
        <f aca="false">IF(A1752="","",G1752*K1752)</f>
        <v/>
      </c>
      <c r="M1752" s="20"/>
      <c r="N1752" s="6"/>
      <c r="O1752" s="6"/>
      <c r="P1752" s="5" t="str">
        <f aca="false">IF(A1752="","",H1752/90)</f>
        <v/>
      </c>
      <c r="Q1752" s="5" t="str">
        <f aca="false">IF(A1752="","",IFERROR(INDEX(Parâmetros!$C$6:$C$10,MATCH(F1752,Parâmetros!$B$6:$B$10,0)),""))</f>
        <v/>
      </c>
      <c r="R1752" s="5" t="str">
        <f aca="false">IF(OR(A1752="",P1752="",Q1752=""),"",P1752*Q1752)</f>
        <v/>
      </c>
      <c r="S1752" s="5" t="str">
        <f aca="false">IF(R1752="","",MAX(0,R1752-G1752))</f>
        <v/>
      </c>
      <c r="T1752" s="21" t="str">
        <f aca="false">IF(S1752="","",S1752*K1752)</f>
        <v/>
      </c>
      <c r="U1752" s="5" t="str">
        <f aca="false">IF(A1752="","",IF(J1752&gt;Parâmetros!$C$14,"SIM","NAO"))</f>
        <v/>
      </c>
      <c r="V1752" s="5" t="str">
        <f aca="false">IF(B1752="","",TRIM(LEFT(B1752,IFERROR(FIND(" ",B1752)-1,LEN(B1752)))))</f>
        <v/>
      </c>
      <c r="W1752" s="22"/>
      <c r="X1752" s="5" t="str">
        <f aca="false">IF(A1752="","",IF(W1752&lt;&gt;"",W1752,V1752))</f>
        <v/>
      </c>
      <c r="Y1752" s="5" t="str">
        <f aca="false">IF(A1752="","",IF(COUNTIFS($X$2:$X$2001,X1752,$D$2:$D$2001,"&lt;&gt;"&amp;D1752,$C$2:$C$2001,C1752)&gt;0,"SIM","NAO"))</f>
        <v/>
      </c>
      <c r="Z1752" s="5" t="str">
        <f aca="false">IF(A1752="","",IF(J1752="","",IFERROR(360/J1752,"")))</f>
        <v/>
      </c>
      <c r="AA1752" s="5" t="str">
        <f aca="false">IF(A1752="","",IF(H1752=0,"Parado (sem venda 90d)",IF(Z1752&gt;12,"Alto (&gt;12x/ano)",IF(Z1752&gt;=4,"Medio (4-12x/ano)","Baixo (&lt;4x/ano)"))))</f>
        <v/>
      </c>
    </row>
    <row r="1753" customFormat="false" ht="15" hidden="false" customHeight="true" outlineLevel="0" collapsed="false">
      <c r="A1753" s="6"/>
      <c r="B1753" s="6"/>
      <c r="C1753" s="6"/>
      <c r="D1753" s="6"/>
      <c r="E1753" s="6"/>
      <c r="F1753" s="6"/>
      <c r="G1753" s="6"/>
      <c r="H1753" s="6"/>
      <c r="I1753" s="6"/>
      <c r="J1753" s="6"/>
      <c r="K1753" s="18"/>
      <c r="L1753" s="19" t="str">
        <f aca="false">IF(A1753="","",G1753*K1753)</f>
        <v/>
      </c>
      <c r="M1753" s="20"/>
      <c r="N1753" s="6"/>
      <c r="O1753" s="6"/>
      <c r="P1753" s="5" t="str">
        <f aca="false">IF(A1753="","",H1753/90)</f>
        <v/>
      </c>
      <c r="Q1753" s="5" t="str">
        <f aca="false">IF(A1753="","",IFERROR(INDEX(Parâmetros!$C$6:$C$10,MATCH(F1753,Parâmetros!$B$6:$B$10,0)),""))</f>
        <v/>
      </c>
      <c r="R1753" s="5" t="str">
        <f aca="false">IF(OR(A1753="",P1753="",Q1753=""),"",P1753*Q1753)</f>
        <v/>
      </c>
      <c r="S1753" s="5" t="str">
        <f aca="false">IF(R1753="","",MAX(0,R1753-G1753))</f>
        <v/>
      </c>
      <c r="T1753" s="21" t="str">
        <f aca="false">IF(S1753="","",S1753*K1753)</f>
        <v/>
      </c>
      <c r="U1753" s="5" t="str">
        <f aca="false">IF(A1753="","",IF(J1753&gt;Parâmetros!$C$14,"SIM","NAO"))</f>
        <v/>
      </c>
      <c r="V1753" s="5" t="str">
        <f aca="false">IF(B1753="","",TRIM(LEFT(B1753,IFERROR(FIND(" ",B1753)-1,LEN(B1753)))))</f>
        <v/>
      </c>
      <c r="W1753" s="22"/>
      <c r="X1753" s="5" t="str">
        <f aca="false">IF(A1753="","",IF(W1753&lt;&gt;"",W1753,V1753))</f>
        <v/>
      </c>
      <c r="Y1753" s="5" t="str">
        <f aca="false">IF(A1753="","",IF(COUNTIFS($X$2:$X$2001,X1753,$D$2:$D$2001,"&lt;&gt;"&amp;D1753,$C$2:$C$2001,C1753)&gt;0,"SIM","NAO"))</f>
        <v/>
      </c>
      <c r="Z1753" s="5" t="str">
        <f aca="false">IF(A1753="","",IF(J1753="","",IFERROR(360/J1753,"")))</f>
        <v/>
      </c>
      <c r="AA1753" s="5" t="str">
        <f aca="false">IF(A1753="","",IF(H1753=0,"Parado (sem venda 90d)",IF(Z1753&gt;12,"Alto (&gt;12x/ano)",IF(Z1753&gt;=4,"Medio (4-12x/ano)","Baixo (&lt;4x/ano)"))))</f>
        <v/>
      </c>
    </row>
    <row r="1754" customFormat="false" ht="15" hidden="false" customHeight="true" outlineLevel="0" collapsed="false">
      <c r="A1754" s="6"/>
      <c r="B1754" s="6"/>
      <c r="C1754" s="6"/>
      <c r="D1754" s="6"/>
      <c r="E1754" s="6"/>
      <c r="F1754" s="6"/>
      <c r="G1754" s="6"/>
      <c r="H1754" s="6"/>
      <c r="I1754" s="6"/>
      <c r="J1754" s="6"/>
      <c r="K1754" s="18"/>
      <c r="L1754" s="19" t="str">
        <f aca="false">IF(A1754="","",G1754*K1754)</f>
        <v/>
      </c>
      <c r="M1754" s="20"/>
      <c r="N1754" s="6"/>
      <c r="O1754" s="6"/>
      <c r="P1754" s="5" t="str">
        <f aca="false">IF(A1754="","",H1754/90)</f>
        <v/>
      </c>
      <c r="Q1754" s="5" t="str">
        <f aca="false">IF(A1754="","",IFERROR(INDEX(Parâmetros!$C$6:$C$10,MATCH(F1754,Parâmetros!$B$6:$B$10,0)),""))</f>
        <v/>
      </c>
      <c r="R1754" s="5" t="str">
        <f aca="false">IF(OR(A1754="",P1754="",Q1754=""),"",P1754*Q1754)</f>
        <v/>
      </c>
      <c r="S1754" s="5" t="str">
        <f aca="false">IF(R1754="","",MAX(0,R1754-G1754))</f>
        <v/>
      </c>
      <c r="T1754" s="21" t="str">
        <f aca="false">IF(S1754="","",S1754*K1754)</f>
        <v/>
      </c>
      <c r="U1754" s="5" t="str">
        <f aca="false">IF(A1754="","",IF(J1754&gt;Parâmetros!$C$14,"SIM","NAO"))</f>
        <v/>
      </c>
      <c r="V1754" s="5" t="str">
        <f aca="false">IF(B1754="","",TRIM(LEFT(B1754,IFERROR(FIND(" ",B1754)-1,LEN(B1754)))))</f>
        <v/>
      </c>
      <c r="W1754" s="22"/>
      <c r="X1754" s="5" t="str">
        <f aca="false">IF(A1754="","",IF(W1754&lt;&gt;"",W1754,V1754))</f>
        <v/>
      </c>
      <c r="Y1754" s="5" t="str">
        <f aca="false">IF(A1754="","",IF(COUNTIFS($X$2:$X$2001,X1754,$D$2:$D$2001,"&lt;&gt;"&amp;D1754,$C$2:$C$2001,C1754)&gt;0,"SIM","NAO"))</f>
        <v/>
      </c>
      <c r="Z1754" s="5" t="str">
        <f aca="false">IF(A1754="","",IF(J1754="","",IFERROR(360/J1754,"")))</f>
        <v/>
      </c>
      <c r="AA1754" s="5" t="str">
        <f aca="false">IF(A1754="","",IF(H1754=0,"Parado (sem venda 90d)",IF(Z1754&gt;12,"Alto (&gt;12x/ano)",IF(Z1754&gt;=4,"Medio (4-12x/ano)","Baixo (&lt;4x/ano)"))))</f>
        <v/>
      </c>
    </row>
    <row r="1755" customFormat="false" ht="15" hidden="false" customHeight="true" outlineLevel="0" collapsed="false">
      <c r="A1755" s="6"/>
      <c r="B1755" s="6"/>
      <c r="C1755" s="6"/>
      <c r="D1755" s="6"/>
      <c r="E1755" s="6"/>
      <c r="F1755" s="6"/>
      <c r="G1755" s="6"/>
      <c r="H1755" s="6"/>
      <c r="I1755" s="6"/>
      <c r="J1755" s="6"/>
      <c r="K1755" s="18"/>
      <c r="L1755" s="19" t="str">
        <f aca="false">IF(A1755="","",G1755*K1755)</f>
        <v/>
      </c>
      <c r="M1755" s="20"/>
      <c r="N1755" s="6"/>
      <c r="O1755" s="6"/>
      <c r="P1755" s="5" t="str">
        <f aca="false">IF(A1755="","",H1755/90)</f>
        <v/>
      </c>
      <c r="Q1755" s="5" t="str">
        <f aca="false">IF(A1755="","",IFERROR(INDEX(Parâmetros!$C$6:$C$10,MATCH(F1755,Parâmetros!$B$6:$B$10,0)),""))</f>
        <v/>
      </c>
      <c r="R1755" s="5" t="str">
        <f aca="false">IF(OR(A1755="",P1755="",Q1755=""),"",P1755*Q1755)</f>
        <v/>
      </c>
      <c r="S1755" s="5" t="str">
        <f aca="false">IF(R1755="","",MAX(0,R1755-G1755))</f>
        <v/>
      </c>
      <c r="T1755" s="21" t="str">
        <f aca="false">IF(S1755="","",S1755*K1755)</f>
        <v/>
      </c>
      <c r="U1755" s="5" t="str">
        <f aca="false">IF(A1755="","",IF(J1755&gt;Parâmetros!$C$14,"SIM","NAO"))</f>
        <v/>
      </c>
      <c r="V1755" s="5" t="str">
        <f aca="false">IF(B1755="","",TRIM(LEFT(B1755,IFERROR(FIND(" ",B1755)-1,LEN(B1755)))))</f>
        <v/>
      </c>
      <c r="W1755" s="22"/>
      <c r="X1755" s="5" t="str">
        <f aca="false">IF(A1755="","",IF(W1755&lt;&gt;"",W1755,V1755))</f>
        <v/>
      </c>
      <c r="Y1755" s="5" t="str">
        <f aca="false">IF(A1755="","",IF(COUNTIFS($X$2:$X$2001,X1755,$D$2:$D$2001,"&lt;&gt;"&amp;D1755,$C$2:$C$2001,C1755)&gt;0,"SIM","NAO"))</f>
        <v/>
      </c>
      <c r="Z1755" s="5" t="str">
        <f aca="false">IF(A1755="","",IF(J1755="","",IFERROR(360/J1755,"")))</f>
        <v/>
      </c>
      <c r="AA1755" s="5" t="str">
        <f aca="false">IF(A1755="","",IF(H1755=0,"Parado (sem venda 90d)",IF(Z1755&gt;12,"Alto (&gt;12x/ano)",IF(Z1755&gt;=4,"Medio (4-12x/ano)","Baixo (&lt;4x/ano)"))))</f>
        <v/>
      </c>
    </row>
    <row r="1756" customFormat="false" ht="15" hidden="false" customHeight="true" outlineLevel="0" collapsed="false">
      <c r="A1756" s="6"/>
      <c r="B1756" s="6"/>
      <c r="C1756" s="6"/>
      <c r="D1756" s="6"/>
      <c r="E1756" s="6"/>
      <c r="F1756" s="6"/>
      <c r="G1756" s="6"/>
      <c r="H1756" s="6"/>
      <c r="I1756" s="6"/>
      <c r="J1756" s="6"/>
      <c r="K1756" s="18"/>
      <c r="L1756" s="19" t="str">
        <f aca="false">IF(A1756="","",G1756*K1756)</f>
        <v/>
      </c>
      <c r="M1756" s="20"/>
      <c r="N1756" s="6"/>
      <c r="O1756" s="6"/>
      <c r="P1756" s="5" t="str">
        <f aca="false">IF(A1756="","",H1756/90)</f>
        <v/>
      </c>
      <c r="Q1756" s="5" t="str">
        <f aca="false">IF(A1756="","",IFERROR(INDEX(Parâmetros!$C$6:$C$10,MATCH(F1756,Parâmetros!$B$6:$B$10,0)),""))</f>
        <v/>
      </c>
      <c r="R1756" s="5" t="str">
        <f aca="false">IF(OR(A1756="",P1756="",Q1756=""),"",P1756*Q1756)</f>
        <v/>
      </c>
      <c r="S1756" s="5" t="str">
        <f aca="false">IF(R1756="","",MAX(0,R1756-G1756))</f>
        <v/>
      </c>
      <c r="T1756" s="21" t="str">
        <f aca="false">IF(S1756="","",S1756*K1756)</f>
        <v/>
      </c>
      <c r="U1756" s="5" t="str">
        <f aca="false">IF(A1756="","",IF(J1756&gt;Parâmetros!$C$14,"SIM","NAO"))</f>
        <v/>
      </c>
      <c r="V1756" s="5" t="str">
        <f aca="false">IF(B1756="","",TRIM(LEFT(B1756,IFERROR(FIND(" ",B1756)-1,LEN(B1756)))))</f>
        <v/>
      </c>
      <c r="W1756" s="22"/>
      <c r="X1756" s="5" t="str">
        <f aca="false">IF(A1756="","",IF(W1756&lt;&gt;"",W1756,V1756))</f>
        <v/>
      </c>
      <c r="Y1756" s="5" t="str">
        <f aca="false">IF(A1756="","",IF(COUNTIFS($X$2:$X$2001,X1756,$D$2:$D$2001,"&lt;&gt;"&amp;D1756,$C$2:$C$2001,C1756)&gt;0,"SIM","NAO"))</f>
        <v/>
      </c>
      <c r="Z1756" s="5" t="str">
        <f aca="false">IF(A1756="","",IF(J1756="","",IFERROR(360/J1756,"")))</f>
        <v/>
      </c>
      <c r="AA1756" s="5" t="str">
        <f aca="false">IF(A1756="","",IF(H1756=0,"Parado (sem venda 90d)",IF(Z1756&gt;12,"Alto (&gt;12x/ano)",IF(Z1756&gt;=4,"Medio (4-12x/ano)","Baixo (&lt;4x/ano)"))))</f>
        <v/>
      </c>
    </row>
    <row r="1757" customFormat="false" ht="15" hidden="false" customHeight="true" outlineLevel="0" collapsed="false">
      <c r="A1757" s="6"/>
      <c r="B1757" s="6"/>
      <c r="C1757" s="6"/>
      <c r="D1757" s="6"/>
      <c r="E1757" s="6"/>
      <c r="F1757" s="6"/>
      <c r="G1757" s="6"/>
      <c r="H1757" s="6"/>
      <c r="I1757" s="6"/>
      <c r="J1757" s="6"/>
      <c r="K1757" s="18"/>
      <c r="L1757" s="19" t="str">
        <f aca="false">IF(A1757="","",G1757*K1757)</f>
        <v/>
      </c>
      <c r="M1757" s="20"/>
      <c r="N1757" s="6"/>
      <c r="O1757" s="6"/>
      <c r="P1757" s="5" t="str">
        <f aca="false">IF(A1757="","",H1757/90)</f>
        <v/>
      </c>
      <c r="Q1757" s="5" t="str">
        <f aca="false">IF(A1757="","",IFERROR(INDEX(Parâmetros!$C$6:$C$10,MATCH(F1757,Parâmetros!$B$6:$B$10,0)),""))</f>
        <v/>
      </c>
      <c r="R1757" s="5" t="str">
        <f aca="false">IF(OR(A1757="",P1757="",Q1757=""),"",P1757*Q1757)</f>
        <v/>
      </c>
      <c r="S1757" s="5" t="str">
        <f aca="false">IF(R1757="","",MAX(0,R1757-G1757))</f>
        <v/>
      </c>
      <c r="T1757" s="21" t="str">
        <f aca="false">IF(S1757="","",S1757*K1757)</f>
        <v/>
      </c>
      <c r="U1757" s="5" t="str">
        <f aca="false">IF(A1757="","",IF(J1757&gt;Parâmetros!$C$14,"SIM","NAO"))</f>
        <v/>
      </c>
      <c r="V1757" s="5" t="str">
        <f aca="false">IF(B1757="","",TRIM(LEFT(B1757,IFERROR(FIND(" ",B1757)-1,LEN(B1757)))))</f>
        <v/>
      </c>
      <c r="W1757" s="22"/>
      <c r="X1757" s="5" t="str">
        <f aca="false">IF(A1757="","",IF(W1757&lt;&gt;"",W1757,V1757))</f>
        <v/>
      </c>
      <c r="Y1757" s="5" t="str">
        <f aca="false">IF(A1757="","",IF(COUNTIFS($X$2:$X$2001,X1757,$D$2:$D$2001,"&lt;&gt;"&amp;D1757,$C$2:$C$2001,C1757)&gt;0,"SIM","NAO"))</f>
        <v/>
      </c>
      <c r="Z1757" s="5" t="str">
        <f aca="false">IF(A1757="","",IF(J1757="","",IFERROR(360/J1757,"")))</f>
        <v/>
      </c>
      <c r="AA1757" s="5" t="str">
        <f aca="false">IF(A1757="","",IF(H1757=0,"Parado (sem venda 90d)",IF(Z1757&gt;12,"Alto (&gt;12x/ano)",IF(Z1757&gt;=4,"Medio (4-12x/ano)","Baixo (&lt;4x/ano)"))))</f>
        <v/>
      </c>
    </row>
    <row r="1758" customFormat="false" ht="15" hidden="false" customHeight="true" outlineLevel="0" collapsed="false">
      <c r="A1758" s="6"/>
      <c r="B1758" s="6"/>
      <c r="C1758" s="6"/>
      <c r="D1758" s="6"/>
      <c r="E1758" s="6"/>
      <c r="F1758" s="6"/>
      <c r="G1758" s="6"/>
      <c r="H1758" s="6"/>
      <c r="I1758" s="6"/>
      <c r="J1758" s="6"/>
      <c r="K1758" s="18"/>
      <c r="L1758" s="19" t="str">
        <f aca="false">IF(A1758="","",G1758*K1758)</f>
        <v/>
      </c>
      <c r="M1758" s="20"/>
      <c r="N1758" s="6"/>
      <c r="O1758" s="6"/>
      <c r="P1758" s="5" t="str">
        <f aca="false">IF(A1758="","",H1758/90)</f>
        <v/>
      </c>
      <c r="Q1758" s="5" t="str">
        <f aca="false">IF(A1758="","",IFERROR(INDEX(Parâmetros!$C$6:$C$10,MATCH(F1758,Parâmetros!$B$6:$B$10,0)),""))</f>
        <v/>
      </c>
      <c r="R1758" s="5" t="str">
        <f aca="false">IF(OR(A1758="",P1758="",Q1758=""),"",P1758*Q1758)</f>
        <v/>
      </c>
      <c r="S1758" s="5" t="str">
        <f aca="false">IF(R1758="","",MAX(0,R1758-G1758))</f>
        <v/>
      </c>
      <c r="T1758" s="21" t="str">
        <f aca="false">IF(S1758="","",S1758*K1758)</f>
        <v/>
      </c>
      <c r="U1758" s="5" t="str">
        <f aca="false">IF(A1758="","",IF(J1758&gt;Parâmetros!$C$14,"SIM","NAO"))</f>
        <v/>
      </c>
      <c r="V1758" s="5" t="str">
        <f aca="false">IF(B1758="","",TRIM(LEFT(B1758,IFERROR(FIND(" ",B1758)-1,LEN(B1758)))))</f>
        <v/>
      </c>
      <c r="W1758" s="22"/>
      <c r="X1758" s="5" t="str">
        <f aca="false">IF(A1758="","",IF(W1758&lt;&gt;"",W1758,V1758))</f>
        <v/>
      </c>
      <c r="Y1758" s="5" t="str">
        <f aca="false">IF(A1758="","",IF(COUNTIFS($X$2:$X$2001,X1758,$D$2:$D$2001,"&lt;&gt;"&amp;D1758,$C$2:$C$2001,C1758)&gt;0,"SIM","NAO"))</f>
        <v/>
      </c>
      <c r="Z1758" s="5" t="str">
        <f aca="false">IF(A1758="","",IF(J1758="","",IFERROR(360/J1758,"")))</f>
        <v/>
      </c>
      <c r="AA1758" s="5" t="str">
        <f aca="false">IF(A1758="","",IF(H1758=0,"Parado (sem venda 90d)",IF(Z1758&gt;12,"Alto (&gt;12x/ano)",IF(Z1758&gt;=4,"Medio (4-12x/ano)","Baixo (&lt;4x/ano)"))))</f>
        <v/>
      </c>
    </row>
    <row r="1759" customFormat="false" ht="15" hidden="false" customHeight="true" outlineLevel="0" collapsed="false">
      <c r="A1759" s="6"/>
      <c r="B1759" s="6"/>
      <c r="C1759" s="6"/>
      <c r="D1759" s="6"/>
      <c r="E1759" s="6"/>
      <c r="F1759" s="6"/>
      <c r="G1759" s="6"/>
      <c r="H1759" s="6"/>
      <c r="I1759" s="6"/>
      <c r="J1759" s="6"/>
      <c r="K1759" s="18"/>
      <c r="L1759" s="19" t="str">
        <f aca="false">IF(A1759="","",G1759*K1759)</f>
        <v/>
      </c>
      <c r="M1759" s="20"/>
      <c r="N1759" s="6"/>
      <c r="O1759" s="6"/>
      <c r="P1759" s="5" t="str">
        <f aca="false">IF(A1759="","",H1759/90)</f>
        <v/>
      </c>
      <c r="Q1759" s="5" t="str">
        <f aca="false">IF(A1759="","",IFERROR(INDEX(Parâmetros!$C$6:$C$10,MATCH(F1759,Parâmetros!$B$6:$B$10,0)),""))</f>
        <v/>
      </c>
      <c r="R1759" s="5" t="str">
        <f aca="false">IF(OR(A1759="",P1759="",Q1759=""),"",P1759*Q1759)</f>
        <v/>
      </c>
      <c r="S1759" s="5" t="str">
        <f aca="false">IF(R1759="","",MAX(0,R1759-G1759))</f>
        <v/>
      </c>
      <c r="T1759" s="21" t="str">
        <f aca="false">IF(S1759="","",S1759*K1759)</f>
        <v/>
      </c>
      <c r="U1759" s="5" t="str">
        <f aca="false">IF(A1759="","",IF(J1759&gt;Parâmetros!$C$14,"SIM","NAO"))</f>
        <v/>
      </c>
      <c r="V1759" s="5" t="str">
        <f aca="false">IF(B1759="","",TRIM(LEFT(B1759,IFERROR(FIND(" ",B1759)-1,LEN(B1759)))))</f>
        <v/>
      </c>
      <c r="W1759" s="22"/>
      <c r="X1759" s="5" t="str">
        <f aca="false">IF(A1759="","",IF(W1759&lt;&gt;"",W1759,V1759))</f>
        <v/>
      </c>
      <c r="Y1759" s="5" t="str">
        <f aca="false">IF(A1759="","",IF(COUNTIFS($X$2:$X$2001,X1759,$D$2:$D$2001,"&lt;&gt;"&amp;D1759,$C$2:$C$2001,C1759)&gt;0,"SIM","NAO"))</f>
        <v/>
      </c>
      <c r="Z1759" s="5" t="str">
        <f aca="false">IF(A1759="","",IF(J1759="","",IFERROR(360/J1759,"")))</f>
        <v/>
      </c>
      <c r="AA1759" s="5" t="str">
        <f aca="false">IF(A1759="","",IF(H1759=0,"Parado (sem venda 90d)",IF(Z1759&gt;12,"Alto (&gt;12x/ano)",IF(Z1759&gt;=4,"Medio (4-12x/ano)","Baixo (&lt;4x/ano)"))))</f>
        <v/>
      </c>
    </row>
    <row r="1760" customFormat="false" ht="15" hidden="false" customHeight="true" outlineLevel="0" collapsed="false">
      <c r="A1760" s="6"/>
      <c r="B1760" s="6"/>
      <c r="C1760" s="6"/>
      <c r="D1760" s="6"/>
      <c r="E1760" s="6"/>
      <c r="F1760" s="6"/>
      <c r="G1760" s="6"/>
      <c r="H1760" s="6"/>
      <c r="I1760" s="6"/>
      <c r="J1760" s="6"/>
      <c r="K1760" s="18"/>
      <c r="L1760" s="19" t="str">
        <f aca="false">IF(A1760="","",G1760*K1760)</f>
        <v/>
      </c>
      <c r="M1760" s="20"/>
      <c r="N1760" s="6"/>
      <c r="O1760" s="6"/>
      <c r="P1760" s="5" t="str">
        <f aca="false">IF(A1760="","",H1760/90)</f>
        <v/>
      </c>
      <c r="Q1760" s="5" t="str">
        <f aca="false">IF(A1760="","",IFERROR(INDEX(Parâmetros!$C$6:$C$10,MATCH(F1760,Parâmetros!$B$6:$B$10,0)),""))</f>
        <v/>
      </c>
      <c r="R1760" s="5" t="str">
        <f aca="false">IF(OR(A1760="",P1760="",Q1760=""),"",P1760*Q1760)</f>
        <v/>
      </c>
      <c r="S1760" s="5" t="str">
        <f aca="false">IF(R1760="","",MAX(0,R1760-G1760))</f>
        <v/>
      </c>
      <c r="T1760" s="21" t="str">
        <f aca="false">IF(S1760="","",S1760*K1760)</f>
        <v/>
      </c>
      <c r="U1760" s="5" t="str">
        <f aca="false">IF(A1760="","",IF(J1760&gt;Parâmetros!$C$14,"SIM","NAO"))</f>
        <v/>
      </c>
      <c r="V1760" s="5" t="str">
        <f aca="false">IF(B1760="","",TRIM(LEFT(B1760,IFERROR(FIND(" ",B1760)-1,LEN(B1760)))))</f>
        <v/>
      </c>
      <c r="W1760" s="22"/>
      <c r="X1760" s="5" t="str">
        <f aca="false">IF(A1760="","",IF(W1760&lt;&gt;"",W1760,V1760))</f>
        <v/>
      </c>
      <c r="Y1760" s="5" t="str">
        <f aca="false">IF(A1760="","",IF(COUNTIFS($X$2:$X$2001,X1760,$D$2:$D$2001,"&lt;&gt;"&amp;D1760,$C$2:$C$2001,C1760)&gt;0,"SIM","NAO"))</f>
        <v/>
      </c>
      <c r="Z1760" s="5" t="str">
        <f aca="false">IF(A1760="","",IF(J1760="","",IFERROR(360/J1760,"")))</f>
        <v/>
      </c>
      <c r="AA1760" s="5" t="str">
        <f aca="false">IF(A1760="","",IF(H1760=0,"Parado (sem venda 90d)",IF(Z1760&gt;12,"Alto (&gt;12x/ano)",IF(Z1760&gt;=4,"Medio (4-12x/ano)","Baixo (&lt;4x/ano)"))))</f>
        <v/>
      </c>
    </row>
    <row r="1761" customFormat="false" ht="15" hidden="false" customHeight="true" outlineLevel="0" collapsed="false">
      <c r="A1761" s="6"/>
      <c r="B1761" s="6"/>
      <c r="C1761" s="6"/>
      <c r="D1761" s="6"/>
      <c r="E1761" s="6"/>
      <c r="F1761" s="6"/>
      <c r="G1761" s="6"/>
      <c r="H1761" s="6"/>
      <c r="I1761" s="6"/>
      <c r="J1761" s="6"/>
      <c r="K1761" s="18"/>
      <c r="L1761" s="19" t="str">
        <f aca="false">IF(A1761="","",G1761*K1761)</f>
        <v/>
      </c>
      <c r="M1761" s="20"/>
      <c r="N1761" s="6"/>
      <c r="O1761" s="6"/>
      <c r="P1761" s="5" t="str">
        <f aca="false">IF(A1761="","",H1761/90)</f>
        <v/>
      </c>
      <c r="Q1761" s="5" t="str">
        <f aca="false">IF(A1761="","",IFERROR(INDEX(Parâmetros!$C$6:$C$10,MATCH(F1761,Parâmetros!$B$6:$B$10,0)),""))</f>
        <v/>
      </c>
      <c r="R1761" s="5" t="str">
        <f aca="false">IF(OR(A1761="",P1761="",Q1761=""),"",P1761*Q1761)</f>
        <v/>
      </c>
      <c r="S1761" s="5" t="str">
        <f aca="false">IF(R1761="","",MAX(0,R1761-G1761))</f>
        <v/>
      </c>
      <c r="T1761" s="21" t="str">
        <f aca="false">IF(S1761="","",S1761*K1761)</f>
        <v/>
      </c>
      <c r="U1761" s="5" t="str">
        <f aca="false">IF(A1761="","",IF(J1761&gt;Parâmetros!$C$14,"SIM","NAO"))</f>
        <v/>
      </c>
      <c r="V1761" s="5" t="str">
        <f aca="false">IF(B1761="","",TRIM(LEFT(B1761,IFERROR(FIND(" ",B1761)-1,LEN(B1761)))))</f>
        <v/>
      </c>
      <c r="W1761" s="22"/>
      <c r="X1761" s="5" t="str">
        <f aca="false">IF(A1761="","",IF(W1761&lt;&gt;"",W1761,V1761))</f>
        <v/>
      </c>
      <c r="Y1761" s="5" t="str">
        <f aca="false">IF(A1761="","",IF(COUNTIFS($X$2:$X$2001,X1761,$D$2:$D$2001,"&lt;&gt;"&amp;D1761,$C$2:$C$2001,C1761)&gt;0,"SIM","NAO"))</f>
        <v/>
      </c>
      <c r="Z1761" s="5" t="str">
        <f aca="false">IF(A1761="","",IF(J1761="","",IFERROR(360/J1761,"")))</f>
        <v/>
      </c>
      <c r="AA1761" s="5" t="str">
        <f aca="false">IF(A1761="","",IF(H1761=0,"Parado (sem venda 90d)",IF(Z1761&gt;12,"Alto (&gt;12x/ano)",IF(Z1761&gt;=4,"Medio (4-12x/ano)","Baixo (&lt;4x/ano)"))))</f>
        <v/>
      </c>
    </row>
    <row r="1762" customFormat="false" ht="15" hidden="false" customHeight="true" outlineLevel="0" collapsed="false">
      <c r="A1762" s="6"/>
      <c r="B1762" s="6"/>
      <c r="C1762" s="6"/>
      <c r="D1762" s="6"/>
      <c r="E1762" s="6"/>
      <c r="F1762" s="6"/>
      <c r="G1762" s="6"/>
      <c r="H1762" s="6"/>
      <c r="I1762" s="6"/>
      <c r="J1762" s="6"/>
      <c r="K1762" s="18"/>
      <c r="L1762" s="19" t="str">
        <f aca="false">IF(A1762="","",G1762*K1762)</f>
        <v/>
      </c>
      <c r="M1762" s="20"/>
      <c r="N1762" s="6"/>
      <c r="O1762" s="6"/>
      <c r="P1762" s="5" t="str">
        <f aca="false">IF(A1762="","",H1762/90)</f>
        <v/>
      </c>
      <c r="Q1762" s="5" t="str">
        <f aca="false">IF(A1762="","",IFERROR(INDEX(Parâmetros!$C$6:$C$10,MATCH(F1762,Parâmetros!$B$6:$B$10,0)),""))</f>
        <v/>
      </c>
      <c r="R1762" s="5" t="str">
        <f aca="false">IF(OR(A1762="",P1762="",Q1762=""),"",P1762*Q1762)</f>
        <v/>
      </c>
      <c r="S1762" s="5" t="str">
        <f aca="false">IF(R1762="","",MAX(0,R1762-G1762))</f>
        <v/>
      </c>
      <c r="T1762" s="21" t="str">
        <f aca="false">IF(S1762="","",S1762*K1762)</f>
        <v/>
      </c>
      <c r="U1762" s="5" t="str">
        <f aca="false">IF(A1762="","",IF(J1762&gt;Parâmetros!$C$14,"SIM","NAO"))</f>
        <v/>
      </c>
      <c r="V1762" s="5" t="str">
        <f aca="false">IF(B1762="","",TRIM(LEFT(B1762,IFERROR(FIND(" ",B1762)-1,LEN(B1762)))))</f>
        <v/>
      </c>
      <c r="W1762" s="22"/>
      <c r="X1762" s="5" t="str">
        <f aca="false">IF(A1762="","",IF(W1762&lt;&gt;"",W1762,V1762))</f>
        <v/>
      </c>
      <c r="Y1762" s="5" t="str">
        <f aca="false">IF(A1762="","",IF(COUNTIFS($X$2:$X$2001,X1762,$D$2:$D$2001,"&lt;&gt;"&amp;D1762,$C$2:$C$2001,C1762)&gt;0,"SIM","NAO"))</f>
        <v/>
      </c>
      <c r="Z1762" s="5" t="str">
        <f aca="false">IF(A1762="","",IF(J1762="","",IFERROR(360/J1762,"")))</f>
        <v/>
      </c>
      <c r="AA1762" s="5" t="str">
        <f aca="false">IF(A1762="","",IF(H1762=0,"Parado (sem venda 90d)",IF(Z1762&gt;12,"Alto (&gt;12x/ano)",IF(Z1762&gt;=4,"Medio (4-12x/ano)","Baixo (&lt;4x/ano)"))))</f>
        <v/>
      </c>
    </row>
    <row r="1763" customFormat="false" ht="15" hidden="false" customHeight="true" outlineLevel="0" collapsed="false">
      <c r="A1763" s="6"/>
      <c r="B1763" s="6"/>
      <c r="C1763" s="6"/>
      <c r="D1763" s="6"/>
      <c r="E1763" s="6"/>
      <c r="F1763" s="6"/>
      <c r="G1763" s="6"/>
      <c r="H1763" s="6"/>
      <c r="I1763" s="6"/>
      <c r="J1763" s="6"/>
      <c r="K1763" s="18"/>
      <c r="L1763" s="19" t="str">
        <f aca="false">IF(A1763="","",G1763*K1763)</f>
        <v/>
      </c>
      <c r="M1763" s="20"/>
      <c r="N1763" s="6"/>
      <c r="O1763" s="6"/>
      <c r="P1763" s="5" t="str">
        <f aca="false">IF(A1763="","",H1763/90)</f>
        <v/>
      </c>
      <c r="Q1763" s="5" t="str">
        <f aca="false">IF(A1763="","",IFERROR(INDEX(Parâmetros!$C$6:$C$10,MATCH(F1763,Parâmetros!$B$6:$B$10,0)),""))</f>
        <v/>
      </c>
      <c r="R1763" s="5" t="str">
        <f aca="false">IF(OR(A1763="",P1763="",Q1763=""),"",P1763*Q1763)</f>
        <v/>
      </c>
      <c r="S1763" s="5" t="str">
        <f aca="false">IF(R1763="","",MAX(0,R1763-G1763))</f>
        <v/>
      </c>
      <c r="T1763" s="21" t="str">
        <f aca="false">IF(S1763="","",S1763*K1763)</f>
        <v/>
      </c>
      <c r="U1763" s="5" t="str">
        <f aca="false">IF(A1763="","",IF(J1763&gt;Parâmetros!$C$14,"SIM","NAO"))</f>
        <v/>
      </c>
      <c r="V1763" s="5" t="str">
        <f aca="false">IF(B1763="","",TRIM(LEFT(B1763,IFERROR(FIND(" ",B1763)-1,LEN(B1763)))))</f>
        <v/>
      </c>
      <c r="W1763" s="22"/>
      <c r="X1763" s="5" t="str">
        <f aca="false">IF(A1763="","",IF(W1763&lt;&gt;"",W1763,V1763))</f>
        <v/>
      </c>
      <c r="Y1763" s="5" t="str">
        <f aca="false">IF(A1763="","",IF(COUNTIFS($X$2:$X$2001,X1763,$D$2:$D$2001,"&lt;&gt;"&amp;D1763,$C$2:$C$2001,C1763)&gt;0,"SIM","NAO"))</f>
        <v/>
      </c>
      <c r="Z1763" s="5" t="str">
        <f aca="false">IF(A1763="","",IF(J1763="","",IFERROR(360/J1763,"")))</f>
        <v/>
      </c>
      <c r="AA1763" s="5" t="str">
        <f aca="false">IF(A1763="","",IF(H1763=0,"Parado (sem venda 90d)",IF(Z1763&gt;12,"Alto (&gt;12x/ano)",IF(Z1763&gt;=4,"Medio (4-12x/ano)","Baixo (&lt;4x/ano)"))))</f>
        <v/>
      </c>
    </row>
    <row r="1764" customFormat="false" ht="15" hidden="false" customHeight="true" outlineLevel="0" collapsed="false">
      <c r="A1764" s="6"/>
      <c r="B1764" s="6"/>
      <c r="C1764" s="6"/>
      <c r="D1764" s="6"/>
      <c r="E1764" s="6"/>
      <c r="F1764" s="6"/>
      <c r="G1764" s="6"/>
      <c r="H1764" s="6"/>
      <c r="I1764" s="6"/>
      <c r="J1764" s="6"/>
      <c r="K1764" s="18"/>
      <c r="L1764" s="19" t="str">
        <f aca="false">IF(A1764="","",G1764*K1764)</f>
        <v/>
      </c>
      <c r="M1764" s="20"/>
      <c r="N1764" s="6"/>
      <c r="O1764" s="6"/>
      <c r="P1764" s="5" t="str">
        <f aca="false">IF(A1764="","",H1764/90)</f>
        <v/>
      </c>
      <c r="Q1764" s="5" t="str">
        <f aca="false">IF(A1764="","",IFERROR(INDEX(Parâmetros!$C$6:$C$10,MATCH(F1764,Parâmetros!$B$6:$B$10,0)),""))</f>
        <v/>
      </c>
      <c r="R1764" s="5" t="str">
        <f aca="false">IF(OR(A1764="",P1764="",Q1764=""),"",P1764*Q1764)</f>
        <v/>
      </c>
      <c r="S1764" s="5" t="str">
        <f aca="false">IF(R1764="","",MAX(0,R1764-G1764))</f>
        <v/>
      </c>
      <c r="T1764" s="21" t="str">
        <f aca="false">IF(S1764="","",S1764*K1764)</f>
        <v/>
      </c>
      <c r="U1764" s="5" t="str">
        <f aca="false">IF(A1764="","",IF(J1764&gt;Parâmetros!$C$14,"SIM","NAO"))</f>
        <v/>
      </c>
      <c r="V1764" s="5" t="str">
        <f aca="false">IF(B1764="","",TRIM(LEFT(B1764,IFERROR(FIND(" ",B1764)-1,LEN(B1764)))))</f>
        <v/>
      </c>
      <c r="W1764" s="22"/>
      <c r="X1764" s="5" t="str">
        <f aca="false">IF(A1764="","",IF(W1764&lt;&gt;"",W1764,V1764))</f>
        <v/>
      </c>
      <c r="Y1764" s="5" t="str">
        <f aca="false">IF(A1764="","",IF(COUNTIFS($X$2:$X$2001,X1764,$D$2:$D$2001,"&lt;&gt;"&amp;D1764,$C$2:$C$2001,C1764)&gt;0,"SIM","NAO"))</f>
        <v/>
      </c>
      <c r="Z1764" s="5" t="str">
        <f aca="false">IF(A1764="","",IF(J1764="","",IFERROR(360/J1764,"")))</f>
        <v/>
      </c>
      <c r="AA1764" s="5" t="str">
        <f aca="false">IF(A1764="","",IF(H1764=0,"Parado (sem venda 90d)",IF(Z1764&gt;12,"Alto (&gt;12x/ano)",IF(Z1764&gt;=4,"Medio (4-12x/ano)","Baixo (&lt;4x/ano)"))))</f>
        <v/>
      </c>
    </row>
    <row r="1765" customFormat="false" ht="15" hidden="false" customHeight="true" outlineLevel="0" collapsed="false">
      <c r="A1765" s="6"/>
      <c r="B1765" s="6"/>
      <c r="C1765" s="6"/>
      <c r="D1765" s="6"/>
      <c r="E1765" s="6"/>
      <c r="F1765" s="6"/>
      <c r="G1765" s="6"/>
      <c r="H1765" s="6"/>
      <c r="I1765" s="6"/>
      <c r="J1765" s="6"/>
      <c r="K1765" s="18"/>
      <c r="L1765" s="19" t="str">
        <f aca="false">IF(A1765="","",G1765*K1765)</f>
        <v/>
      </c>
      <c r="M1765" s="20"/>
      <c r="N1765" s="6"/>
      <c r="O1765" s="6"/>
      <c r="P1765" s="5" t="str">
        <f aca="false">IF(A1765="","",H1765/90)</f>
        <v/>
      </c>
      <c r="Q1765" s="5" t="str">
        <f aca="false">IF(A1765="","",IFERROR(INDEX(Parâmetros!$C$6:$C$10,MATCH(F1765,Parâmetros!$B$6:$B$10,0)),""))</f>
        <v/>
      </c>
      <c r="R1765" s="5" t="str">
        <f aca="false">IF(OR(A1765="",P1765="",Q1765=""),"",P1765*Q1765)</f>
        <v/>
      </c>
      <c r="S1765" s="5" t="str">
        <f aca="false">IF(R1765="","",MAX(0,R1765-G1765))</f>
        <v/>
      </c>
      <c r="T1765" s="21" t="str">
        <f aca="false">IF(S1765="","",S1765*K1765)</f>
        <v/>
      </c>
      <c r="U1765" s="5" t="str">
        <f aca="false">IF(A1765="","",IF(J1765&gt;Parâmetros!$C$14,"SIM","NAO"))</f>
        <v/>
      </c>
      <c r="V1765" s="5" t="str">
        <f aca="false">IF(B1765="","",TRIM(LEFT(B1765,IFERROR(FIND(" ",B1765)-1,LEN(B1765)))))</f>
        <v/>
      </c>
      <c r="W1765" s="22"/>
      <c r="X1765" s="5" t="str">
        <f aca="false">IF(A1765="","",IF(W1765&lt;&gt;"",W1765,V1765))</f>
        <v/>
      </c>
      <c r="Y1765" s="5" t="str">
        <f aca="false">IF(A1765="","",IF(COUNTIFS($X$2:$X$2001,X1765,$D$2:$D$2001,"&lt;&gt;"&amp;D1765,$C$2:$C$2001,C1765)&gt;0,"SIM","NAO"))</f>
        <v/>
      </c>
      <c r="Z1765" s="5" t="str">
        <f aca="false">IF(A1765="","",IF(J1765="","",IFERROR(360/J1765,"")))</f>
        <v/>
      </c>
      <c r="AA1765" s="5" t="str">
        <f aca="false">IF(A1765="","",IF(H1765=0,"Parado (sem venda 90d)",IF(Z1765&gt;12,"Alto (&gt;12x/ano)",IF(Z1765&gt;=4,"Medio (4-12x/ano)","Baixo (&lt;4x/ano)"))))</f>
        <v/>
      </c>
    </row>
    <row r="1766" customFormat="false" ht="15" hidden="false" customHeight="true" outlineLevel="0" collapsed="false">
      <c r="A1766" s="6"/>
      <c r="B1766" s="6"/>
      <c r="C1766" s="6"/>
      <c r="D1766" s="6"/>
      <c r="E1766" s="6"/>
      <c r="F1766" s="6"/>
      <c r="G1766" s="6"/>
      <c r="H1766" s="6"/>
      <c r="I1766" s="6"/>
      <c r="J1766" s="6"/>
      <c r="K1766" s="18"/>
      <c r="L1766" s="19" t="str">
        <f aca="false">IF(A1766="","",G1766*K1766)</f>
        <v/>
      </c>
      <c r="M1766" s="20"/>
      <c r="N1766" s="6"/>
      <c r="O1766" s="6"/>
      <c r="P1766" s="5" t="str">
        <f aca="false">IF(A1766="","",H1766/90)</f>
        <v/>
      </c>
      <c r="Q1766" s="5" t="str">
        <f aca="false">IF(A1766="","",IFERROR(INDEX(Parâmetros!$C$6:$C$10,MATCH(F1766,Parâmetros!$B$6:$B$10,0)),""))</f>
        <v/>
      </c>
      <c r="R1766" s="5" t="str">
        <f aca="false">IF(OR(A1766="",P1766="",Q1766=""),"",P1766*Q1766)</f>
        <v/>
      </c>
      <c r="S1766" s="5" t="str">
        <f aca="false">IF(R1766="","",MAX(0,R1766-G1766))</f>
        <v/>
      </c>
      <c r="T1766" s="21" t="str">
        <f aca="false">IF(S1766="","",S1766*K1766)</f>
        <v/>
      </c>
      <c r="U1766" s="5" t="str">
        <f aca="false">IF(A1766="","",IF(J1766&gt;Parâmetros!$C$14,"SIM","NAO"))</f>
        <v/>
      </c>
      <c r="V1766" s="5" t="str">
        <f aca="false">IF(B1766="","",TRIM(LEFT(B1766,IFERROR(FIND(" ",B1766)-1,LEN(B1766)))))</f>
        <v/>
      </c>
      <c r="W1766" s="22"/>
      <c r="X1766" s="5" t="str">
        <f aca="false">IF(A1766="","",IF(W1766&lt;&gt;"",W1766,V1766))</f>
        <v/>
      </c>
      <c r="Y1766" s="5" t="str">
        <f aca="false">IF(A1766="","",IF(COUNTIFS($X$2:$X$2001,X1766,$D$2:$D$2001,"&lt;&gt;"&amp;D1766,$C$2:$C$2001,C1766)&gt;0,"SIM","NAO"))</f>
        <v/>
      </c>
      <c r="Z1766" s="5" t="str">
        <f aca="false">IF(A1766="","",IF(J1766="","",IFERROR(360/J1766,"")))</f>
        <v/>
      </c>
      <c r="AA1766" s="5" t="str">
        <f aca="false">IF(A1766="","",IF(H1766=0,"Parado (sem venda 90d)",IF(Z1766&gt;12,"Alto (&gt;12x/ano)",IF(Z1766&gt;=4,"Medio (4-12x/ano)","Baixo (&lt;4x/ano)"))))</f>
        <v/>
      </c>
    </row>
    <row r="1767" customFormat="false" ht="15" hidden="false" customHeight="true" outlineLevel="0" collapsed="false">
      <c r="A1767" s="6"/>
      <c r="B1767" s="6"/>
      <c r="C1767" s="6"/>
      <c r="D1767" s="6"/>
      <c r="E1767" s="6"/>
      <c r="F1767" s="6"/>
      <c r="G1767" s="6"/>
      <c r="H1767" s="6"/>
      <c r="I1767" s="6"/>
      <c r="J1767" s="6"/>
      <c r="K1767" s="18"/>
      <c r="L1767" s="19" t="str">
        <f aca="false">IF(A1767="","",G1767*K1767)</f>
        <v/>
      </c>
      <c r="M1767" s="20"/>
      <c r="N1767" s="6"/>
      <c r="O1767" s="6"/>
      <c r="P1767" s="5" t="str">
        <f aca="false">IF(A1767="","",H1767/90)</f>
        <v/>
      </c>
      <c r="Q1767" s="5" t="str">
        <f aca="false">IF(A1767="","",IFERROR(INDEX(Parâmetros!$C$6:$C$10,MATCH(F1767,Parâmetros!$B$6:$B$10,0)),""))</f>
        <v/>
      </c>
      <c r="R1767" s="5" t="str">
        <f aca="false">IF(OR(A1767="",P1767="",Q1767=""),"",P1767*Q1767)</f>
        <v/>
      </c>
      <c r="S1767" s="5" t="str">
        <f aca="false">IF(R1767="","",MAX(0,R1767-G1767))</f>
        <v/>
      </c>
      <c r="T1767" s="21" t="str">
        <f aca="false">IF(S1767="","",S1767*K1767)</f>
        <v/>
      </c>
      <c r="U1767" s="5" t="str">
        <f aca="false">IF(A1767="","",IF(J1767&gt;Parâmetros!$C$14,"SIM","NAO"))</f>
        <v/>
      </c>
      <c r="V1767" s="5" t="str">
        <f aca="false">IF(B1767="","",TRIM(LEFT(B1767,IFERROR(FIND(" ",B1767)-1,LEN(B1767)))))</f>
        <v/>
      </c>
      <c r="W1767" s="22"/>
      <c r="X1767" s="5" t="str">
        <f aca="false">IF(A1767="","",IF(W1767&lt;&gt;"",W1767,V1767))</f>
        <v/>
      </c>
      <c r="Y1767" s="5" t="str">
        <f aca="false">IF(A1767="","",IF(COUNTIFS($X$2:$X$2001,X1767,$D$2:$D$2001,"&lt;&gt;"&amp;D1767,$C$2:$C$2001,C1767)&gt;0,"SIM","NAO"))</f>
        <v/>
      </c>
      <c r="Z1767" s="5" t="str">
        <f aca="false">IF(A1767="","",IF(J1767="","",IFERROR(360/J1767,"")))</f>
        <v/>
      </c>
      <c r="AA1767" s="5" t="str">
        <f aca="false">IF(A1767="","",IF(H1767=0,"Parado (sem venda 90d)",IF(Z1767&gt;12,"Alto (&gt;12x/ano)",IF(Z1767&gt;=4,"Medio (4-12x/ano)","Baixo (&lt;4x/ano)"))))</f>
        <v/>
      </c>
    </row>
    <row r="1768" customFormat="false" ht="15" hidden="false" customHeight="true" outlineLevel="0" collapsed="false">
      <c r="A1768" s="6"/>
      <c r="B1768" s="6"/>
      <c r="C1768" s="6"/>
      <c r="D1768" s="6"/>
      <c r="E1768" s="6"/>
      <c r="F1768" s="6"/>
      <c r="G1768" s="6"/>
      <c r="H1768" s="6"/>
      <c r="I1768" s="6"/>
      <c r="J1768" s="6"/>
      <c r="K1768" s="18"/>
      <c r="L1768" s="19" t="str">
        <f aca="false">IF(A1768="","",G1768*K1768)</f>
        <v/>
      </c>
      <c r="M1768" s="20"/>
      <c r="N1768" s="6"/>
      <c r="O1768" s="6"/>
      <c r="P1768" s="5" t="str">
        <f aca="false">IF(A1768="","",H1768/90)</f>
        <v/>
      </c>
      <c r="Q1768" s="5" t="str">
        <f aca="false">IF(A1768="","",IFERROR(INDEX(Parâmetros!$C$6:$C$10,MATCH(F1768,Parâmetros!$B$6:$B$10,0)),""))</f>
        <v/>
      </c>
      <c r="R1768" s="5" t="str">
        <f aca="false">IF(OR(A1768="",P1768="",Q1768=""),"",P1768*Q1768)</f>
        <v/>
      </c>
      <c r="S1768" s="5" t="str">
        <f aca="false">IF(R1768="","",MAX(0,R1768-G1768))</f>
        <v/>
      </c>
      <c r="T1768" s="21" t="str">
        <f aca="false">IF(S1768="","",S1768*K1768)</f>
        <v/>
      </c>
      <c r="U1768" s="5" t="str">
        <f aca="false">IF(A1768="","",IF(J1768&gt;Parâmetros!$C$14,"SIM","NAO"))</f>
        <v/>
      </c>
      <c r="V1768" s="5" t="str">
        <f aca="false">IF(B1768="","",TRIM(LEFT(B1768,IFERROR(FIND(" ",B1768)-1,LEN(B1768)))))</f>
        <v/>
      </c>
      <c r="W1768" s="22"/>
      <c r="X1768" s="5" t="str">
        <f aca="false">IF(A1768="","",IF(W1768&lt;&gt;"",W1768,V1768))</f>
        <v/>
      </c>
      <c r="Y1768" s="5" t="str">
        <f aca="false">IF(A1768="","",IF(COUNTIFS($X$2:$X$2001,X1768,$D$2:$D$2001,"&lt;&gt;"&amp;D1768,$C$2:$C$2001,C1768)&gt;0,"SIM","NAO"))</f>
        <v/>
      </c>
      <c r="Z1768" s="5" t="str">
        <f aca="false">IF(A1768="","",IF(J1768="","",IFERROR(360/J1768,"")))</f>
        <v/>
      </c>
      <c r="AA1768" s="5" t="str">
        <f aca="false">IF(A1768="","",IF(H1768=0,"Parado (sem venda 90d)",IF(Z1768&gt;12,"Alto (&gt;12x/ano)",IF(Z1768&gt;=4,"Medio (4-12x/ano)","Baixo (&lt;4x/ano)"))))</f>
        <v/>
      </c>
    </row>
    <row r="1769" customFormat="false" ht="15" hidden="false" customHeight="true" outlineLevel="0" collapsed="false">
      <c r="A1769" s="6"/>
      <c r="B1769" s="6"/>
      <c r="C1769" s="6"/>
      <c r="D1769" s="6"/>
      <c r="E1769" s="6"/>
      <c r="F1769" s="6"/>
      <c r="G1769" s="6"/>
      <c r="H1769" s="6"/>
      <c r="I1769" s="6"/>
      <c r="J1769" s="6"/>
      <c r="K1769" s="18"/>
      <c r="L1769" s="19" t="str">
        <f aca="false">IF(A1769="","",G1769*K1769)</f>
        <v/>
      </c>
      <c r="M1769" s="20"/>
      <c r="N1769" s="6"/>
      <c r="O1769" s="6"/>
      <c r="P1769" s="5" t="str">
        <f aca="false">IF(A1769="","",H1769/90)</f>
        <v/>
      </c>
      <c r="Q1769" s="5" t="str">
        <f aca="false">IF(A1769="","",IFERROR(INDEX(Parâmetros!$C$6:$C$10,MATCH(F1769,Parâmetros!$B$6:$B$10,0)),""))</f>
        <v/>
      </c>
      <c r="R1769" s="5" t="str">
        <f aca="false">IF(OR(A1769="",P1769="",Q1769=""),"",P1769*Q1769)</f>
        <v/>
      </c>
      <c r="S1769" s="5" t="str">
        <f aca="false">IF(R1769="","",MAX(0,R1769-G1769))</f>
        <v/>
      </c>
      <c r="T1769" s="21" t="str">
        <f aca="false">IF(S1769="","",S1769*K1769)</f>
        <v/>
      </c>
      <c r="U1769" s="5" t="str">
        <f aca="false">IF(A1769="","",IF(J1769&gt;Parâmetros!$C$14,"SIM","NAO"))</f>
        <v/>
      </c>
      <c r="V1769" s="5" t="str">
        <f aca="false">IF(B1769="","",TRIM(LEFT(B1769,IFERROR(FIND(" ",B1769)-1,LEN(B1769)))))</f>
        <v/>
      </c>
      <c r="W1769" s="22"/>
      <c r="X1769" s="5" t="str">
        <f aca="false">IF(A1769="","",IF(W1769&lt;&gt;"",W1769,V1769))</f>
        <v/>
      </c>
      <c r="Y1769" s="5" t="str">
        <f aca="false">IF(A1769="","",IF(COUNTIFS($X$2:$X$2001,X1769,$D$2:$D$2001,"&lt;&gt;"&amp;D1769,$C$2:$C$2001,C1769)&gt;0,"SIM","NAO"))</f>
        <v/>
      </c>
      <c r="Z1769" s="5" t="str">
        <f aca="false">IF(A1769="","",IF(J1769="","",IFERROR(360/J1769,"")))</f>
        <v/>
      </c>
      <c r="AA1769" s="5" t="str">
        <f aca="false">IF(A1769="","",IF(H1769=0,"Parado (sem venda 90d)",IF(Z1769&gt;12,"Alto (&gt;12x/ano)",IF(Z1769&gt;=4,"Medio (4-12x/ano)","Baixo (&lt;4x/ano)"))))</f>
        <v/>
      </c>
    </row>
    <row r="1770" customFormat="false" ht="15" hidden="false" customHeight="true" outlineLevel="0" collapsed="false">
      <c r="A1770" s="6"/>
      <c r="B1770" s="6"/>
      <c r="C1770" s="6"/>
      <c r="D1770" s="6"/>
      <c r="E1770" s="6"/>
      <c r="F1770" s="6"/>
      <c r="G1770" s="6"/>
      <c r="H1770" s="6"/>
      <c r="I1770" s="6"/>
      <c r="J1770" s="6"/>
      <c r="K1770" s="18"/>
      <c r="L1770" s="19" t="str">
        <f aca="false">IF(A1770="","",G1770*K1770)</f>
        <v/>
      </c>
      <c r="M1770" s="20"/>
      <c r="N1770" s="6"/>
      <c r="O1770" s="6"/>
      <c r="P1770" s="5" t="str">
        <f aca="false">IF(A1770="","",H1770/90)</f>
        <v/>
      </c>
      <c r="Q1770" s="5" t="str">
        <f aca="false">IF(A1770="","",IFERROR(INDEX(Parâmetros!$C$6:$C$10,MATCH(F1770,Parâmetros!$B$6:$B$10,0)),""))</f>
        <v/>
      </c>
      <c r="R1770" s="5" t="str">
        <f aca="false">IF(OR(A1770="",P1770="",Q1770=""),"",P1770*Q1770)</f>
        <v/>
      </c>
      <c r="S1770" s="5" t="str">
        <f aca="false">IF(R1770="","",MAX(0,R1770-G1770))</f>
        <v/>
      </c>
      <c r="T1770" s="21" t="str">
        <f aca="false">IF(S1770="","",S1770*K1770)</f>
        <v/>
      </c>
      <c r="U1770" s="5" t="str">
        <f aca="false">IF(A1770="","",IF(J1770&gt;Parâmetros!$C$14,"SIM","NAO"))</f>
        <v/>
      </c>
      <c r="V1770" s="5" t="str">
        <f aca="false">IF(B1770="","",TRIM(LEFT(B1770,IFERROR(FIND(" ",B1770)-1,LEN(B1770)))))</f>
        <v/>
      </c>
      <c r="W1770" s="22"/>
      <c r="X1770" s="5" t="str">
        <f aca="false">IF(A1770="","",IF(W1770&lt;&gt;"",W1770,V1770))</f>
        <v/>
      </c>
      <c r="Y1770" s="5" t="str">
        <f aca="false">IF(A1770="","",IF(COUNTIFS($X$2:$X$2001,X1770,$D$2:$D$2001,"&lt;&gt;"&amp;D1770,$C$2:$C$2001,C1770)&gt;0,"SIM","NAO"))</f>
        <v/>
      </c>
      <c r="Z1770" s="5" t="str">
        <f aca="false">IF(A1770="","",IF(J1770="","",IFERROR(360/J1770,"")))</f>
        <v/>
      </c>
      <c r="AA1770" s="5" t="str">
        <f aca="false">IF(A1770="","",IF(H1770=0,"Parado (sem venda 90d)",IF(Z1770&gt;12,"Alto (&gt;12x/ano)",IF(Z1770&gt;=4,"Medio (4-12x/ano)","Baixo (&lt;4x/ano)"))))</f>
        <v/>
      </c>
    </row>
    <row r="1771" customFormat="false" ht="15" hidden="false" customHeight="true" outlineLevel="0" collapsed="false">
      <c r="A1771" s="6"/>
      <c r="B1771" s="6"/>
      <c r="C1771" s="6"/>
      <c r="D1771" s="6"/>
      <c r="E1771" s="6"/>
      <c r="F1771" s="6"/>
      <c r="G1771" s="6"/>
      <c r="H1771" s="6"/>
      <c r="I1771" s="6"/>
      <c r="J1771" s="6"/>
      <c r="K1771" s="18"/>
      <c r="L1771" s="19" t="str">
        <f aca="false">IF(A1771="","",G1771*K1771)</f>
        <v/>
      </c>
      <c r="M1771" s="20"/>
      <c r="N1771" s="6"/>
      <c r="O1771" s="6"/>
      <c r="P1771" s="5" t="str">
        <f aca="false">IF(A1771="","",H1771/90)</f>
        <v/>
      </c>
      <c r="Q1771" s="5" t="str">
        <f aca="false">IF(A1771="","",IFERROR(INDEX(Parâmetros!$C$6:$C$10,MATCH(F1771,Parâmetros!$B$6:$B$10,0)),""))</f>
        <v/>
      </c>
      <c r="R1771" s="5" t="str">
        <f aca="false">IF(OR(A1771="",P1771="",Q1771=""),"",P1771*Q1771)</f>
        <v/>
      </c>
      <c r="S1771" s="5" t="str">
        <f aca="false">IF(R1771="","",MAX(0,R1771-G1771))</f>
        <v/>
      </c>
      <c r="T1771" s="21" t="str">
        <f aca="false">IF(S1771="","",S1771*K1771)</f>
        <v/>
      </c>
      <c r="U1771" s="5" t="str">
        <f aca="false">IF(A1771="","",IF(J1771&gt;Parâmetros!$C$14,"SIM","NAO"))</f>
        <v/>
      </c>
      <c r="V1771" s="5" t="str">
        <f aca="false">IF(B1771="","",TRIM(LEFT(B1771,IFERROR(FIND(" ",B1771)-1,LEN(B1771)))))</f>
        <v/>
      </c>
      <c r="W1771" s="22"/>
      <c r="X1771" s="5" t="str">
        <f aca="false">IF(A1771="","",IF(W1771&lt;&gt;"",W1771,V1771))</f>
        <v/>
      </c>
      <c r="Y1771" s="5" t="str">
        <f aca="false">IF(A1771="","",IF(COUNTIFS($X$2:$X$2001,X1771,$D$2:$D$2001,"&lt;&gt;"&amp;D1771,$C$2:$C$2001,C1771)&gt;0,"SIM","NAO"))</f>
        <v/>
      </c>
      <c r="Z1771" s="5" t="str">
        <f aca="false">IF(A1771="","",IF(J1771="","",IFERROR(360/J1771,"")))</f>
        <v/>
      </c>
      <c r="AA1771" s="5" t="str">
        <f aca="false">IF(A1771="","",IF(H1771=0,"Parado (sem venda 90d)",IF(Z1771&gt;12,"Alto (&gt;12x/ano)",IF(Z1771&gt;=4,"Medio (4-12x/ano)","Baixo (&lt;4x/ano)"))))</f>
        <v/>
      </c>
    </row>
    <row r="1772" customFormat="false" ht="15" hidden="false" customHeight="true" outlineLevel="0" collapsed="false">
      <c r="A1772" s="6"/>
      <c r="B1772" s="6"/>
      <c r="C1772" s="6"/>
      <c r="D1772" s="6"/>
      <c r="E1772" s="6"/>
      <c r="F1772" s="6"/>
      <c r="G1772" s="6"/>
      <c r="H1772" s="6"/>
      <c r="I1772" s="6"/>
      <c r="J1772" s="6"/>
      <c r="K1772" s="18"/>
      <c r="L1772" s="19" t="str">
        <f aca="false">IF(A1772="","",G1772*K1772)</f>
        <v/>
      </c>
      <c r="M1772" s="20"/>
      <c r="N1772" s="6"/>
      <c r="O1772" s="6"/>
      <c r="P1772" s="5" t="str">
        <f aca="false">IF(A1772="","",H1772/90)</f>
        <v/>
      </c>
      <c r="Q1772" s="5" t="str">
        <f aca="false">IF(A1772="","",IFERROR(INDEX(Parâmetros!$C$6:$C$10,MATCH(F1772,Parâmetros!$B$6:$B$10,0)),""))</f>
        <v/>
      </c>
      <c r="R1772" s="5" t="str">
        <f aca="false">IF(OR(A1772="",P1772="",Q1772=""),"",P1772*Q1772)</f>
        <v/>
      </c>
      <c r="S1772" s="5" t="str">
        <f aca="false">IF(R1772="","",MAX(0,R1772-G1772))</f>
        <v/>
      </c>
      <c r="T1772" s="21" t="str">
        <f aca="false">IF(S1772="","",S1772*K1772)</f>
        <v/>
      </c>
      <c r="U1772" s="5" t="str">
        <f aca="false">IF(A1772="","",IF(J1772&gt;Parâmetros!$C$14,"SIM","NAO"))</f>
        <v/>
      </c>
      <c r="V1772" s="5" t="str">
        <f aca="false">IF(B1772="","",TRIM(LEFT(B1772,IFERROR(FIND(" ",B1772)-1,LEN(B1772)))))</f>
        <v/>
      </c>
      <c r="W1772" s="22"/>
      <c r="X1772" s="5" t="str">
        <f aca="false">IF(A1772="","",IF(W1772&lt;&gt;"",W1772,V1772))</f>
        <v/>
      </c>
      <c r="Y1772" s="5" t="str">
        <f aca="false">IF(A1772="","",IF(COUNTIFS($X$2:$X$2001,X1772,$D$2:$D$2001,"&lt;&gt;"&amp;D1772,$C$2:$C$2001,C1772)&gt;0,"SIM","NAO"))</f>
        <v/>
      </c>
      <c r="Z1772" s="5" t="str">
        <f aca="false">IF(A1772="","",IF(J1772="","",IFERROR(360/J1772,"")))</f>
        <v/>
      </c>
      <c r="AA1772" s="5" t="str">
        <f aca="false">IF(A1772="","",IF(H1772=0,"Parado (sem venda 90d)",IF(Z1772&gt;12,"Alto (&gt;12x/ano)",IF(Z1772&gt;=4,"Medio (4-12x/ano)","Baixo (&lt;4x/ano)"))))</f>
        <v/>
      </c>
    </row>
    <row r="1773" customFormat="false" ht="15" hidden="false" customHeight="true" outlineLevel="0" collapsed="false">
      <c r="A1773" s="6"/>
      <c r="B1773" s="6"/>
      <c r="C1773" s="6"/>
      <c r="D1773" s="6"/>
      <c r="E1773" s="6"/>
      <c r="F1773" s="6"/>
      <c r="G1773" s="6"/>
      <c r="H1773" s="6"/>
      <c r="I1773" s="6"/>
      <c r="J1773" s="6"/>
      <c r="K1773" s="18"/>
      <c r="L1773" s="19" t="str">
        <f aca="false">IF(A1773="","",G1773*K1773)</f>
        <v/>
      </c>
      <c r="M1773" s="20"/>
      <c r="N1773" s="6"/>
      <c r="O1773" s="6"/>
      <c r="P1773" s="5" t="str">
        <f aca="false">IF(A1773="","",H1773/90)</f>
        <v/>
      </c>
      <c r="Q1773" s="5" t="str">
        <f aca="false">IF(A1773="","",IFERROR(INDEX(Parâmetros!$C$6:$C$10,MATCH(F1773,Parâmetros!$B$6:$B$10,0)),""))</f>
        <v/>
      </c>
      <c r="R1773" s="5" t="str">
        <f aca="false">IF(OR(A1773="",P1773="",Q1773=""),"",P1773*Q1773)</f>
        <v/>
      </c>
      <c r="S1773" s="5" t="str">
        <f aca="false">IF(R1773="","",MAX(0,R1773-G1773))</f>
        <v/>
      </c>
      <c r="T1773" s="21" t="str">
        <f aca="false">IF(S1773="","",S1773*K1773)</f>
        <v/>
      </c>
      <c r="U1773" s="5" t="str">
        <f aca="false">IF(A1773="","",IF(J1773&gt;Parâmetros!$C$14,"SIM","NAO"))</f>
        <v/>
      </c>
      <c r="V1773" s="5" t="str">
        <f aca="false">IF(B1773="","",TRIM(LEFT(B1773,IFERROR(FIND(" ",B1773)-1,LEN(B1773)))))</f>
        <v/>
      </c>
      <c r="W1773" s="22"/>
      <c r="X1773" s="5" t="str">
        <f aca="false">IF(A1773="","",IF(W1773&lt;&gt;"",W1773,V1773))</f>
        <v/>
      </c>
      <c r="Y1773" s="5" t="str">
        <f aca="false">IF(A1773="","",IF(COUNTIFS($X$2:$X$2001,X1773,$D$2:$D$2001,"&lt;&gt;"&amp;D1773,$C$2:$C$2001,C1773)&gt;0,"SIM","NAO"))</f>
        <v/>
      </c>
      <c r="Z1773" s="5" t="str">
        <f aca="false">IF(A1773="","",IF(J1773="","",IFERROR(360/J1773,"")))</f>
        <v/>
      </c>
      <c r="AA1773" s="5" t="str">
        <f aca="false">IF(A1773="","",IF(H1773=0,"Parado (sem venda 90d)",IF(Z1773&gt;12,"Alto (&gt;12x/ano)",IF(Z1773&gt;=4,"Medio (4-12x/ano)","Baixo (&lt;4x/ano)"))))</f>
        <v/>
      </c>
    </row>
    <row r="1774" customFormat="false" ht="15" hidden="false" customHeight="true" outlineLevel="0" collapsed="false">
      <c r="A1774" s="6"/>
      <c r="B1774" s="6"/>
      <c r="C1774" s="6"/>
      <c r="D1774" s="6"/>
      <c r="E1774" s="6"/>
      <c r="F1774" s="6"/>
      <c r="G1774" s="6"/>
      <c r="H1774" s="6"/>
      <c r="I1774" s="6"/>
      <c r="J1774" s="6"/>
      <c r="K1774" s="18"/>
      <c r="L1774" s="19" t="str">
        <f aca="false">IF(A1774="","",G1774*K1774)</f>
        <v/>
      </c>
      <c r="M1774" s="20"/>
      <c r="N1774" s="6"/>
      <c r="O1774" s="6"/>
      <c r="P1774" s="5" t="str">
        <f aca="false">IF(A1774="","",H1774/90)</f>
        <v/>
      </c>
      <c r="Q1774" s="5" t="str">
        <f aca="false">IF(A1774="","",IFERROR(INDEX(Parâmetros!$C$6:$C$10,MATCH(F1774,Parâmetros!$B$6:$B$10,0)),""))</f>
        <v/>
      </c>
      <c r="R1774" s="5" t="str">
        <f aca="false">IF(OR(A1774="",P1774="",Q1774=""),"",P1774*Q1774)</f>
        <v/>
      </c>
      <c r="S1774" s="5" t="str">
        <f aca="false">IF(R1774="","",MAX(0,R1774-G1774))</f>
        <v/>
      </c>
      <c r="T1774" s="21" t="str">
        <f aca="false">IF(S1774="","",S1774*K1774)</f>
        <v/>
      </c>
      <c r="U1774" s="5" t="str">
        <f aca="false">IF(A1774="","",IF(J1774&gt;Parâmetros!$C$14,"SIM","NAO"))</f>
        <v/>
      </c>
      <c r="V1774" s="5" t="str">
        <f aca="false">IF(B1774="","",TRIM(LEFT(B1774,IFERROR(FIND(" ",B1774)-1,LEN(B1774)))))</f>
        <v/>
      </c>
      <c r="W1774" s="22"/>
      <c r="X1774" s="5" t="str">
        <f aca="false">IF(A1774="","",IF(W1774&lt;&gt;"",W1774,V1774))</f>
        <v/>
      </c>
      <c r="Y1774" s="5" t="str">
        <f aca="false">IF(A1774="","",IF(COUNTIFS($X$2:$X$2001,X1774,$D$2:$D$2001,"&lt;&gt;"&amp;D1774,$C$2:$C$2001,C1774)&gt;0,"SIM","NAO"))</f>
        <v/>
      </c>
      <c r="Z1774" s="5" t="str">
        <f aca="false">IF(A1774="","",IF(J1774="","",IFERROR(360/J1774,"")))</f>
        <v/>
      </c>
      <c r="AA1774" s="5" t="str">
        <f aca="false">IF(A1774="","",IF(H1774=0,"Parado (sem venda 90d)",IF(Z1774&gt;12,"Alto (&gt;12x/ano)",IF(Z1774&gt;=4,"Medio (4-12x/ano)","Baixo (&lt;4x/ano)"))))</f>
        <v/>
      </c>
    </row>
    <row r="1775" customFormat="false" ht="15" hidden="false" customHeight="true" outlineLevel="0" collapsed="false">
      <c r="A1775" s="6"/>
      <c r="B1775" s="6"/>
      <c r="C1775" s="6"/>
      <c r="D1775" s="6"/>
      <c r="E1775" s="6"/>
      <c r="F1775" s="6"/>
      <c r="G1775" s="6"/>
      <c r="H1775" s="6"/>
      <c r="I1775" s="6"/>
      <c r="J1775" s="6"/>
      <c r="K1775" s="18"/>
      <c r="L1775" s="19" t="str">
        <f aca="false">IF(A1775="","",G1775*K1775)</f>
        <v/>
      </c>
      <c r="M1775" s="20"/>
      <c r="N1775" s="6"/>
      <c r="O1775" s="6"/>
      <c r="P1775" s="5" t="str">
        <f aca="false">IF(A1775="","",H1775/90)</f>
        <v/>
      </c>
      <c r="Q1775" s="5" t="str">
        <f aca="false">IF(A1775="","",IFERROR(INDEX(Parâmetros!$C$6:$C$10,MATCH(F1775,Parâmetros!$B$6:$B$10,0)),""))</f>
        <v/>
      </c>
      <c r="R1775" s="5" t="str">
        <f aca="false">IF(OR(A1775="",P1775="",Q1775=""),"",P1775*Q1775)</f>
        <v/>
      </c>
      <c r="S1775" s="5" t="str">
        <f aca="false">IF(R1775="","",MAX(0,R1775-G1775))</f>
        <v/>
      </c>
      <c r="T1775" s="21" t="str">
        <f aca="false">IF(S1775="","",S1775*K1775)</f>
        <v/>
      </c>
      <c r="U1775" s="5" t="str">
        <f aca="false">IF(A1775="","",IF(J1775&gt;Parâmetros!$C$14,"SIM","NAO"))</f>
        <v/>
      </c>
      <c r="V1775" s="5" t="str">
        <f aca="false">IF(B1775="","",TRIM(LEFT(B1775,IFERROR(FIND(" ",B1775)-1,LEN(B1775)))))</f>
        <v/>
      </c>
      <c r="W1775" s="22"/>
      <c r="X1775" s="5" t="str">
        <f aca="false">IF(A1775="","",IF(W1775&lt;&gt;"",W1775,V1775))</f>
        <v/>
      </c>
      <c r="Y1775" s="5" t="str">
        <f aca="false">IF(A1775="","",IF(COUNTIFS($X$2:$X$2001,X1775,$D$2:$D$2001,"&lt;&gt;"&amp;D1775,$C$2:$C$2001,C1775)&gt;0,"SIM","NAO"))</f>
        <v/>
      </c>
      <c r="Z1775" s="5" t="str">
        <f aca="false">IF(A1775="","",IF(J1775="","",IFERROR(360/J1775,"")))</f>
        <v/>
      </c>
      <c r="AA1775" s="5" t="str">
        <f aca="false">IF(A1775="","",IF(H1775=0,"Parado (sem venda 90d)",IF(Z1775&gt;12,"Alto (&gt;12x/ano)",IF(Z1775&gt;=4,"Medio (4-12x/ano)","Baixo (&lt;4x/ano)"))))</f>
        <v/>
      </c>
    </row>
    <row r="1776" customFormat="false" ht="15" hidden="false" customHeight="true" outlineLevel="0" collapsed="false">
      <c r="A1776" s="6"/>
      <c r="B1776" s="6"/>
      <c r="C1776" s="6"/>
      <c r="D1776" s="6"/>
      <c r="E1776" s="6"/>
      <c r="F1776" s="6"/>
      <c r="G1776" s="6"/>
      <c r="H1776" s="6"/>
      <c r="I1776" s="6"/>
      <c r="J1776" s="6"/>
      <c r="K1776" s="18"/>
      <c r="L1776" s="19" t="str">
        <f aca="false">IF(A1776="","",G1776*K1776)</f>
        <v/>
      </c>
      <c r="M1776" s="20"/>
      <c r="N1776" s="6"/>
      <c r="O1776" s="6"/>
      <c r="P1776" s="5" t="str">
        <f aca="false">IF(A1776="","",H1776/90)</f>
        <v/>
      </c>
      <c r="Q1776" s="5" t="str">
        <f aca="false">IF(A1776="","",IFERROR(INDEX(Parâmetros!$C$6:$C$10,MATCH(F1776,Parâmetros!$B$6:$B$10,0)),""))</f>
        <v/>
      </c>
      <c r="R1776" s="5" t="str">
        <f aca="false">IF(OR(A1776="",P1776="",Q1776=""),"",P1776*Q1776)</f>
        <v/>
      </c>
      <c r="S1776" s="5" t="str">
        <f aca="false">IF(R1776="","",MAX(0,R1776-G1776))</f>
        <v/>
      </c>
      <c r="T1776" s="21" t="str">
        <f aca="false">IF(S1776="","",S1776*K1776)</f>
        <v/>
      </c>
      <c r="U1776" s="5" t="str">
        <f aca="false">IF(A1776="","",IF(J1776&gt;Parâmetros!$C$14,"SIM","NAO"))</f>
        <v/>
      </c>
      <c r="V1776" s="5" t="str">
        <f aca="false">IF(B1776="","",TRIM(LEFT(B1776,IFERROR(FIND(" ",B1776)-1,LEN(B1776)))))</f>
        <v/>
      </c>
      <c r="W1776" s="22"/>
      <c r="X1776" s="5" t="str">
        <f aca="false">IF(A1776="","",IF(W1776&lt;&gt;"",W1776,V1776))</f>
        <v/>
      </c>
      <c r="Y1776" s="5" t="str">
        <f aca="false">IF(A1776="","",IF(COUNTIFS($X$2:$X$2001,X1776,$D$2:$D$2001,"&lt;&gt;"&amp;D1776,$C$2:$C$2001,C1776)&gt;0,"SIM","NAO"))</f>
        <v/>
      </c>
      <c r="Z1776" s="5" t="str">
        <f aca="false">IF(A1776="","",IF(J1776="","",IFERROR(360/J1776,"")))</f>
        <v/>
      </c>
      <c r="AA1776" s="5" t="str">
        <f aca="false">IF(A1776="","",IF(H1776=0,"Parado (sem venda 90d)",IF(Z1776&gt;12,"Alto (&gt;12x/ano)",IF(Z1776&gt;=4,"Medio (4-12x/ano)","Baixo (&lt;4x/ano)"))))</f>
        <v/>
      </c>
    </row>
    <row r="1777" customFormat="false" ht="15" hidden="false" customHeight="true" outlineLevel="0" collapsed="false">
      <c r="A1777" s="6"/>
      <c r="B1777" s="6"/>
      <c r="C1777" s="6"/>
      <c r="D1777" s="6"/>
      <c r="E1777" s="6"/>
      <c r="F1777" s="6"/>
      <c r="G1777" s="6"/>
      <c r="H1777" s="6"/>
      <c r="I1777" s="6"/>
      <c r="J1777" s="6"/>
      <c r="K1777" s="18"/>
      <c r="L1777" s="19" t="str">
        <f aca="false">IF(A1777="","",G1777*K1777)</f>
        <v/>
      </c>
      <c r="M1777" s="20"/>
      <c r="N1777" s="6"/>
      <c r="O1777" s="6"/>
      <c r="P1777" s="5" t="str">
        <f aca="false">IF(A1777="","",H1777/90)</f>
        <v/>
      </c>
      <c r="Q1777" s="5" t="str">
        <f aca="false">IF(A1777="","",IFERROR(INDEX(Parâmetros!$C$6:$C$10,MATCH(F1777,Parâmetros!$B$6:$B$10,0)),""))</f>
        <v/>
      </c>
      <c r="R1777" s="5" t="str">
        <f aca="false">IF(OR(A1777="",P1777="",Q1777=""),"",P1777*Q1777)</f>
        <v/>
      </c>
      <c r="S1777" s="5" t="str">
        <f aca="false">IF(R1777="","",MAX(0,R1777-G1777))</f>
        <v/>
      </c>
      <c r="T1777" s="21" t="str">
        <f aca="false">IF(S1777="","",S1777*K1777)</f>
        <v/>
      </c>
      <c r="U1777" s="5" t="str">
        <f aca="false">IF(A1777="","",IF(J1777&gt;Parâmetros!$C$14,"SIM","NAO"))</f>
        <v/>
      </c>
      <c r="V1777" s="5" t="str">
        <f aca="false">IF(B1777="","",TRIM(LEFT(B1777,IFERROR(FIND(" ",B1777)-1,LEN(B1777)))))</f>
        <v/>
      </c>
      <c r="W1777" s="22"/>
      <c r="X1777" s="5" t="str">
        <f aca="false">IF(A1777="","",IF(W1777&lt;&gt;"",W1777,V1777))</f>
        <v/>
      </c>
      <c r="Y1777" s="5" t="str">
        <f aca="false">IF(A1777="","",IF(COUNTIFS($X$2:$X$2001,X1777,$D$2:$D$2001,"&lt;&gt;"&amp;D1777,$C$2:$C$2001,C1777)&gt;0,"SIM","NAO"))</f>
        <v/>
      </c>
      <c r="Z1777" s="5" t="str">
        <f aca="false">IF(A1777="","",IF(J1777="","",IFERROR(360/J1777,"")))</f>
        <v/>
      </c>
      <c r="AA1777" s="5" t="str">
        <f aca="false">IF(A1777="","",IF(H1777=0,"Parado (sem venda 90d)",IF(Z1777&gt;12,"Alto (&gt;12x/ano)",IF(Z1777&gt;=4,"Medio (4-12x/ano)","Baixo (&lt;4x/ano)"))))</f>
        <v/>
      </c>
    </row>
    <row r="1778" customFormat="false" ht="15" hidden="false" customHeight="true" outlineLevel="0" collapsed="false">
      <c r="A1778" s="6"/>
      <c r="B1778" s="6"/>
      <c r="C1778" s="6"/>
      <c r="D1778" s="6"/>
      <c r="E1778" s="6"/>
      <c r="F1778" s="6"/>
      <c r="G1778" s="6"/>
      <c r="H1778" s="6"/>
      <c r="I1778" s="6"/>
      <c r="J1778" s="6"/>
      <c r="K1778" s="18"/>
      <c r="L1778" s="19" t="str">
        <f aca="false">IF(A1778="","",G1778*K1778)</f>
        <v/>
      </c>
      <c r="M1778" s="20"/>
      <c r="N1778" s="6"/>
      <c r="O1778" s="6"/>
      <c r="P1778" s="5" t="str">
        <f aca="false">IF(A1778="","",H1778/90)</f>
        <v/>
      </c>
      <c r="Q1778" s="5" t="str">
        <f aca="false">IF(A1778="","",IFERROR(INDEX(Parâmetros!$C$6:$C$10,MATCH(F1778,Parâmetros!$B$6:$B$10,0)),""))</f>
        <v/>
      </c>
      <c r="R1778" s="5" t="str">
        <f aca="false">IF(OR(A1778="",P1778="",Q1778=""),"",P1778*Q1778)</f>
        <v/>
      </c>
      <c r="S1778" s="5" t="str">
        <f aca="false">IF(R1778="","",MAX(0,R1778-G1778))</f>
        <v/>
      </c>
      <c r="T1778" s="21" t="str">
        <f aca="false">IF(S1778="","",S1778*K1778)</f>
        <v/>
      </c>
      <c r="U1778" s="5" t="str">
        <f aca="false">IF(A1778="","",IF(J1778&gt;Parâmetros!$C$14,"SIM","NAO"))</f>
        <v/>
      </c>
      <c r="V1778" s="5" t="str">
        <f aca="false">IF(B1778="","",TRIM(LEFT(B1778,IFERROR(FIND(" ",B1778)-1,LEN(B1778)))))</f>
        <v/>
      </c>
      <c r="W1778" s="22"/>
      <c r="X1778" s="5" t="str">
        <f aca="false">IF(A1778="","",IF(W1778&lt;&gt;"",W1778,V1778))</f>
        <v/>
      </c>
      <c r="Y1778" s="5" t="str">
        <f aca="false">IF(A1778="","",IF(COUNTIFS($X$2:$X$2001,X1778,$D$2:$D$2001,"&lt;&gt;"&amp;D1778,$C$2:$C$2001,C1778)&gt;0,"SIM","NAO"))</f>
        <v/>
      </c>
      <c r="Z1778" s="5" t="str">
        <f aca="false">IF(A1778="","",IF(J1778="","",IFERROR(360/J1778,"")))</f>
        <v/>
      </c>
      <c r="AA1778" s="5" t="str">
        <f aca="false">IF(A1778="","",IF(H1778=0,"Parado (sem venda 90d)",IF(Z1778&gt;12,"Alto (&gt;12x/ano)",IF(Z1778&gt;=4,"Medio (4-12x/ano)","Baixo (&lt;4x/ano)"))))</f>
        <v/>
      </c>
    </row>
    <row r="1779" customFormat="false" ht="15" hidden="false" customHeight="true" outlineLevel="0" collapsed="false">
      <c r="A1779" s="6"/>
      <c r="B1779" s="6"/>
      <c r="C1779" s="6"/>
      <c r="D1779" s="6"/>
      <c r="E1779" s="6"/>
      <c r="F1779" s="6"/>
      <c r="G1779" s="6"/>
      <c r="H1779" s="6"/>
      <c r="I1779" s="6"/>
      <c r="J1779" s="6"/>
      <c r="K1779" s="18"/>
      <c r="L1779" s="19" t="str">
        <f aca="false">IF(A1779="","",G1779*K1779)</f>
        <v/>
      </c>
      <c r="M1779" s="20"/>
      <c r="N1779" s="6"/>
      <c r="O1779" s="6"/>
      <c r="P1779" s="5" t="str">
        <f aca="false">IF(A1779="","",H1779/90)</f>
        <v/>
      </c>
      <c r="Q1779" s="5" t="str">
        <f aca="false">IF(A1779="","",IFERROR(INDEX(Parâmetros!$C$6:$C$10,MATCH(F1779,Parâmetros!$B$6:$B$10,0)),""))</f>
        <v/>
      </c>
      <c r="R1779" s="5" t="str">
        <f aca="false">IF(OR(A1779="",P1779="",Q1779=""),"",P1779*Q1779)</f>
        <v/>
      </c>
      <c r="S1779" s="5" t="str">
        <f aca="false">IF(R1779="","",MAX(0,R1779-G1779))</f>
        <v/>
      </c>
      <c r="T1779" s="21" t="str">
        <f aca="false">IF(S1779="","",S1779*K1779)</f>
        <v/>
      </c>
      <c r="U1779" s="5" t="str">
        <f aca="false">IF(A1779="","",IF(J1779&gt;Parâmetros!$C$14,"SIM","NAO"))</f>
        <v/>
      </c>
      <c r="V1779" s="5" t="str">
        <f aca="false">IF(B1779="","",TRIM(LEFT(B1779,IFERROR(FIND(" ",B1779)-1,LEN(B1779)))))</f>
        <v/>
      </c>
      <c r="W1779" s="22"/>
      <c r="X1779" s="5" t="str">
        <f aca="false">IF(A1779="","",IF(W1779&lt;&gt;"",W1779,V1779))</f>
        <v/>
      </c>
      <c r="Y1779" s="5" t="str">
        <f aca="false">IF(A1779="","",IF(COUNTIFS($X$2:$X$2001,X1779,$D$2:$D$2001,"&lt;&gt;"&amp;D1779,$C$2:$C$2001,C1779)&gt;0,"SIM","NAO"))</f>
        <v/>
      </c>
      <c r="Z1779" s="5" t="str">
        <f aca="false">IF(A1779="","",IF(J1779="","",IFERROR(360/J1779,"")))</f>
        <v/>
      </c>
      <c r="AA1779" s="5" t="str">
        <f aca="false">IF(A1779="","",IF(H1779=0,"Parado (sem venda 90d)",IF(Z1779&gt;12,"Alto (&gt;12x/ano)",IF(Z1779&gt;=4,"Medio (4-12x/ano)","Baixo (&lt;4x/ano)"))))</f>
        <v/>
      </c>
    </row>
    <row r="1780" customFormat="false" ht="15" hidden="false" customHeight="true" outlineLevel="0" collapsed="false">
      <c r="A1780" s="6"/>
      <c r="B1780" s="6"/>
      <c r="C1780" s="6"/>
      <c r="D1780" s="6"/>
      <c r="E1780" s="6"/>
      <c r="F1780" s="6"/>
      <c r="G1780" s="6"/>
      <c r="H1780" s="6"/>
      <c r="I1780" s="6"/>
      <c r="J1780" s="6"/>
      <c r="K1780" s="18"/>
      <c r="L1780" s="19" t="str">
        <f aca="false">IF(A1780="","",G1780*K1780)</f>
        <v/>
      </c>
      <c r="M1780" s="20"/>
      <c r="N1780" s="6"/>
      <c r="O1780" s="6"/>
      <c r="P1780" s="5" t="str">
        <f aca="false">IF(A1780="","",H1780/90)</f>
        <v/>
      </c>
      <c r="Q1780" s="5" t="str">
        <f aca="false">IF(A1780="","",IFERROR(INDEX(Parâmetros!$C$6:$C$10,MATCH(F1780,Parâmetros!$B$6:$B$10,0)),""))</f>
        <v/>
      </c>
      <c r="R1780" s="5" t="str">
        <f aca="false">IF(OR(A1780="",P1780="",Q1780=""),"",P1780*Q1780)</f>
        <v/>
      </c>
      <c r="S1780" s="5" t="str">
        <f aca="false">IF(R1780="","",MAX(0,R1780-G1780))</f>
        <v/>
      </c>
      <c r="T1780" s="21" t="str">
        <f aca="false">IF(S1780="","",S1780*K1780)</f>
        <v/>
      </c>
      <c r="U1780" s="5" t="str">
        <f aca="false">IF(A1780="","",IF(J1780&gt;Parâmetros!$C$14,"SIM","NAO"))</f>
        <v/>
      </c>
      <c r="V1780" s="5" t="str">
        <f aca="false">IF(B1780="","",TRIM(LEFT(B1780,IFERROR(FIND(" ",B1780)-1,LEN(B1780)))))</f>
        <v/>
      </c>
      <c r="W1780" s="22"/>
      <c r="X1780" s="5" t="str">
        <f aca="false">IF(A1780="","",IF(W1780&lt;&gt;"",W1780,V1780))</f>
        <v/>
      </c>
      <c r="Y1780" s="5" t="str">
        <f aca="false">IF(A1780="","",IF(COUNTIFS($X$2:$X$2001,X1780,$D$2:$D$2001,"&lt;&gt;"&amp;D1780,$C$2:$C$2001,C1780)&gt;0,"SIM","NAO"))</f>
        <v/>
      </c>
      <c r="Z1780" s="5" t="str">
        <f aca="false">IF(A1780="","",IF(J1780="","",IFERROR(360/J1780,"")))</f>
        <v/>
      </c>
      <c r="AA1780" s="5" t="str">
        <f aca="false">IF(A1780="","",IF(H1780=0,"Parado (sem venda 90d)",IF(Z1780&gt;12,"Alto (&gt;12x/ano)",IF(Z1780&gt;=4,"Medio (4-12x/ano)","Baixo (&lt;4x/ano)"))))</f>
        <v/>
      </c>
    </row>
    <row r="1781" customFormat="false" ht="15" hidden="false" customHeight="true" outlineLevel="0" collapsed="false">
      <c r="A1781" s="6"/>
      <c r="B1781" s="6"/>
      <c r="C1781" s="6"/>
      <c r="D1781" s="6"/>
      <c r="E1781" s="6"/>
      <c r="F1781" s="6"/>
      <c r="G1781" s="6"/>
      <c r="H1781" s="6"/>
      <c r="I1781" s="6"/>
      <c r="J1781" s="6"/>
      <c r="K1781" s="18"/>
      <c r="L1781" s="19" t="str">
        <f aca="false">IF(A1781="","",G1781*K1781)</f>
        <v/>
      </c>
      <c r="M1781" s="20"/>
      <c r="N1781" s="6"/>
      <c r="O1781" s="6"/>
      <c r="P1781" s="5" t="str">
        <f aca="false">IF(A1781="","",H1781/90)</f>
        <v/>
      </c>
      <c r="Q1781" s="5" t="str">
        <f aca="false">IF(A1781="","",IFERROR(INDEX(Parâmetros!$C$6:$C$10,MATCH(F1781,Parâmetros!$B$6:$B$10,0)),""))</f>
        <v/>
      </c>
      <c r="R1781" s="5" t="str">
        <f aca="false">IF(OR(A1781="",P1781="",Q1781=""),"",P1781*Q1781)</f>
        <v/>
      </c>
      <c r="S1781" s="5" t="str">
        <f aca="false">IF(R1781="","",MAX(0,R1781-G1781))</f>
        <v/>
      </c>
      <c r="T1781" s="21" t="str">
        <f aca="false">IF(S1781="","",S1781*K1781)</f>
        <v/>
      </c>
      <c r="U1781" s="5" t="str">
        <f aca="false">IF(A1781="","",IF(J1781&gt;Parâmetros!$C$14,"SIM","NAO"))</f>
        <v/>
      </c>
      <c r="V1781" s="5" t="str">
        <f aca="false">IF(B1781="","",TRIM(LEFT(B1781,IFERROR(FIND(" ",B1781)-1,LEN(B1781)))))</f>
        <v/>
      </c>
      <c r="W1781" s="22"/>
      <c r="X1781" s="5" t="str">
        <f aca="false">IF(A1781="","",IF(W1781&lt;&gt;"",W1781,V1781))</f>
        <v/>
      </c>
      <c r="Y1781" s="5" t="str">
        <f aca="false">IF(A1781="","",IF(COUNTIFS($X$2:$X$2001,X1781,$D$2:$D$2001,"&lt;&gt;"&amp;D1781,$C$2:$C$2001,C1781)&gt;0,"SIM","NAO"))</f>
        <v/>
      </c>
      <c r="Z1781" s="5" t="str">
        <f aca="false">IF(A1781="","",IF(J1781="","",IFERROR(360/J1781,"")))</f>
        <v/>
      </c>
      <c r="AA1781" s="5" t="str">
        <f aca="false">IF(A1781="","",IF(H1781=0,"Parado (sem venda 90d)",IF(Z1781&gt;12,"Alto (&gt;12x/ano)",IF(Z1781&gt;=4,"Medio (4-12x/ano)","Baixo (&lt;4x/ano)"))))</f>
        <v/>
      </c>
    </row>
    <row r="1782" customFormat="false" ht="15" hidden="false" customHeight="true" outlineLevel="0" collapsed="false">
      <c r="A1782" s="6"/>
      <c r="B1782" s="6"/>
      <c r="C1782" s="6"/>
      <c r="D1782" s="6"/>
      <c r="E1782" s="6"/>
      <c r="F1782" s="6"/>
      <c r="G1782" s="6"/>
      <c r="H1782" s="6"/>
      <c r="I1782" s="6"/>
      <c r="J1782" s="6"/>
      <c r="K1782" s="18"/>
      <c r="L1782" s="19" t="str">
        <f aca="false">IF(A1782="","",G1782*K1782)</f>
        <v/>
      </c>
      <c r="M1782" s="20"/>
      <c r="N1782" s="6"/>
      <c r="O1782" s="6"/>
      <c r="P1782" s="5" t="str">
        <f aca="false">IF(A1782="","",H1782/90)</f>
        <v/>
      </c>
      <c r="Q1782" s="5" t="str">
        <f aca="false">IF(A1782="","",IFERROR(INDEX(Parâmetros!$C$6:$C$10,MATCH(F1782,Parâmetros!$B$6:$B$10,0)),""))</f>
        <v/>
      </c>
      <c r="R1782" s="5" t="str">
        <f aca="false">IF(OR(A1782="",P1782="",Q1782=""),"",P1782*Q1782)</f>
        <v/>
      </c>
      <c r="S1782" s="5" t="str">
        <f aca="false">IF(R1782="","",MAX(0,R1782-G1782))</f>
        <v/>
      </c>
      <c r="T1782" s="21" t="str">
        <f aca="false">IF(S1782="","",S1782*K1782)</f>
        <v/>
      </c>
      <c r="U1782" s="5" t="str">
        <f aca="false">IF(A1782="","",IF(J1782&gt;Parâmetros!$C$14,"SIM","NAO"))</f>
        <v/>
      </c>
      <c r="V1782" s="5" t="str">
        <f aca="false">IF(B1782="","",TRIM(LEFT(B1782,IFERROR(FIND(" ",B1782)-1,LEN(B1782)))))</f>
        <v/>
      </c>
      <c r="W1782" s="22"/>
      <c r="X1782" s="5" t="str">
        <f aca="false">IF(A1782="","",IF(W1782&lt;&gt;"",W1782,V1782))</f>
        <v/>
      </c>
      <c r="Y1782" s="5" t="str">
        <f aca="false">IF(A1782="","",IF(COUNTIFS($X$2:$X$2001,X1782,$D$2:$D$2001,"&lt;&gt;"&amp;D1782,$C$2:$C$2001,C1782)&gt;0,"SIM","NAO"))</f>
        <v/>
      </c>
      <c r="Z1782" s="5" t="str">
        <f aca="false">IF(A1782="","",IF(J1782="","",IFERROR(360/J1782,"")))</f>
        <v/>
      </c>
      <c r="AA1782" s="5" t="str">
        <f aca="false">IF(A1782="","",IF(H1782=0,"Parado (sem venda 90d)",IF(Z1782&gt;12,"Alto (&gt;12x/ano)",IF(Z1782&gt;=4,"Medio (4-12x/ano)","Baixo (&lt;4x/ano)"))))</f>
        <v/>
      </c>
    </row>
    <row r="1783" customFormat="false" ht="15" hidden="false" customHeight="true" outlineLevel="0" collapsed="false">
      <c r="A1783" s="6"/>
      <c r="B1783" s="6"/>
      <c r="C1783" s="6"/>
      <c r="D1783" s="6"/>
      <c r="E1783" s="6"/>
      <c r="F1783" s="6"/>
      <c r="G1783" s="6"/>
      <c r="H1783" s="6"/>
      <c r="I1783" s="6"/>
      <c r="J1783" s="6"/>
      <c r="K1783" s="18"/>
      <c r="L1783" s="19" t="str">
        <f aca="false">IF(A1783="","",G1783*K1783)</f>
        <v/>
      </c>
      <c r="M1783" s="20"/>
      <c r="N1783" s="6"/>
      <c r="O1783" s="6"/>
      <c r="P1783" s="5" t="str">
        <f aca="false">IF(A1783="","",H1783/90)</f>
        <v/>
      </c>
      <c r="Q1783" s="5" t="str">
        <f aca="false">IF(A1783="","",IFERROR(INDEX(Parâmetros!$C$6:$C$10,MATCH(F1783,Parâmetros!$B$6:$B$10,0)),""))</f>
        <v/>
      </c>
      <c r="R1783" s="5" t="str">
        <f aca="false">IF(OR(A1783="",P1783="",Q1783=""),"",P1783*Q1783)</f>
        <v/>
      </c>
      <c r="S1783" s="5" t="str">
        <f aca="false">IF(R1783="","",MAX(0,R1783-G1783))</f>
        <v/>
      </c>
      <c r="T1783" s="21" t="str">
        <f aca="false">IF(S1783="","",S1783*K1783)</f>
        <v/>
      </c>
      <c r="U1783" s="5" t="str">
        <f aca="false">IF(A1783="","",IF(J1783&gt;Parâmetros!$C$14,"SIM","NAO"))</f>
        <v/>
      </c>
      <c r="V1783" s="5" t="str">
        <f aca="false">IF(B1783="","",TRIM(LEFT(B1783,IFERROR(FIND(" ",B1783)-1,LEN(B1783)))))</f>
        <v/>
      </c>
      <c r="W1783" s="22"/>
      <c r="X1783" s="5" t="str">
        <f aca="false">IF(A1783="","",IF(W1783&lt;&gt;"",W1783,V1783))</f>
        <v/>
      </c>
      <c r="Y1783" s="5" t="str">
        <f aca="false">IF(A1783="","",IF(COUNTIFS($X$2:$X$2001,X1783,$D$2:$D$2001,"&lt;&gt;"&amp;D1783,$C$2:$C$2001,C1783)&gt;0,"SIM","NAO"))</f>
        <v/>
      </c>
      <c r="Z1783" s="5" t="str">
        <f aca="false">IF(A1783="","",IF(J1783="","",IFERROR(360/J1783,"")))</f>
        <v/>
      </c>
      <c r="AA1783" s="5" t="str">
        <f aca="false">IF(A1783="","",IF(H1783=0,"Parado (sem venda 90d)",IF(Z1783&gt;12,"Alto (&gt;12x/ano)",IF(Z1783&gt;=4,"Medio (4-12x/ano)","Baixo (&lt;4x/ano)"))))</f>
        <v/>
      </c>
    </row>
    <row r="1784" customFormat="false" ht="15" hidden="false" customHeight="true" outlineLevel="0" collapsed="false">
      <c r="A1784" s="6"/>
      <c r="B1784" s="6"/>
      <c r="C1784" s="6"/>
      <c r="D1784" s="6"/>
      <c r="E1784" s="6"/>
      <c r="F1784" s="6"/>
      <c r="G1784" s="6"/>
      <c r="H1784" s="6"/>
      <c r="I1784" s="6"/>
      <c r="J1784" s="6"/>
      <c r="K1784" s="18"/>
      <c r="L1784" s="19" t="str">
        <f aca="false">IF(A1784="","",G1784*K1784)</f>
        <v/>
      </c>
      <c r="M1784" s="20"/>
      <c r="N1784" s="6"/>
      <c r="O1784" s="6"/>
      <c r="P1784" s="5" t="str">
        <f aca="false">IF(A1784="","",H1784/90)</f>
        <v/>
      </c>
      <c r="Q1784" s="5" t="str">
        <f aca="false">IF(A1784="","",IFERROR(INDEX(Parâmetros!$C$6:$C$10,MATCH(F1784,Parâmetros!$B$6:$B$10,0)),""))</f>
        <v/>
      </c>
      <c r="R1784" s="5" t="str">
        <f aca="false">IF(OR(A1784="",P1784="",Q1784=""),"",P1784*Q1784)</f>
        <v/>
      </c>
      <c r="S1784" s="5" t="str">
        <f aca="false">IF(R1784="","",MAX(0,R1784-G1784))</f>
        <v/>
      </c>
      <c r="T1784" s="21" t="str">
        <f aca="false">IF(S1784="","",S1784*K1784)</f>
        <v/>
      </c>
      <c r="U1784" s="5" t="str">
        <f aca="false">IF(A1784="","",IF(J1784&gt;Parâmetros!$C$14,"SIM","NAO"))</f>
        <v/>
      </c>
      <c r="V1784" s="5" t="str">
        <f aca="false">IF(B1784="","",TRIM(LEFT(B1784,IFERROR(FIND(" ",B1784)-1,LEN(B1784)))))</f>
        <v/>
      </c>
      <c r="W1784" s="22"/>
      <c r="X1784" s="5" t="str">
        <f aca="false">IF(A1784="","",IF(W1784&lt;&gt;"",W1784,V1784))</f>
        <v/>
      </c>
      <c r="Y1784" s="5" t="str">
        <f aca="false">IF(A1784="","",IF(COUNTIFS($X$2:$X$2001,X1784,$D$2:$D$2001,"&lt;&gt;"&amp;D1784,$C$2:$C$2001,C1784)&gt;0,"SIM","NAO"))</f>
        <v/>
      </c>
      <c r="Z1784" s="5" t="str">
        <f aca="false">IF(A1784="","",IF(J1784="","",IFERROR(360/J1784,"")))</f>
        <v/>
      </c>
      <c r="AA1784" s="5" t="str">
        <f aca="false">IF(A1784="","",IF(H1784=0,"Parado (sem venda 90d)",IF(Z1784&gt;12,"Alto (&gt;12x/ano)",IF(Z1784&gt;=4,"Medio (4-12x/ano)","Baixo (&lt;4x/ano)"))))</f>
        <v/>
      </c>
    </row>
    <row r="1785" customFormat="false" ht="15" hidden="false" customHeight="true" outlineLevel="0" collapsed="false">
      <c r="A1785" s="6"/>
      <c r="B1785" s="6"/>
      <c r="C1785" s="6"/>
      <c r="D1785" s="6"/>
      <c r="E1785" s="6"/>
      <c r="F1785" s="6"/>
      <c r="G1785" s="6"/>
      <c r="H1785" s="6"/>
      <c r="I1785" s="6"/>
      <c r="J1785" s="6"/>
      <c r="K1785" s="18"/>
      <c r="L1785" s="19" t="str">
        <f aca="false">IF(A1785="","",G1785*K1785)</f>
        <v/>
      </c>
      <c r="M1785" s="20"/>
      <c r="N1785" s="6"/>
      <c r="O1785" s="6"/>
      <c r="P1785" s="5" t="str">
        <f aca="false">IF(A1785="","",H1785/90)</f>
        <v/>
      </c>
      <c r="Q1785" s="5" t="str">
        <f aca="false">IF(A1785="","",IFERROR(INDEX(Parâmetros!$C$6:$C$10,MATCH(F1785,Parâmetros!$B$6:$B$10,0)),""))</f>
        <v/>
      </c>
      <c r="R1785" s="5" t="str">
        <f aca="false">IF(OR(A1785="",P1785="",Q1785=""),"",P1785*Q1785)</f>
        <v/>
      </c>
      <c r="S1785" s="5" t="str">
        <f aca="false">IF(R1785="","",MAX(0,R1785-G1785))</f>
        <v/>
      </c>
      <c r="T1785" s="21" t="str">
        <f aca="false">IF(S1785="","",S1785*K1785)</f>
        <v/>
      </c>
      <c r="U1785" s="5" t="str">
        <f aca="false">IF(A1785="","",IF(J1785&gt;Parâmetros!$C$14,"SIM","NAO"))</f>
        <v/>
      </c>
      <c r="V1785" s="5" t="str">
        <f aca="false">IF(B1785="","",TRIM(LEFT(B1785,IFERROR(FIND(" ",B1785)-1,LEN(B1785)))))</f>
        <v/>
      </c>
      <c r="W1785" s="22"/>
      <c r="X1785" s="5" t="str">
        <f aca="false">IF(A1785="","",IF(W1785&lt;&gt;"",W1785,V1785))</f>
        <v/>
      </c>
      <c r="Y1785" s="5" t="str">
        <f aca="false">IF(A1785="","",IF(COUNTIFS($X$2:$X$2001,X1785,$D$2:$D$2001,"&lt;&gt;"&amp;D1785,$C$2:$C$2001,C1785)&gt;0,"SIM","NAO"))</f>
        <v/>
      </c>
      <c r="Z1785" s="5" t="str">
        <f aca="false">IF(A1785="","",IF(J1785="","",IFERROR(360/J1785,"")))</f>
        <v/>
      </c>
      <c r="AA1785" s="5" t="str">
        <f aca="false">IF(A1785="","",IF(H1785=0,"Parado (sem venda 90d)",IF(Z1785&gt;12,"Alto (&gt;12x/ano)",IF(Z1785&gt;=4,"Medio (4-12x/ano)","Baixo (&lt;4x/ano)"))))</f>
        <v/>
      </c>
    </row>
    <row r="1786" customFormat="false" ht="15" hidden="false" customHeight="true" outlineLevel="0" collapsed="false">
      <c r="A1786" s="6"/>
      <c r="B1786" s="6"/>
      <c r="C1786" s="6"/>
      <c r="D1786" s="6"/>
      <c r="E1786" s="6"/>
      <c r="F1786" s="6"/>
      <c r="G1786" s="6"/>
      <c r="H1786" s="6"/>
      <c r="I1786" s="6"/>
      <c r="J1786" s="6"/>
      <c r="K1786" s="18"/>
      <c r="L1786" s="19" t="str">
        <f aca="false">IF(A1786="","",G1786*K1786)</f>
        <v/>
      </c>
      <c r="M1786" s="20"/>
      <c r="N1786" s="6"/>
      <c r="O1786" s="6"/>
      <c r="P1786" s="5" t="str">
        <f aca="false">IF(A1786="","",H1786/90)</f>
        <v/>
      </c>
      <c r="Q1786" s="5" t="str">
        <f aca="false">IF(A1786="","",IFERROR(INDEX(Parâmetros!$C$6:$C$10,MATCH(F1786,Parâmetros!$B$6:$B$10,0)),""))</f>
        <v/>
      </c>
      <c r="R1786" s="5" t="str">
        <f aca="false">IF(OR(A1786="",P1786="",Q1786=""),"",P1786*Q1786)</f>
        <v/>
      </c>
      <c r="S1786" s="5" t="str">
        <f aca="false">IF(R1786="","",MAX(0,R1786-G1786))</f>
        <v/>
      </c>
      <c r="T1786" s="21" t="str">
        <f aca="false">IF(S1786="","",S1786*K1786)</f>
        <v/>
      </c>
      <c r="U1786" s="5" t="str">
        <f aca="false">IF(A1786="","",IF(J1786&gt;Parâmetros!$C$14,"SIM","NAO"))</f>
        <v/>
      </c>
      <c r="V1786" s="5" t="str">
        <f aca="false">IF(B1786="","",TRIM(LEFT(B1786,IFERROR(FIND(" ",B1786)-1,LEN(B1786)))))</f>
        <v/>
      </c>
      <c r="W1786" s="22"/>
      <c r="X1786" s="5" t="str">
        <f aca="false">IF(A1786="","",IF(W1786&lt;&gt;"",W1786,V1786))</f>
        <v/>
      </c>
      <c r="Y1786" s="5" t="str">
        <f aca="false">IF(A1786="","",IF(COUNTIFS($X$2:$X$2001,X1786,$D$2:$D$2001,"&lt;&gt;"&amp;D1786,$C$2:$C$2001,C1786)&gt;0,"SIM","NAO"))</f>
        <v/>
      </c>
      <c r="Z1786" s="5" t="str">
        <f aca="false">IF(A1786="","",IF(J1786="","",IFERROR(360/J1786,"")))</f>
        <v/>
      </c>
      <c r="AA1786" s="5" t="str">
        <f aca="false">IF(A1786="","",IF(H1786=0,"Parado (sem venda 90d)",IF(Z1786&gt;12,"Alto (&gt;12x/ano)",IF(Z1786&gt;=4,"Medio (4-12x/ano)","Baixo (&lt;4x/ano)"))))</f>
        <v/>
      </c>
    </row>
    <row r="1787" customFormat="false" ht="15" hidden="false" customHeight="true" outlineLevel="0" collapsed="false">
      <c r="A1787" s="6"/>
      <c r="B1787" s="6"/>
      <c r="C1787" s="6"/>
      <c r="D1787" s="6"/>
      <c r="E1787" s="6"/>
      <c r="F1787" s="6"/>
      <c r="G1787" s="6"/>
      <c r="H1787" s="6"/>
      <c r="I1787" s="6"/>
      <c r="J1787" s="6"/>
      <c r="K1787" s="18"/>
      <c r="L1787" s="19" t="str">
        <f aca="false">IF(A1787="","",G1787*K1787)</f>
        <v/>
      </c>
      <c r="M1787" s="20"/>
      <c r="N1787" s="6"/>
      <c r="O1787" s="6"/>
      <c r="P1787" s="5" t="str">
        <f aca="false">IF(A1787="","",H1787/90)</f>
        <v/>
      </c>
      <c r="Q1787" s="5" t="str">
        <f aca="false">IF(A1787="","",IFERROR(INDEX(Parâmetros!$C$6:$C$10,MATCH(F1787,Parâmetros!$B$6:$B$10,0)),""))</f>
        <v/>
      </c>
      <c r="R1787" s="5" t="str">
        <f aca="false">IF(OR(A1787="",P1787="",Q1787=""),"",P1787*Q1787)</f>
        <v/>
      </c>
      <c r="S1787" s="5" t="str">
        <f aca="false">IF(R1787="","",MAX(0,R1787-G1787))</f>
        <v/>
      </c>
      <c r="T1787" s="21" t="str">
        <f aca="false">IF(S1787="","",S1787*K1787)</f>
        <v/>
      </c>
      <c r="U1787" s="5" t="str">
        <f aca="false">IF(A1787="","",IF(J1787&gt;Parâmetros!$C$14,"SIM","NAO"))</f>
        <v/>
      </c>
      <c r="V1787" s="5" t="str">
        <f aca="false">IF(B1787="","",TRIM(LEFT(B1787,IFERROR(FIND(" ",B1787)-1,LEN(B1787)))))</f>
        <v/>
      </c>
      <c r="W1787" s="22"/>
      <c r="X1787" s="5" t="str">
        <f aca="false">IF(A1787="","",IF(W1787&lt;&gt;"",W1787,V1787))</f>
        <v/>
      </c>
      <c r="Y1787" s="5" t="str">
        <f aca="false">IF(A1787="","",IF(COUNTIFS($X$2:$X$2001,X1787,$D$2:$D$2001,"&lt;&gt;"&amp;D1787,$C$2:$C$2001,C1787)&gt;0,"SIM","NAO"))</f>
        <v/>
      </c>
      <c r="Z1787" s="5" t="str">
        <f aca="false">IF(A1787="","",IF(J1787="","",IFERROR(360/J1787,"")))</f>
        <v/>
      </c>
      <c r="AA1787" s="5" t="str">
        <f aca="false">IF(A1787="","",IF(H1787=0,"Parado (sem venda 90d)",IF(Z1787&gt;12,"Alto (&gt;12x/ano)",IF(Z1787&gt;=4,"Medio (4-12x/ano)","Baixo (&lt;4x/ano)"))))</f>
        <v/>
      </c>
    </row>
    <row r="1788" customFormat="false" ht="15" hidden="false" customHeight="true" outlineLevel="0" collapsed="false">
      <c r="A1788" s="6"/>
      <c r="B1788" s="6"/>
      <c r="C1788" s="6"/>
      <c r="D1788" s="6"/>
      <c r="E1788" s="6"/>
      <c r="F1788" s="6"/>
      <c r="G1788" s="6"/>
      <c r="H1788" s="6"/>
      <c r="I1788" s="6"/>
      <c r="J1788" s="6"/>
      <c r="K1788" s="18"/>
      <c r="L1788" s="19" t="str">
        <f aca="false">IF(A1788="","",G1788*K1788)</f>
        <v/>
      </c>
      <c r="M1788" s="20"/>
      <c r="N1788" s="6"/>
      <c r="O1788" s="6"/>
      <c r="P1788" s="5" t="str">
        <f aca="false">IF(A1788="","",H1788/90)</f>
        <v/>
      </c>
      <c r="Q1788" s="5" t="str">
        <f aca="false">IF(A1788="","",IFERROR(INDEX(Parâmetros!$C$6:$C$10,MATCH(F1788,Parâmetros!$B$6:$B$10,0)),""))</f>
        <v/>
      </c>
      <c r="R1788" s="5" t="str">
        <f aca="false">IF(OR(A1788="",P1788="",Q1788=""),"",P1788*Q1788)</f>
        <v/>
      </c>
      <c r="S1788" s="5" t="str">
        <f aca="false">IF(R1788="","",MAX(0,R1788-G1788))</f>
        <v/>
      </c>
      <c r="T1788" s="21" t="str">
        <f aca="false">IF(S1788="","",S1788*K1788)</f>
        <v/>
      </c>
      <c r="U1788" s="5" t="str">
        <f aca="false">IF(A1788="","",IF(J1788&gt;Parâmetros!$C$14,"SIM","NAO"))</f>
        <v/>
      </c>
      <c r="V1788" s="5" t="str">
        <f aca="false">IF(B1788="","",TRIM(LEFT(B1788,IFERROR(FIND(" ",B1788)-1,LEN(B1788)))))</f>
        <v/>
      </c>
      <c r="W1788" s="22"/>
      <c r="X1788" s="5" t="str">
        <f aca="false">IF(A1788="","",IF(W1788&lt;&gt;"",W1788,V1788))</f>
        <v/>
      </c>
      <c r="Y1788" s="5" t="str">
        <f aca="false">IF(A1788="","",IF(COUNTIFS($X$2:$X$2001,X1788,$D$2:$D$2001,"&lt;&gt;"&amp;D1788,$C$2:$C$2001,C1788)&gt;0,"SIM","NAO"))</f>
        <v/>
      </c>
      <c r="Z1788" s="5" t="str">
        <f aca="false">IF(A1788="","",IF(J1788="","",IFERROR(360/J1788,"")))</f>
        <v/>
      </c>
      <c r="AA1788" s="5" t="str">
        <f aca="false">IF(A1788="","",IF(H1788=0,"Parado (sem venda 90d)",IF(Z1788&gt;12,"Alto (&gt;12x/ano)",IF(Z1788&gt;=4,"Medio (4-12x/ano)","Baixo (&lt;4x/ano)"))))</f>
        <v/>
      </c>
    </row>
    <row r="1789" customFormat="false" ht="15" hidden="false" customHeight="true" outlineLevel="0" collapsed="false">
      <c r="A1789" s="6"/>
      <c r="B1789" s="6"/>
      <c r="C1789" s="6"/>
      <c r="D1789" s="6"/>
      <c r="E1789" s="6"/>
      <c r="F1789" s="6"/>
      <c r="G1789" s="6"/>
      <c r="H1789" s="6"/>
      <c r="I1789" s="6"/>
      <c r="J1789" s="6"/>
      <c r="K1789" s="18"/>
      <c r="L1789" s="19" t="str">
        <f aca="false">IF(A1789="","",G1789*K1789)</f>
        <v/>
      </c>
      <c r="M1789" s="20"/>
      <c r="N1789" s="6"/>
      <c r="O1789" s="6"/>
      <c r="P1789" s="5" t="str">
        <f aca="false">IF(A1789="","",H1789/90)</f>
        <v/>
      </c>
      <c r="Q1789" s="5" t="str">
        <f aca="false">IF(A1789="","",IFERROR(INDEX(Parâmetros!$C$6:$C$10,MATCH(F1789,Parâmetros!$B$6:$B$10,0)),""))</f>
        <v/>
      </c>
      <c r="R1789" s="5" t="str">
        <f aca="false">IF(OR(A1789="",P1789="",Q1789=""),"",P1789*Q1789)</f>
        <v/>
      </c>
      <c r="S1789" s="5" t="str">
        <f aca="false">IF(R1789="","",MAX(0,R1789-G1789))</f>
        <v/>
      </c>
      <c r="T1789" s="21" t="str">
        <f aca="false">IF(S1789="","",S1789*K1789)</f>
        <v/>
      </c>
      <c r="U1789" s="5" t="str">
        <f aca="false">IF(A1789="","",IF(J1789&gt;Parâmetros!$C$14,"SIM","NAO"))</f>
        <v/>
      </c>
      <c r="V1789" s="5" t="str">
        <f aca="false">IF(B1789="","",TRIM(LEFT(B1789,IFERROR(FIND(" ",B1789)-1,LEN(B1789)))))</f>
        <v/>
      </c>
      <c r="W1789" s="22"/>
      <c r="X1789" s="5" t="str">
        <f aca="false">IF(A1789="","",IF(W1789&lt;&gt;"",W1789,V1789))</f>
        <v/>
      </c>
      <c r="Y1789" s="5" t="str">
        <f aca="false">IF(A1789="","",IF(COUNTIFS($X$2:$X$2001,X1789,$D$2:$D$2001,"&lt;&gt;"&amp;D1789,$C$2:$C$2001,C1789)&gt;0,"SIM","NAO"))</f>
        <v/>
      </c>
      <c r="Z1789" s="5" t="str">
        <f aca="false">IF(A1789="","",IF(J1789="","",IFERROR(360/J1789,"")))</f>
        <v/>
      </c>
      <c r="AA1789" s="5" t="str">
        <f aca="false">IF(A1789="","",IF(H1789=0,"Parado (sem venda 90d)",IF(Z1789&gt;12,"Alto (&gt;12x/ano)",IF(Z1789&gt;=4,"Medio (4-12x/ano)","Baixo (&lt;4x/ano)"))))</f>
        <v/>
      </c>
    </row>
    <row r="1790" customFormat="false" ht="15" hidden="false" customHeight="true" outlineLevel="0" collapsed="false">
      <c r="A1790" s="6"/>
      <c r="B1790" s="6"/>
      <c r="C1790" s="6"/>
      <c r="D1790" s="6"/>
      <c r="E1790" s="6"/>
      <c r="F1790" s="6"/>
      <c r="G1790" s="6"/>
      <c r="H1790" s="6"/>
      <c r="I1790" s="6"/>
      <c r="J1790" s="6"/>
      <c r="K1790" s="18"/>
      <c r="L1790" s="19" t="str">
        <f aca="false">IF(A1790="","",G1790*K1790)</f>
        <v/>
      </c>
      <c r="M1790" s="20"/>
      <c r="N1790" s="6"/>
      <c r="O1790" s="6"/>
      <c r="P1790" s="5" t="str">
        <f aca="false">IF(A1790="","",H1790/90)</f>
        <v/>
      </c>
      <c r="Q1790" s="5" t="str">
        <f aca="false">IF(A1790="","",IFERROR(INDEX(Parâmetros!$C$6:$C$10,MATCH(F1790,Parâmetros!$B$6:$B$10,0)),""))</f>
        <v/>
      </c>
      <c r="R1790" s="5" t="str">
        <f aca="false">IF(OR(A1790="",P1790="",Q1790=""),"",P1790*Q1790)</f>
        <v/>
      </c>
      <c r="S1790" s="5" t="str">
        <f aca="false">IF(R1790="","",MAX(0,R1790-G1790))</f>
        <v/>
      </c>
      <c r="T1790" s="21" t="str">
        <f aca="false">IF(S1790="","",S1790*K1790)</f>
        <v/>
      </c>
      <c r="U1790" s="5" t="str">
        <f aca="false">IF(A1790="","",IF(J1790&gt;Parâmetros!$C$14,"SIM","NAO"))</f>
        <v/>
      </c>
      <c r="V1790" s="5" t="str">
        <f aca="false">IF(B1790="","",TRIM(LEFT(B1790,IFERROR(FIND(" ",B1790)-1,LEN(B1790)))))</f>
        <v/>
      </c>
      <c r="W1790" s="22"/>
      <c r="X1790" s="5" t="str">
        <f aca="false">IF(A1790="","",IF(W1790&lt;&gt;"",W1790,V1790))</f>
        <v/>
      </c>
      <c r="Y1790" s="5" t="str">
        <f aca="false">IF(A1790="","",IF(COUNTIFS($X$2:$X$2001,X1790,$D$2:$D$2001,"&lt;&gt;"&amp;D1790,$C$2:$C$2001,C1790)&gt;0,"SIM","NAO"))</f>
        <v/>
      </c>
      <c r="Z1790" s="5" t="str">
        <f aca="false">IF(A1790="","",IF(J1790="","",IFERROR(360/J1790,"")))</f>
        <v/>
      </c>
      <c r="AA1790" s="5" t="str">
        <f aca="false">IF(A1790="","",IF(H1790=0,"Parado (sem venda 90d)",IF(Z1790&gt;12,"Alto (&gt;12x/ano)",IF(Z1790&gt;=4,"Medio (4-12x/ano)","Baixo (&lt;4x/ano)"))))</f>
        <v/>
      </c>
    </row>
    <row r="1791" customFormat="false" ht="15" hidden="false" customHeight="true" outlineLevel="0" collapsed="false">
      <c r="A1791" s="6"/>
      <c r="B1791" s="6"/>
      <c r="C1791" s="6"/>
      <c r="D1791" s="6"/>
      <c r="E1791" s="6"/>
      <c r="F1791" s="6"/>
      <c r="G1791" s="6"/>
      <c r="H1791" s="6"/>
      <c r="I1791" s="6"/>
      <c r="J1791" s="6"/>
      <c r="K1791" s="18"/>
      <c r="L1791" s="19" t="str">
        <f aca="false">IF(A1791="","",G1791*K1791)</f>
        <v/>
      </c>
      <c r="M1791" s="20"/>
      <c r="N1791" s="6"/>
      <c r="O1791" s="6"/>
      <c r="P1791" s="5" t="str">
        <f aca="false">IF(A1791="","",H1791/90)</f>
        <v/>
      </c>
      <c r="Q1791" s="5" t="str">
        <f aca="false">IF(A1791="","",IFERROR(INDEX(Parâmetros!$C$6:$C$10,MATCH(F1791,Parâmetros!$B$6:$B$10,0)),""))</f>
        <v/>
      </c>
      <c r="R1791" s="5" t="str">
        <f aca="false">IF(OR(A1791="",P1791="",Q1791=""),"",P1791*Q1791)</f>
        <v/>
      </c>
      <c r="S1791" s="5" t="str">
        <f aca="false">IF(R1791="","",MAX(0,R1791-G1791))</f>
        <v/>
      </c>
      <c r="T1791" s="21" t="str">
        <f aca="false">IF(S1791="","",S1791*K1791)</f>
        <v/>
      </c>
      <c r="U1791" s="5" t="str">
        <f aca="false">IF(A1791="","",IF(J1791&gt;Parâmetros!$C$14,"SIM","NAO"))</f>
        <v/>
      </c>
      <c r="V1791" s="5" t="str">
        <f aca="false">IF(B1791="","",TRIM(LEFT(B1791,IFERROR(FIND(" ",B1791)-1,LEN(B1791)))))</f>
        <v/>
      </c>
      <c r="W1791" s="22"/>
      <c r="X1791" s="5" t="str">
        <f aca="false">IF(A1791="","",IF(W1791&lt;&gt;"",W1791,V1791))</f>
        <v/>
      </c>
      <c r="Y1791" s="5" t="str">
        <f aca="false">IF(A1791="","",IF(COUNTIFS($X$2:$X$2001,X1791,$D$2:$D$2001,"&lt;&gt;"&amp;D1791,$C$2:$C$2001,C1791)&gt;0,"SIM","NAO"))</f>
        <v/>
      </c>
      <c r="Z1791" s="5" t="str">
        <f aca="false">IF(A1791="","",IF(J1791="","",IFERROR(360/J1791,"")))</f>
        <v/>
      </c>
      <c r="AA1791" s="5" t="str">
        <f aca="false">IF(A1791="","",IF(H1791=0,"Parado (sem venda 90d)",IF(Z1791&gt;12,"Alto (&gt;12x/ano)",IF(Z1791&gt;=4,"Medio (4-12x/ano)","Baixo (&lt;4x/ano)"))))</f>
        <v/>
      </c>
    </row>
    <row r="1792" customFormat="false" ht="15" hidden="false" customHeight="true" outlineLevel="0" collapsed="false">
      <c r="A1792" s="6"/>
      <c r="B1792" s="6"/>
      <c r="C1792" s="6"/>
      <c r="D1792" s="6"/>
      <c r="E1792" s="6"/>
      <c r="F1792" s="6"/>
      <c r="G1792" s="6"/>
      <c r="H1792" s="6"/>
      <c r="I1792" s="6"/>
      <c r="J1792" s="6"/>
      <c r="K1792" s="18"/>
      <c r="L1792" s="19" t="str">
        <f aca="false">IF(A1792="","",G1792*K1792)</f>
        <v/>
      </c>
      <c r="M1792" s="20"/>
      <c r="N1792" s="6"/>
      <c r="O1792" s="6"/>
      <c r="P1792" s="5" t="str">
        <f aca="false">IF(A1792="","",H1792/90)</f>
        <v/>
      </c>
      <c r="Q1792" s="5" t="str">
        <f aca="false">IF(A1792="","",IFERROR(INDEX(Parâmetros!$C$6:$C$10,MATCH(F1792,Parâmetros!$B$6:$B$10,0)),""))</f>
        <v/>
      </c>
      <c r="R1792" s="5" t="str">
        <f aca="false">IF(OR(A1792="",P1792="",Q1792=""),"",P1792*Q1792)</f>
        <v/>
      </c>
      <c r="S1792" s="5" t="str">
        <f aca="false">IF(R1792="","",MAX(0,R1792-G1792))</f>
        <v/>
      </c>
      <c r="T1792" s="21" t="str">
        <f aca="false">IF(S1792="","",S1792*K1792)</f>
        <v/>
      </c>
      <c r="U1792" s="5" t="str">
        <f aca="false">IF(A1792="","",IF(J1792&gt;Parâmetros!$C$14,"SIM","NAO"))</f>
        <v/>
      </c>
      <c r="V1792" s="5" t="str">
        <f aca="false">IF(B1792="","",TRIM(LEFT(B1792,IFERROR(FIND(" ",B1792)-1,LEN(B1792)))))</f>
        <v/>
      </c>
      <c r="W1792" s="22"/>
      <c r="X1792" s="5" t="str">
        <f aca="false">IF(A1792="","",IF(W1792&lt;&gt;"",W1792,V1792))</f>
        <v/>
      </c>
      <c r="Y1792" s="5" t="str">
        <f aca="false">IF(A1792="","",IF(COUNTIFS($X$2:$X$2001,X1792,$D$2:$D$2001,"&lt;&gt;"&amp;D1792,$C$2:$C$2001,C1792)&gt;0,"SIM","NAO"))</f>
        <v/>
      </c>
      <c r="Z1792" s="5" t="str">
        <f aca="false">IF(A1792="","",IF(J1792="","",IFERROR(360/J1792,"")))</f>
        <v/>
      </c>
      <c r="AA1792" s="5" t="str">
        <f aca="false">IF(A1792="","",IF(H1792=0,"Parado (sem venda 90d)",IF(Z1792&gt;12,"Alto (&gt;12x/ano)",IF(Z1792&gt;=4,"Medio (4-12x/ano)","Baixo (&lt;4x/ano)"))))</f>
        <v/>
      </c>
    </row>
    <row r="1793" customFormat="false" ht="15" hidden="false" customHeight="true" outlineLevel="0" collapsed="false">
      <c r="A1793" s="6"/>
      <c r="B1793" s="6"/>
      <c r="C1793" s="6"/>
      <c r="D1793" s="6"/>
      <c r="E1793" s="6"/>
      <c r="F1793" s="6"/>
      <c r="G1793" s="6"/>
      <c r="H1793" s="6"/>
      <c r="I1793" s="6"/>
      <c r="J1793" s="6"/>
      <c r="K1793" s="18"/>
      <c r="L1793" s="19" t="str">
        <f aca="false">IF(A1793="","",G1793*K1793)</f>
        <v/>
      </c>
      <c r="M1793" s="20"/>
      <c r="N1793" s="6"/>
      <c r="O1793" s="6"/>
      <c r="P1793" s="5" t="str">
        <f aca="false">IF(A1793="","",H1793/90)</f>
        <v/>
      </c>
      <c r="Q1793" s="5" t="str">
        <f aca="false">IF(A1793="","",IFERROR(INDEX(Parâmetros!$C$6:$C$10,MATCH(F1793,Parâmetros!$B$6:$B$10,0)),""))</f>
        <v/>
      </c>
      <c r="R1793" s="5" t="str">
        <f aca="false">IF(OR(A1793="",P1793="",Q1793=""),"",P1793*Q1793)</f>
        <v/>
      </c>
      <c r="S1793" s="5" t="str">
        <f aca="false">IF(R1793="","",MAX(0,R1793-G1793))</f>
        <v/>
      </c>
      <c r="T1793" s="21" t="str">
        <f aca="false">IF(S1793="","",S1793*K1793)</f>
        <v/>
      </c>
      <c r="U1793" s="5" t="str">
        <f aca="false">IF(A1793="","",IF(J1793&gt;Parâmetros!$C$14,"SIM","NAO"))</f>
        <v/>
      </c>
      <c r="V1793" s="5" t="str">
        <f aca="false">IF(B1793="","",TRIM(LEFT(B1793,IFERROR(FIND(" ",B1793)-1,LEN(B1793)))))</f>
        <v/>
      </c>
      <c r="W1793" s="22"/>
      <c r="X1793" s="5" t="str">
        <f aca="false">IF(A1793="","",IF(W1793&lt;&gt;"",W1793,V1793))</f>
        <v/>
      </c>
      <c r="Y1793" s="5" t="str">
        <f aca="false">IF(A1793="","",IF(COUNTIFS($X$2:$X$2001,X1793,$D$2:$D$2001,"&lt;&gt;"&amp;D1793,$C$2:$C$2001,C1793)&gt;0,"SIM","NAO"))</f>
        <v/>
      </c>
      <c r="Z1793" s="5" t="str">
        <f aca="false">IF(A1793="","",IF(J1793="","",IFERROR(360/J1793,"")))</f>
        <v/>
      </c>
      <c r="AA1793" s="5" t="str">
        <f aca="false">IF(A1793="","",IF(H1793=0,"Parado (sem venda 90d)",IF(Z1793&gt;12,"Alto (&gt;12x/ano)",IF(Z1793&gt;=4,"Medio (4-12x/ano)","Baixo (&lt;4x/ano)"))))</f>
        <v/>
      </c>
    </row>
    <row r="1794" customFormat="false" ht="15" hidden="false" customHeight="true" outlineLevel="0" collapsed="false">
      <c r="A1794" s="6"/>
      <c r="B1794" s="6"/>
      <c r="C1794" s="6"/>
      <c r="D1794" s="6"/>
      <c r="E1794" s="6"/>
      <c r="F1794" s="6"/>
      <c r="G1794" s="6"/>
      <c r="H1794" s="6"/>
      <c r="I1794" s="6"/>
      <c r="J1794" s="6"/>
      <c r="K1794" s="18"/>
      <c r="L1794" s="19" t="str">
        <f aca="false">IF(A1794="","",G1794*K1794)</f>
        <v/>
      </c>
      <c r="M1794" s="20"/>
      <c r="N1794" s="6"/>
      <c r="O1794" s="6"/>
      <c r="P1794" s="5" t="str">
        <f aca="false">IF(A1794="","",H1794/90)</f>
        <v/>
      </c>
      <c r="Q1794" s="5" t="str">
        <f aca="false">IF(A1794="","",IFERROR(INDEX(Parâmetros!$C$6:$C$10,MATCH(F1794,Parâmetros!$B$6:$B$10,0)),""))</f>
        <v/>
      </c>
      <c r="R1794" s="5" t="str">
        <f aca="false">IF(OR(A1794="",P1794="",Q1794=""),"",P1794*Q1794)</f>
        <v/>
      </c>
      <c r="S1794" s="5" t="str">
        <f aca="false">IF(R1794="","",MAX(0,R1794-G1794))</f>
        <v/>
      </c>
      <c r="T1794" s="21" t="str">
        <f aca="false">IF(S1794="","",S1794*K1794)</f>
        <v/>
      </c>
      <c r="U1794" s="5" t="str">
        <f aca="false">IF(A1794="","",IF(J1794&gt;Parâmetros!$C$14,"SIM","NAO"))</f>
        <v/>
      </c>
      <c r="V1794" s="5" t="str">
        <f aca="false">IF(B1794="","",TRIM(LEFT(B1794,IFERROR(FIND(" ",B1794)-1,LEN(B1794)))))</f>
        <v/>
      </c>
      <c r="W1794" s="22"/>
      <c r="X1794" s="5" t="str">
        <f aca="false">IF(A1794="","",IF(W1794&lt;&gt;"",W1794,V1794))</f>
        <v/>
      </c>
      <c r="Y1794" s="5" t="str">
        <f aca="false">IF(A1794="","",IF(COUNTIFS($X$2:$X$2001,X1794,$D$2:$D$2001,"&lt;&gt;"&amp;D1794,$C$2:$C$2001,C1794)&gt;0,"SIM","NAO"))</f>
        <v/>
      </c>
      <c r="Z1794" s="5" t="str">
        <f aca="false">IF(A1794="","",IF(J1794="","",IFERROR(360/J1794,"")))</f>
        <v/>
      </c>
      <c r="AA1794" s="5" t="str">
        <f aca="false">IF(A1794="","",IF(H1794=0,"Parado (sem venda 90d)",IF(Z1794&gt;12,"Alto (&gt;12x/ano)",IF(Z1794&gt;=4,"Medio (4-12x/ano)","Baixo (&lt;4x/ano)"))))</f>
        <v/>
      </c>
    </row>
    <row r="1795" customFormat="false" ht="15" hidden="false" customHeight="true" outlineLevel="0" collapsed="false">
      <c r="A1795" s="6"/>
      <c r="B1795" s="6"/>
      <c r="C1795" s="6"/>
      <c r="D1795" s="6"/>
      <c r="E1795" s="6"/>
      <c r="F1795" s="6"/>
      <c r="G1795" s="6"/>
      <c r="H1795" s="6"/>
      <c r="I1795" s="6"/>
      <c r="J1795" s="6"/>
      <c r="K1795" s="18"/>
      <c r="L1795" s="19" t="str">
        <f aca="false">IF(A1795="","",G1795*K1795)</f>
        <v/>
      </c>
      <c r="M1795" s="20"/>
      <c r="N1795" s="6"/>
      <c r="O1795" s="6"/>
      <c r="P1795" s="5" t="str">
        <f aca="false">IF(A1795="","",H1795/90)</f>
        <v/>
      </c>
      <c r="Q1795" s="5" t="str">
        <f aca="false">IF(A1795="","",IFERROR(INDEX(Parâmetros!$C$6:$C$10,MATCH(F1795,Parâmetros!$B$6:$B$10,0)),""))</f>
        <v/>
      </c>
      <c r="R1795" s="5" t="str">
        <f aca="false">IF(OR(A1795="",P1795="",Q1795=""),"",P1795*Q1795)</f>
        <v/>
      </c>
      <c r="S1795" s="5" t="str">
        <f aca="false">IF(R1795="","",MAX(0,R1795-G1795))</f>
        <v/>
      </c>
      <c r="T1795" s="21" t="str">
        <f aca="false">IF(S1795="","",S1795*K1795)</f>
        <v/>
      </c>
      <c r="U1795" s="5" t="str">
        <f aca="false">IF(A1795="","",IF(J1795&gt;Parâmetros!$C$14,"SIM","NAO"))</f>
        <v/>
      </c>
      <c r="V1795" s="5" t="str">
        <f aca="false">IF(B1795="","",TRIM(LEFT(B1795,IFERROR(FIND(" ",B1795)-1,LEN(B1795)))))</f>
        <v/>
      </c>
      <c r="W1795" s="22"/>
      <c r="X1795" s="5" t="str">
        <f aca="false">IF(A1795="","",IF(W1795&lt;&gt;"",W1795,V1795))</f>
        <v/>
      </c>
      <c r="Y1795" s="5" t="str">
        <f aca="false">IF(A1795="","",IF(COUNTIFS($X$2:$X$2001,X1795,$D$2:$D$2001,"&lt;&gt;"&amp;D1795,$C$2:$C$2001,C1795)&gt;0,"SIM","NAO"))</f>
        <v/>
      </c>
      <c r="Z1795" s="5" t="str">
        <f aca="false">IF(A1795="","",IF(J1795="","",IFERROR(360/J1795,"")))</f>
        <v/>
      </c>
      <c r="AA1795" s="5" t="str">
        <f aca="false">IF(A1795="","",IF(H1795=0,"Parado (sem venda 90d)",IF(Z1795&gt;12,"Alto (&gt;12x/ano)",IF(Z1795&gt;=4,"Medio (4-12x/ano)","Baixo (&lt;4x/ano)"))))</f>
        <v/>
      </c>
    </row>
    <row r="1796" customFormat="false" ht="15" hidden="false" customHeight="true" outlineLevel="0" collapsed="false">
      <c r="A1796" s="6"/>
      <c r="B1796" s="6"/>
      <c r="C1796" s="6"/>
      <c r="D1796" s="6"/>
      <c r="E1796" s="6"/>
      <c r="F1796" s="6"/>
      <c r="G1796" s="6"/>
      <c r="H1796" s="6"/>
      <c r="I1796" s="6"/>
      <c r="J1796" s="6"/>
      <c r="K1796" s="18"/>
      <c r="L1796" s="19" t="str">
        <f aca="false">IF(A1796="","",G1796*K1796)</f>
        <v/>
      </c>
      <c r="M1796" s="20"/>
      <c r="N1796" s="6"/>
      <c r="O1796" s="6"/>
      <c r="P1796" s="5" t="str">
        <f aca="false">IF(A1796="","",H1796/90)</f>
        <v/>
      </c>
      <c r="Q1796" s="5" t="str">
        <f aca="false">IF(A1796="","",IFERROR(INDEX(Parâmetros!$C$6:$C$10,MATCH(F1796,Parâmetros!$B$6:$B$10,0)),""))</f>
        <v/>
      </c>
      <c r="R1796" s="5" t="str">
        <f aca="false">IF(OR(A1796="",P1796="",Q1796=""),"",P1796*Q1796)</f>
        <v/>
      </c>
      <c r="S1796" s="5" t="str">
        <f aca="false">IF(R1796="","",MAX(0,R1796-G1796))</f>
        <v/>
      </c>
      <c r="T1796" s="21" t="str">
        <f aca="false">IF(S1796="","",S1796*K1796)</f>
        <v/>
      </c>
      <c r="U1796" s="5" t="str">
        <f aca="false">IF(A1796="","",IF(J1796&gt;Parâmetros!$C$14,"SIM","NAO"))</f>
        <v/>
      </c>
      <c r="V1796" s="5" t="str">
        <f aca="false">IF(B1796="","",TRIM(LEFT(B1796,IFERROR(FIND(" ",B1796)-1,LEN(B1796)))))</f>
        <v/>
      </c>
      <c r="W1796" s="22"/>
      <c r="X1796" s="5" t="str">
        <f aca="false">IF(A1796="","",IF(W1796&lt;&gt;"",W1796,V1796))</f>
        <v/>
      </c>
      <c r="Y1796" s="5" t="str">
        <f aca="false">IF(A1796="","",IF(COUNTIFS($X$2:$X$2001,X1796,$D$2:$D$2001,"&lt;&gt;"&amp;D1796,$C$2:$C$2001,C1796)&gt;0,"SIM","NAO"))</f>
        <v/>
      </c>
      <c r="Z1796" s="5" t="str">
        <f aca="false">IF(A1796="","",IF(J1796="","",IFERROR(360/J1796,"")))</f>
        <v/>
      </c>
      <c r="AA1796" s="5" t="str">
        <f aca="false">IF(A1796="","",IF(H1796=0,"Parado (sem venda 90d)",IF(Z1796&gt;12,"Alto (&gt;12x/ano)",IF(Z1796&gt;=4,"Medio (4-12x/ano)","Baixo (&lt;4x/ano)"))))</f>
        <v/>
      </c>
    </row>
    <row r="1797" customFormat="false" ht="15" hidden="false" customHeight="true" outlineLevel="0" collapsed="false">
      <c r="A1797" s="6"/>
      <c r="B1797" s="6"/>
      <c r="C1797" s="6"/>
      <c r="D1797" s="6"/>
      <c r="E1797" s="6"/>
      <c r="F1797" s="6"/>
      <c r="G1797" s="6"/>
      <c r="H1797" s="6"/>
      <c r="I1797" s="6"/>
      <c r="J1797" s="6"/>
      <c r="K1797" s="18"/>
      <c r="L1797" s="19" t="str">
        <f aca="false">IF(A1797="","",G1797*K1797)</f>
        <v/>
      </c>
      <c r="M1797" s="20"/>
      <c r="N1797" s="6"/>
      <c r="O1797" s="6"/>
      <c r="P1797" s="5" t="str">
        <f aca="false">IF(A1797="","",H1797/90)</f>
        <v/>
      </c>
      <c r="Q1797" s="5" t="str">
        <f aca="false">IF(A1797="","",IFERROR(INDEX(Parâmetros!$C$6:$C$10,MATCH(F1797,Parâmetros!$B$6:$B$10,0)),""))</f>
        <v/>
      </c>
      <c r="R1797" s="5" t="str">
        <f aca="false">IF(OR(A1797="",P1797="",Q1797=""),"",P1797*Q1797)</f>
        <v/>
      </c>
      <c r="S1797" s="5" t="str">
        <f aca="false">IF(R1797="","",MAX(0,R1797-G1797))</f>
        <v/>
      </c>
      <c r="T1797" s="21" t="str">
        <f aca="false">IF(S1797="","",S1797*K1797)</f>
        <v/>
      </c>
      <c r="U1797" s="5" t="str">
        <f aca="false">IF(A1797="","",IF(J1797&gt;Parâmetros!$C$14,"SIM","NAO"))</f>
        <v/>
      </c>
      <c r="V1797" s="5" t="str">
        <f aca="false">IF(B1797="","",TRIM(LEFT(B1797,IFERROR(FIND(" ",B1797)-1,LEN(B1797)))))</f>
        <v/>
      </c>
      <c r="W1797" s="22"/>
      <c r="X1797" s="5" t="str">
        <f aca="false">IF(A1797="","",IF(W1797&lt;&gt;"",W1797,V1797))</f>
        <v/>
      </c>
      <c r="Y1797" s="5" t="str">
        <f aca="false">IF(A1797="","",IF(COUNTIFS($X$2:$X$2001,X1797,$D$2:$D$2001,"&lt;&gt;"&amp;D1797,$C$2:$C$2001,C1797)&gt;0,"SIM","NAO"))</f>
        <v/>
      </c>
      <c r="Z1797" s="5" t="str">
        <f aca="false">IF(A1797="","",IF(J1797="","",IFERROR(360/J1797,"")))</f>
        <v/>
      </c>
      <c r="AA1797" s="5" t="str">
        <f aca="false">IF(A1797="","",IF(H1797=0,"Parado (sem venda 90d)",IF(Z1797&gt;12,"Alto (&gt;12x/ano)",IF(Z1797&gt;=4,"Medio (4-12x/ano)","Baixo (&lt;4x/ano)"))))</f>
        <v/>
      </c>
    </row>
    <row r="1798" customFormat="false" ht="15" hidden="false" customHeight="true" outlineLevel="0" collapsed="false">
      <c r="A1798" s="6"/>
      <c r="B1798" s="6"/>
      <c r="C1798" s="6"/>
      <c r="D1798" s="6"/>
      <c r="E1798" s="6"/>
      <c r="F1798" s="6"/>
      <c r="G1798" s="6"/>
      <c r="H1798" s="6"/>
      <c r="I1798" s="6"/>
      <c r="J1798" s="6"/>
      <c r="K1798" s="18"/>
      <c r="L1798" s="19" t="str">
        <f aca="false">IF(A1798="","",G1798*K1798)</f>
        <v/>
      </c>
      <c r="M1798" s="20"/>
      <c r="N1798" s="6"/>
      <c r="O1798" s="6"/>
      <c r="P1798" s="5" t="str">
        <f aca="false">IF(A1798="","",H1798/90)</f>
        <v/>
      </c>
      <c r="Q1798" s="5" t="str">
        <f aca="false">IF(A1798="","",IFERROR(INDEX(Parâmetros!$C$6:$C$10,MATCH(F1798,Parâmetros!$B$6:$B$10,0)),""))</f>
        <v/>
      </c>
      <c r="R1798" s="5" t="str">
        <f aca="false">IF(OR(A1798="",P1798="",Q1798=""),"",P1798*Q1798)</f>
        <v/>
      </c>
      <c r="S1798" s="5" t="str">
        <f aca="false">IF(R1798="","",MAX(0,R1798-G1798))</f>
        <v/>
      </c>
      <c r="T1798" s="21" t="str">
        <f aca="false">IF(S1798="","",S1798*K1798)</f>
        <v/>
      </c>
      <c r="U1798" s="5" t="str">
        <f aca="false">IF(A1798="","",IF(J1798&gt;Parâmetros!$C$14,"SIM","NAO"))</f>
        <v/>
      </c>
      <c r="V1798" s="5" t="str">
        <f aca="false">IF(B1798="","",TRIM(LEFT(B1798,IFERROR(FIND(" ",B1798)-1,LEN(B1798)))))</f>
        <v/>
      </c>
      <c r="W1798" s="22"/>
      <c r="X1798" s="5" t="str">
        <f aca="false">IF(A1798="","",IF(W1798&lt;&gt;"",W1798,V1798))</f>
        <v/>
      </c>
      <c r="Y1798" s="5" t="str">
        <f aca="false">IF(A1798="","",IF(COUNTIFS($X$2:$X$2001,X1798,$D$2:$D$2001,"&lt;&gt;"&amp;D1798,$C$2:$C$2001,C1798)&gt;0,"SIM","NAO"))</f>
        <v/>
      </c>
      <c r="Z1798" s="5" t="str">
        <f aca="false">IF(A1798="","",IF(J1798="","",IFERROR(360/J1798,"")))</f>
        <v/>
      </c>
      <c r="AA1798" s="5" t="str">
        <f aca="false">IF(A1798="","",IF(H1798=0,"Parado (sem venda 90d)",IF(Z1798&gt;12,"Alto (&gt;12x/ano)",IF(Z1798&gt;=4,"Medio (4-12x/ano)","Baixo (&lt;4x/ano)"))))</f>
        <v/>
      </c>
    </row>
    <row r="1799" customFormat="false" ht="15" hidden="false" customHeight="true" outlineLevel="0" collapsed="false">
      <c r="A1799" s="6"/>
      <c r="B1799" s="6"/>
      <c r="C1799" s="6"/>
      <c r="D1799" s="6"/>
      <c r="E1799" s="6"/>
      <c r="F1799" s="6"/>
      <c r="G1799" s="6"/>
      <c r="H1799" s="6"/>
      <c r="I1799" s="6"/>
      <c r="J1799" s="6"/>
      <c r="K1799" s="18"/>
      <c r="L1799" s="19" t="str">
        <f aca="false">IF(A1799="","",G1799*K1799)</f>
        <v/>
      </c>
      <c r="M1799" s="20"/>
      <c r="N1799" s="6"/>
      <c r="O1799" s="6"/>
      <c r="P1799" s="5" t="str">
        <f aca="false">IF(A1799="","",H1799/90)</f>
        <v/>
      </c>
      <c r="Q1799" s="5" t="str">
        <f aca="false">IF(A1799="","",IFERROR(INDEX(Parâmetros!$C$6:$C$10,MATCH(F1799,Parâmetros!$B$6:$B$10,0)),""))</f>
        <v/>
      </c>
      <c r="R1799" s="5" t="str">
        <f aca="false">IF(OR(A1799="",P1799="",Q1799=""),"",P1799*Q1799)</f>
        <v/>
      </c>
      <c r="S1799" s="5" t="str">
        <f aca="false">IF(R1799="","",MAX(0,R1799-G1799))</f>
        <v/>
      </c>
      <c r="T1799" s="21" t="str">
        <f aca="false">IF(S1799="","",S1799*K1799)</f>
        <v/>
      </c>
      <c r="U1799" s="5" t="str">
        <f aca="false">IF(A1799="","",IF(J1799&gt;Parâmetros!$C$14,"SIM","NAO"))</f>
        <v/>
      </c>
      <c r="V1799" s="5" t="str">
        <f aca="false">IF(B1799="","",TRIM(LEFT(B1799,IFERROR(FIND(" ",B1799)-1,LEN(B1799)))))</f>
        <v/>
      </c>
      <c r="W1799" s="22"/>
      <c r="X1799" s="5" t="str">
        <f aca="false">IF(A1799="","",IF(W1799&lt;&gt;"",W1799,V1799))</f>
        <v/>
      </c>
      <c r="Y1799" s="5" t="str">
        <f aca="false">IF(A1799="","",IF(COUNTIFS($X$2:$X$2001,X1799,$D$2:$D$2001,"&lt;&gt;"&amp;D1799,$C$2:$C$2001,C1799)&gt;0,"SIM","NAO"))</f>
        <v/>
      </c>
      <c r="Z1799" s="5" t="str">
        <f aca="false">IF(A1799="","",IF(J1799="","",IFERROR(360/J1799,"")))</f>
        <v/>
      </c>
      <c r="AA1799" s="5" t="str">
        <f aca="false">IF(A1799="","",IF(H1799=0,"Parado (sem venda 90d)",IF(Z1799&gt;12,"Alto (&gt;12x/ano)",IF(Z1799&gt;=4,"Medio (4-12x/ano)","Baixo (&lt;4x/ano)"))))</f>
        <v/>
      </c>
    </row>
    <row r="1800" customFormat="false" ht="15" hidden="false" customHeight="true" outlineLevel="0" collapsed="false">
      <c r="A1800" s="6"/>
      <c r="B1800" s="6"/>
      <c r="C1800" s="6"/>
      <c r="D1800" s="6"/>
      <c r="E1800" s="6"/>
      <c r="F1800" s="6"/>
      <c r="G1800" s="6"/>
      <c r="H1800" s="6"/>
      <c r="I1800" s="6"/>
      <c r="J1800" s="6"/>
      <c r="K1800" s="18"/>
      <c r="L1800" s="19" t="str">
        <f aca="false">IF(A1800="","",G1800*K1800)</f>
        <v/>
      </c>
      <c r="M1800" s="20"/>
      <c r="N1800" s="6"/>
      <c r="O1800" s="6"/>
      <c r="P1800" s="5" t="str">
        <f aca="false">IF(A1800="","",H1800/90)</f>
        <v/>
      </c>
      <c r="Q1800" s="5" t="str">
        <f aca="false">IF(A1800="","",IFERROR(INDEX(Parâmetros!$C$6:$C$10,MATCH(F1800,Parâmetros!$B$6:$B$10,0)),""))</f>
        <v/>
      </c>
      <c r="R1800" s="5" t="str">
        <f aca="false">IF(OR(A1800="",P1800="",Q1800=""),"",P1800*Q1800)</f>
        <v/>
      </c>
      <c r="S1800" s="5" t="str">
        <f aca="false">IF(R1800="","",MAX(0,R1800-G1800))</f>
        <v/>
      </c>
      <c r="T1800" s="21" t="str">
        <f aca="false">IF(S1800="","",S1800*K1800)</f>
        <v/>
      </c>
      <c r="U1800" s="5" t="str">
        <f aca="false">IF(A1800="","",IF(J1800&gt;Parâmetros!$C$14,"SIM","NAO"))</f>
        <v/>
      </c>
      <c r="V1800" s="5" t="str">
        <f aca="false">IF(B1800="","",TRIM(LEFT(B1800,IFERROR(FIND(" ",B1800)-1,LEN(B1800)))))</f>
        <v/>
      </c>
      <c r="W1800" s="22"/>
      <c r="X1800" s="5" t="str">
        <f aca="false">IF(A1800="","",IF(W1800&lt;&gt;"",W1800,V1800))</f>
        <v/>
      </c>
      <c r="Y1800" s="5" t="str">
        <f aca="false">IF(A1800="","",IF(COUNTIFS($X$2:$X$2001,X1800,$D$2:$D$2001,"&lt;&gt;"&amp;D1800,$C$2:$C$2001,C1800)&gt;0,"SIM","NAO"))</f>
        <v/>
      </c>
      <c r="Z1800" s="5" t="str">
        <f aca="false">IF(A1800="","",IF(J1800="","",IFERROR(360/J1800,"")))</f>
        <v/>
      </c>
      <c r="AA1800" s="5" t="str">
        <f aca="false">IF(A1800="","",IF(H1800=0,"Parado (sem venda 90d)",IF(Z1800&gt;12,"Alto (&gt;12x/ano)",IF(Z1800&gt;=4,"Medio (4-12x/ano)","Baixo (&lt;4x/ano)"))))</f>
        <v/>
      </c>
    </row>
    <row r="1801" customFormat="false" ht="15" hidden="false" customHeight="true" outlineLevel="0" collapsed="false">
      <c r="A1801" s="6"/>
      <c r="B1801" s="6"/>
      <c r="C1801" s="6"/>
      <c r="D1801" s="6"/>
      <c r="E1801" s="6"/>
      <c r="F1801" s="6"/>
      <c r="G1801" s="6"/>
      <c r="H1801" s="6"/>
      <c r="I1801" s="6"/>
      <c r="J1801" s="6"/>
      <c r="K1801" s="18"/>
      <c r="L1801" s="19" t="str">
        <f aca="false">IF(A1801="","",G1801*K1801)</f>
        <v/>
      </c>
      <c r="M1801" s="20"/>
      <c r="N1801" s="6"/>
      <c r="O1801" s="6"/>
      <c r="P1801" s="5" t="str">
        <f aca="false">IF(A1801="","",H1801/90)</f>
        <v/>
      </c>
      <c r="Q1801" s="5" t="str">
        <f aca="false">IF(A1801="","",IFERROR(INDEX(Parâmetros!$C$6:$C$10,MATCH(F1801,Parâmetros!$B$6:$B$10,0)),""))</f>
        <v/>
      </c>
      <c r="R1801" s="5" t="str">
        <f aca="false">IF(OR(A1801="",P1801="",Q1801=""),"",P1801*Q1801)</f>
        <v/>
      </c>
      <c r="S1801" s="5" t="str">
        <f aca="false">IF(R1801="","",MAX(0,R1801-G1801))</f>
        <v/>
      </c>
      <c r="T1801" s="21" t="str">
        <f aca="false">IF(S1801="","",S1801*K1801)</f>
        <v/>
      </c>
      <c r="U1801" s="5" t="str">
        <f aca="false">IF(A1801="","",IF(J1801&gt;Parâmetros!$C$14,"SIM","NAO"))</f>
        <v/>
      </c>
      <c r="V1801" s="5" t="str">
        <f aca="false">IF(B1801="","",TRIM(LEFT(B1801,IFERROR(FIND(" ",B1801)-1,LEN(B1801)))))</f>
        <v/>
      </c>
      <c r="W1801" s="22"/>
      <c r="X1801" s="5" t="str">
        <f aca="false">IF(A1801="","",IF(W1801&lt;&gt;"",W1801,V1801))</f>
        <v/>
      </c>
      <c r="Y1801" s="5" t="str">
        <f aca="false">IF(A1801="","",IF(COUNTIFS($X$2:$X$2001,X1801,$D$2:$D$2001,"&lt;&gt;"&amp;D1801,$C$2:$C$2001,C1801)&gt;0,"SIM","NAO"))</f>
        <v/>
      </c>
      <c r="Z1801" s="5" t="str">
        <f aca="false">IF(A1801="","",IF(J1801="","",IFERROR(360/J1801,"")))</f>
        <v/>
      </c>
      <c r="AA1801" s="5" t="str">
        <f aca="false">IF(A1801="","",IF(H1801=0,"Parado (sem venda 90d)",IF(Z1801&gt;12,"Alto (&gt;12x/ano)",IF(Z1801&gt;=4,"Medio (4-12x/ano)","Baixo (&lt;4x/ano)"))))</f>
        <v/>
      </c>
    </row>
    <row r="1802" customFormat="false" ht="15" hidden="false" customHeight="true" outlineLevel="0" collapsed="false">
      <c r="A1802" s="6"/>
      <c r="B1802" s="6"/>
      <c r="C1802" s="6"/>
      <c r="D1802" s="6"/>
      <c r="E1802" s="6"/>
      <c r="F1802" s="6"/>
      <c r="G1802" s="6"/>
      <c r="H1802" s="6"/>
      <c r="I1802" s="6"/>
      <c r="J1802" s="6"/>
      <c r="K1802" s="18"/>
      <c r="L1802" s="19" t="str">
        <f aca="false">IF(A1802="","",G1802*K1802)</f>
        <v/>
      </c>
      <c r="M1802" s="20"/>
      <c r="N1802" s="6"/>
      <c r="O1802" s="6"/>
      <c r="P1802" s="5" t="str">
        <f aca="false">IF(A1802="","",H1802/90)</f>
        <v/>
      </c>
      <c r="Q1802" s="5" t="str">
        <f aca="false">IF(A1802="","",IFERROR(INDEX(Parâmetros!$C$6:$C$10,MATCH(F1802,Parâmetros!$B$6:$B$10,0)),""))</f>
        <v/>
      </c>
      <c r="R1802" s="5" t="str">
        <f aca="false">IF(OR(A1802="",P1802="",Q1802=""),"",P1802*Q1802)</f>
        <v/>
      </c>
      <c r="S1802" s="5" t="str">
        <f aca="false">IF(R1802="","",MAX(0,R1802-G1802))</f>
        <v/>
      </c>
      <c r="T1802" s="21" t="str">
        <f aca="false">IF(S1802="","",S1802*K1802)</f>
        <v/>
      </c>
      <c r="U1802" s="5" t="str">
        <f aca="false">IF(A1802="","",IF(J1802&gt;Parâmetros!$C$14,"SIM","NAO"))</f>
        <v/>
      </c>
      <c r="V1802" s="5" t="str">
        <f aca="false">IF(B1802="","",TRIM(LEFT(B1802,IFERROR(FIND(" ",B1802)-1,LEN(B1802)))))</f>
        <v/>
      </c>
      <c r="W1802" s="22"/>
      <c r="X1802" s="5" t="str">
        <f aca="false">IF(A1802="","",IF(W1802&lt;&gt;"",W1802,V1802))</f>
        <v/>
      </c>
      <c r="Y1802" s="5" t="str">
        <f aca="false">IF(A1802="","",IF(COUNTIFS($X$2:$X$2001,X1802,$D$2:$D$2001,"&lt;&gt;"&amp;D1802,$C$2:$C$2001,C1802)&gt;0,"SIM","NAO"))</f>
        <v/>
      </c>
      <c r="Z1802" s="5" t="str">
        <f aca="false">IF(A1802="","",IF(J1802="","",IFERROR(360/J1802,"")))</f>
        <v/>
      </c>
      <c r="AA1802" s="5" t="str">
        <f aca="false">IF(A1802="","",IF(H1802=0,"Parado (sem venda 90d)",IF(Z1802&gt;12,"Alto (&gt;12x/ano)",IF(Z1802&gt;=4,"Medio (4-12x/ano)","Baixo (&lt;4x/ano)"))))</f>
        <v/>
      </c>
    </row>
    <row r="1803" customFormat="false" ht="15" hidden="false" customHeight="true" outlineLevel="0" collapsed="false">
      <c r="A1803" s="6"/>
      <c r="B1803" s="6"/>
      <c r="C1803" s="6"/>
      <c r="D1803" s="6"/>
      <c r="E1803" s="6"/>
      <c r="F1803" s="6"/>
      <c r="G1803" s="6"/>
      <c r="H1803" s="6"/>
      <c r="I1803" s="6"/>
      <c r="J1803" s="6"/>
      <c r="K1803" s="18"/>
      <c r="L1803" s="19" t="str">
        <f aca="false">IF(A1803="","",G1803*K1803)</f>
        <v/>
      </c>
      <c r="M1803" s="20"/>
      <c r="N1803" s="6"/>
      <c r="O1803" s="6"/>
      <c r="P1803" s="5" t="str">
        <f aca="false">IF(A1803="","",H1803/90)</f>
        <v/>
      </c>
      <c r="Q1803" s="5" t="str">
        <f aca="false">IF(A1803="","",IFERROR(INDEX(Parâmetros!$C$6:$C$10,MATCH(F1803,Parâmetros!$B$6:$B$10,0)),""))</f>
        <v/>
      </c>
      <c r="R1803" s="5" t="str">
        <f aca="false">IF(OR(A1803="",P1803="",Q1803=""),"",P1803*Q1803)</f>
        <v/>
      </c>
      <c r="S1803" s="5" t="str">
        <f aca="false">IF(R1803="","",MAX(0,R1803-G1803))</f>
        <v/>
      </c>
      <c r="T1803" s="21" t="str">
        <f aca="false">IF(S1803="","",S1803*K1803)</f>
        <v/>
      </c>
      <c r="U1803" s="5" t="str">
        <f aca="false">IF(A1803="","",IF(J1803&gt;Parâmetros!$C$14,"SIM","NAO"))</f>
        <v/>
      </c>
      <c r="V1803" s="5" t="str">
        <f aca="false">IF(B1803="","",TRIM(LEFT(B1803,IFERROR(FIND(" ",B1803)-1,LEN(B1803)))))</f>
        <v/>
      </c>
      <c r="W1803" s="22"/>
      <c r="X1803" s="5" t="str">
        <f aca="false">IF(A1803="","",IF(W1803&lt;&gt;"",W1803,V1803))</f>
        <v/>
      </c>
      <c r="Y1803" s="5" t="str">
        <f aca="false">IF(A1803="","",IF(COUNTIFS($X$2:$X$2001,X1803,$D$2:$D$2001,"&lt;&gt;"&amp;D1803,$C$2:$C$2001,C1803)&gt;0,"SIM","NAO"))</f>
        <v/>
      </c>
      <c r="Z1803" s="5" t="str">
        <f aca="false">IF(A1803="","",IF(J1803="","",IFERROR(360/J1803,"")))</f>
        <v/>
      </c>
      <c r="AA1803" s="5" t="str">
        <f aca="false">IF(A1803="","",IF(H1803=0,"Parado (sem venda 90d)",IF(Z1803&gt;12,"Alto (&gt;12x/ano)",IF(Z1803&gt;=4,"Medio (4-12x/ano)","Baixo (&lt;4x/ano)"))))</f>
        <v/>
      </c>
    </row>
    <row r="1804" customFormat="false" ht="15" hidden="false" customHeight="true" outlineLevel="0" collapsed="false">
      <c r="A1804" s="6"/>
      <c r="B1804" s="6"/>
      <c r="C1804" s="6"/>
      <c r="D1804" s="6"/>
      <c r="E1804" s="6"/>
      <c r="F1804" s="6"/>
      <c r="G1804" s="6"/>
      <c r="H1804" s="6"/>
      <c r="I1804" s="6"/>
      <c r="J1804" s="6"/>
      <c r="K1804" s="18"/>
      <c r="L1804" s="19" t="str">
        <f aca="false">IF(A1804="","",G1804*K1804)</f>
        <v/>
      </c>
      <c r="M1804" s="20"/>
      <c r="N1804" s="6"/>
      <c r="O1804" s="6"/>
      <c r="P1804" s="5" t="str">
        <f aca="false">IF(A1804="","",H1804/90)</f>
        <v/>
      </c>
      <c r="Q1804" s="5" t="str">
        <f aca="false">IF(A1804="","",IFERROR(INDEX(Parâmetros!$C$6:$C$10,MATCH(F1804,Parâmetros!$B$6:$B$10,0)),""))</f>
        <v/>
      </c>
      <c r="R1804" s="5" t="str">
        <f aca="false">IF(OR(A1804="",P1804="",Q1804=""),"",P1804*Q1804)</f>
        <v/>
      </c>
      <c r="S1804" s="5" t="str">
        <f aca="false">IF(R1804="","",MAX(0,R1804-G1804))</f>
        <v/>
      </c>
      <c r="T1804" s="21" t="str">
        <f aca="false">IF(S1804="","",S1804*K1804)</f>
        <v/>
      </c>
      <c r="U1804" s="5" t="str">
        <f aca="false">IF(A1804="","",IF(J1804&gt;Parâmetros!$C$14,"SIM","NAO"))</f>
        <v/>
      </c>
      <c r="V1804" s="5" t="str">
        <f aca="false">IF(B1804="","",TRIM(LEFT(B1804,IFERROR(FIND(" ",B1804)-1,LEN(B1804)))))</f>
        <v/>
      </c>
      <c r="W1804" s="22"/>
      <c r="X1804" s="5" t="str">
        <f aca="false">IF(A1804="","",IF(W1804&lt;&gt;"",W1804,V1804))</f>
        <v/>
      </c>
      <c r="Y1804" s="5" t="str">
        <f aca="false">IF(A1804="","",IF(COUNTIFS($X$2:$X$2001,X1804,$D$2:$D$2001,"&lt;&gt;"&amp;D1804,$C$2:$C$2001,C1804)&gt;0,"SIM","NAO"))</f>
        <v/>
      </c>
      <c r="Z1804" s="5" t="str">
        <f aca="false">IF(A1804="","",IF(J1804="","",IFERROR(360/J1804,"")))</f>
        <v/>
      </c>
      <c r="AA1804" s="5" t="str">
        <f aca="false">IF(A1804="","",IF(H1804=0,"Parado (sem venda 90d)",IF(Z1804&gt;12,"Alto (&gt;12x/ano)",IF(Z1804&gt;=4,"Medio (4-12x/ano)","Baixo (&lt;4x/ano)"))))</f>
        <v/>
      </c>
    </row>
    <row r="1805" customFormat="false" ht="15" hidden="false" customHeight="true" outlineLevel="0" collapsed="false">
      <c r="A1805" s="6"/>
      <c r="B1805" s="6"/>
      <c r="C1805" s="6"/>
      <c r="D1805" s="6"/>
      <c r="E1805" s="6"/>
      <c r="F1805" s="6"/>
      <c r="G1805" s="6"/>
      <c r="H1805" s="6"/>
      <c r="I1805" s="6"/>
      <c r="J1805" s="6"/>
      <c r="K1805" s="18"/>
      <c r="L1805" s="19" t="str">
        <f aca="false">IF(A1805="","",G1805*K1805)</f>
        <v/>
      </c>
      <c r="M1805" s="20"/>
      <c r="N1805" s="6"/>
      <c r="O1805" s="6"/>
      <c r="P1805" s="5" t="str">
        <f aca="false">IF(A1805="","",H1805/90)</f>
        <v/>
      </c>
      <c r="Q1805" s="5" t="str">
        <f aca="false">IF(A1805="","",IFERROR(INDEX(Parâmetros!$C$6:$C$10,MATCH(F1805,Parâmetros!$B$6:$B$10,0)),""))</f>
        <v/>
      </c>
      <c r="R1805" s="5" t="str">
        <f aca="false">IF(OR(A1805="",P1805="",Q1805=""),"",P1805*Q1805)</f>
        <v/>
      </c>
      <c r="S1805" s="5" t="str">
        <f aca="false">IF(R1805="","",MAX(0,R1805-G1805))</f>
        <v/>
      </c>
      <c r="T1805" s="21" t="str">
        <f aca="false">IF(S1805="","",S1805*K1805)</f>
        <v/>
      </c>
      <c r="U1805" s="5" t="str">
        <f aca="false">IF(A1805="","",IF(J1805&gt;Parâmetros!$C$14,"SIM","NAO"))</f>
        <v/>
      </c>
      <c r="V1805" s="5" t="str">
        <f aca="false">IF(B1805="","",TRIM(LEFT(B1805,IFERROR(FIND(" ",B1805)-1,LEN(B1805)))))</f>
        <v/>
      </c>
      <c r="W1805" s="22"/>
      <c r="X1805" s="5" t="str">
        <f aca="false">IF(A1805="","",IF(W1805&lt;&gt;"",W1805,V1805))</f>
        <v/>
      </c>
      <c r="Y1805" s="5" t="str">
        <f aca="false">IF(A1805="","",IF(COUNTIFS($X$2:$X$2001,X1805,$D$2:$D$2001,"&lt;&gt;"&amp;D1805,$C$2:$C$2001,C1805)&gt;0,"SIM","NAO"))</f>
        <v/>
      </c>
      <c r="Z1805" s="5" t="str">
        <f aca="false">IF(A1805="","",IF(J1805="","",IFERROR(360/J1805,"")))</f>
        <v/>
      </c>
      <c r="AA1805" s="5" t="str">
        <f aca="false">IF(A1805="","",IF(H1805=0,"Parado (sem venda 90d)",IF(Z1805&gt;12,"Alto (&gt;12x/ano)",IF(Z1805&gt;=4,"Medio (4-12x/ano)","Baixo (&lt;4x/ano)"))))</f>
        <v/>
      </c>
    </row>
    <row r="1806" customFormat="false" ht="15" hidden="false" customHeight="true" outlineLevel="0" collapsed="false">
      <c r="A1806" s="6"/>
      <c r="B1806" s="6"/>
      <c r="C1806" s="6"/>
      <c r="D1806" s="6"/>
      <c r="E1806" s="6"/>
      <c r="F1806" s="6"/>
      <c r="G1806" s="6"/>
      <c r="H1806" s="6"/>
      <c r="I1806" s="6"/>
      <c r="J1806" s="6"/>
      <c r="K1806" s="18"/>
      <c r="L1806" s="19" t="str">
        <f aca="false">IF(A1806="","",G1806*K1806)</f>
        <v/>
      </c>
      <c r="M1806" s="20"/>
      <c r="N1806" s="6"/>
      <c r="O1806" s="6"/>
      <c r="P1806" s="5" t="str">
        <f aca="false">IF(A1806="","",H1806/90)</f>
        <v/>
      </c>
      <c r="Q1806" s="5" t="str">
        <f aca="false">IF(A1806="","",IFERROR(INDEX(Parâmetros!$C$6:$C$10,MATCH(F1806,Parâmetros!$B$6:$B$10,0)),""))</f>
        <v/>
      </c>
      <c r="R1806" s="5" t="str">
        <f aca="false">IF(OR(A1806="",P1806="",Q1806=""),"",P1806*Q1806)</f>
        <v/>
      </c>
      <c r="S1806" s="5" t="str">
        <f aca="false">IF(R1806="","",MAX(0,R1806-G1806))</f>
        <v/>
      </c>
      <c r="T1806" s="21" t="str">
        <f aca="false">IF(S1806="","",S1806*K1806)</f>
        <v/>
      </c>
      <c r="U1806" s="5" t="str">
        <f aca="false">IF(A1806="","",IF(J1806&gt;Parâmetros!$C$14,"SIM","NAO"))</f>
        <v/>
      </c>
      <c r="V1806" s="5" t="str">
        <f aca="false">IF(B1806="","",TRIM(LEFT(B1806,IFERROR(FIND(" ",B1806)-1,LEN(B1806)))))</f>
        <v/>
      </c>
      <c r="W1806" s="22"/>
      <c r="X1806" s="5" t="str">
        <f aca="false">IF(A1806="","",IF(W1806&lt;&gt;"",W1806,V1806))</f>
        <v/>
      </c>
      <c r="Y1806" s="5" t="str">
        <f aca="false">IF(A1806="","",IF(COUNTIFS($X$2:$X$2001,X1806,$D$2:$D$2001,"&lt;&gt;"&amp;D1806,$C$2:$C$2001,C1806)&gt;0,"SIM","NAO"))</f>
        <v/>
      </c>
      <c r="Z1806" s="5" t="str">
        <f aca="false">IF(A1806="","",IF(J1806="","",IFERROR(360/J1806,"")))</f>
        <v/>
      </c>
      <c r="AA1806" s="5" t="str">
        <f aca="false">IF(A1806="","",IF(H1806=0,"Parado (sem venda 90d)",IF(Z1806&gt;12,"Alto (&gt;12x/ano)",IF(Z1806&gt;=4,"Medio (4-12x/ano)","Baixo (&lt;4x/ano)"))))</f>
        <v/>
      </c>
    </row>
    <row r="1807" customFormat="false" ht="15" hidden="false" customHeight="true" outlineLevel="0" collapsed="false">
      <c r="A1807" s="6"/>
      <c r="B1807" s="6"/>
      <c r="C1807" s="6"/>
      <c r="D1807" s="6"/>
      <c r="E1807" s="6"/>
      <c r="F1807" s="6"/>
      <c r="G1807" s="6"/>
      <c r="H1807" s="6"/>
      <c r="I1807" s="6"/>
      <c r="J1807" s="6"/>
      <c r="K1807" s="18"/>
      <c r="L1807" s="19" t="str">
        <f aca="false">IF(A1807="","",G1807*K1807)</f>
        <v/>
      </c>
      <c r="M1807" s="20"/>
      <c r="N1807" s="6"/>
      <c r="O1807" s="6"/>
      <c r="P1807" s="5" t="str">
        <f aca="false">IF(A1807="","",H1807/90)</f>
        <v/>
      </c>
      <c r="Q1807" s="5" t="str">
        <f aca="false">IF(A1807="","",IFERROR(INDEX(Parâmetros!$C$6:$C$10,MATCH(F1807,Parâmetros!$B$6:$B$10,0)),""))</f>
        <v/>
      </c>
      <c r="R1807" s="5" t="str">
        <f aca="false">IF(OR(A1807="",P1807="",Q1807=""),"",P1807*Q1807)</f>
        <v/>
      </c>
      <c r="S1807" s="5" t="str">
        <f aca="false">IF(R1807="","",MAX(0,R1807-G1807))</f>
        <v/>
      </c>
      <c r="T1807" s="21" t="str">
        <f aca="false">IF(S1807="","",S1807*K1807)</f>
        <v/>
      </c>
      <c r="U1807" s="5" t="str">
        <f aca="false">IF(A1807="","",IF(J1807&gt;Parâmetros!$C$14,"SIM","NAO"))</f>
        <v/>
      </c>
      <c r="V1807" s="5" t="str">
        <f aca="false">IF(B1807="","",TRIM(LEFT(B1807,IFERROR(FIND(" ",B1807)-1,LEN(B1807)))))</f>
        <v/>
      </c>
      <c r="W1807" s="22"/>
      <c r="X1807" s="5" t="str">
        <f aca="false">IF(A1807="","",IF(W1807&lt;&gt;"",W1807,V1807))</f>
        <v/>
      </c>
      <c r="Y1807" s="5" t="str">
        <f aca="false">IF(A1807="","",IF(COUNTIFS($X$2:$X$2001,X1807,$D$2:$D$2001,"&lt;&gt;"&amp;D1807,$C$2:$C$2001,C1807)&gt;0,"SIM","NAO"))</f>
        <v/>
      </c>
      <c r="Z1807" s="5" t="str">
        <f aca="false">IF(A1807="","",IF(J1807="","",IFERROR(360/J1807,"")))</f>
        <v/>
      </c>
      <c r="AA1807" s="5" t="str">
        <f aca="false">IF(A1807="","",IF(H1807=0,"Parado (sem venda 90d)",IF(Z1807&gt;12,"Alto (&gt;12x/ano)",IF(Z1807&gt;=4,"Medio (4-12x/ano)","Baixo (&lt;4x/ano)"))))</f>
        <v/>
      </c>
    </row>
    <row r="1808" customFormat="false" ht="15" hidden="false" customHeight="true" outlineLevel="0" collapsed="false">
      <c r="A1808" s="6"/>
      <c r="B1808" s="6"/>
      <c r="C1808" s="6"/>
      <c r="D1808" s="6"/>
      <c r="E1808" s="6"/>
      <c r="F1808" s="6"/>
      <c r="G1808" s="6"/>
      <c r="H1808" s="6"/>
      <c r="I1808" s="6"/>
      <c r="J1808" s="6"/>
      <c r="K1808" s="18"/>
      <c r="L1808" s="19" t="str">
        <f aca="false">IF(A1808="","",G1808*K1808)</f>
        <v/>
      </c>
      <c r="M1808" s="20"/>
      <c r="N1808" s="6"/>
      <c r="O1808" s="6"/>
      <c r="P1808" s="5" t="str">
        <f aca="false">IF(A1808="","",H1808/90)</f>
        <v/>
      </c>
      <c r="Q1808" s="5" t="str">
        <f aca="false">IF(A1808="","",IFERROR(INDEX(Parâmetros!$C$6:$C$10,MATCH(F1808,Parâmetros!$B$6:$B$10,0)),""))</f>
        <v/>
      </c>
      <c r="R1808" s="5" t="str">
        <f aca="false">IF(OR(A1808="",P1808="",Q1808=""),"",P1808*Q1808)</f>
        <v/>
      </c>
      <c r="S1808" s="5" t="str">
        <f aca="false">IF(R1808="","",MAX(0,R1808-G1808))</f>
        <v/>
      </c>
      <c r="T1808" s="21" t="str">
        <f aca="false">IF(S1808="","",S1808*K1808)</f>
        <v/>
      </c>
      <c r="U1808" s="5" t="str">
        <f aca="false">IF(A1808="","",IF(J1808&gt;Parâmetros!$C$14,"SIM","NAO"))</f>
        <v/>
      </c>
      <c r="V1808" s="5" t="str">
        <f aca="false">IF(B1808="","",TRIM(LEFT(B1808,IFERROR(FIND(" ",B1808)-1,LEN(B1808)))))</f>
        <v/>
      </c>
      <c r="W1808" s="22"/>
      <c r="X1808" s="5" t="str">
        <f aca="false">IF(A1808="","",IF(W1808&lt;&gt;"",W1808,V1808))</f>
        <v/>
      </c>
      <c r="Y1808" s="5" t="str">
        <f aca="false">IF(A1808="","",IF(COUNTIFS($X$2:$X$2001,X1808,$D$2:$D$2001,"&lt;&gt;"&amp;D1808,$C$2:$C$2001,C1808)&gt;0,"SIM","NAO"))</f>
        <v/>
      </c>
      <c r="Z1808" s="5" t="str">
        <f aca="false">IF(A1808="","",IF(J1808="","",IFERROR(360/J1808,"")))</f>
        <v/>
      </c>
      <c r="AA1808" s="5" t="str">
        <f aca="false">IF(A1808="","",IF(H1808=0,"Parado (sem venda 90d)",IF(Z1808&gt;12,"Alto (&gt;12x/ano)",IF(Z1808&gt;=4,"Medio (4-12x/ano)","Baixo (&lt;4x/ano)"))))</f>
        <v/>
      </c>
    </row>
    <row r="1809" customFormat="false" ht="15" hidden="false" customHeight="true" outlineLevel="0" collapsed="false">
      <c r="A1809" s="6"/>
      <c r="B1809" s="6"/>
      <c r="C1809" s="6"/>
      <c r="D1809" s="6"/>
      <c r="E1809" s="6"/>
      <c r="F1809" s="6"/>
      <c r="G1809" s="6"/>
      <c r="H1809" s="6"/>
      <c r="I1809" s="6"/>
      <c r="J1809" s="6"/>
      <c r="K1809" s="18"/>
      <c r="L1809" s="19" t="str">
        <f aca="false">IF(A1809="","",G1809*K1809)</f>
        <v/>
      </c>
      <c r="M1809" s="20"/>
      <c r="N1809" s="6"/>
      <c r="O1809" s="6"/>
      <c r="P1809" s="5" t="str">
        <f aca="false">IF(A1809="","",H1809/90)</f>
        <v/>
      </c>
      <c r="Q1809" s="5" t="str">
        <f aca="false">IF(A1809="","",IFERROR(INDEX(Parâmetros!$C$6:$C$10,MATCH(F1809,Parâmetros!$B$6:$B$10,0)),""))</f>
        <v/>
      </c>
      <c r="R1809" s="5" t="str">
        <f aca="false">IF(OR(A1809="",P1809="",Q1809=""),"",P1809*Q1809)</f>
        <v/>
      </c>
      <c r="S1809" s="5" t="str">
        <f aca="false">IF(R1809="","",MAX(0,R1809-G1809))</f>
        <v/>
      </c>
      <c r="T1809" s="21" t="str">
        <f aca="false">IF(S1809="","",S1809*K1809)</f>
        <v/>
      </c>
      <c r="U1809" s="5" t="str">
        <f aca="false">IF(A1809="","",IF(J1809&gt;Parâmetros!$C$14,"SIM","NAO"))</f>
        <v/>
      </c>
      <c r="V1809" s="5" t="str">
        <f aca="false">IF(B1809="","",TRIM(LEFT(B1809,IFERROR(FIND(" ",B1809)-1,LEN(B1809)))))</f>
        <v/>
      </c>
      <c r="W1809" s="22"/>
      <c r="X1809" s="5" t="str">
        <f aca="false">IF(A1809="","",IF(W1809&lt;&gt;"",W1809,V1809))</f>
        <v/>
      </c>
      <c r="Y1809" s="5" t="str">
        <f aca="false">IF(A1809="","",IF(COUNTIFS($X$2:$X$2001,X1809,$D$2:$D$2001,"&lt;&gt;"&amp;D1809,$C$2:$C$2001,C1809)&gt;0,"SIM","NAO"))</f>
        <v/>
      </c>
      <c r="Z1809" s="5" t="str">
        <f aca="false">IF(A1809="","",IF(J1809="","",IFERROR(360/J1809,"")))</f>
        <v/>
      </c>
      <c r="AA1809" s="5" t="str">
        <f aca="false">IF(A1809="","",IF(H1809=0,"Parado (sem venda 90d)",IF(Z1809&gt;12,"Alto (&gt;12x/ano)",IF(Z1809&gt;=4,"Medio (4-12x/ano)","Baixo (&lt;4x/ano)"))))</f>
        <v/>
      </c>
    </row>
    <row r="1810" customFormat="false" ht="15" hidden="false" customHeight="true" outlineLevel="0" collapsed="false">
      <c r="A1810" s="6"/>
      <c r="B1810" s="6"/>
      <c r="C1810" s="6"/>
      <c r="D1810" s="6"/>
      <c r="E1810" s="6"/>
      <c r="F1810" s="6"/>
      <c r="G1810" s="6"/>
      <c r="H1810" s="6"/>
      <c r="I1810" s="6"/>
      <c r="J1810" s="6"/>
      <c r="K1810" s="18"/>
      <c r="L1810" s="19" t="str">
        <f aca="false">IF(A1810="","",G1810*K1810)</f>
        <v/>
      </c>
      <c r="M1810" s="20"/>
      <c r="N1810" s="6"/>
      <c r="O1810" s="6"/>
      <c r="P1810" s="5" t="str">
        <f aca="false">IF(A1810="","",H1810/90)</f>
        <v/>
      </c>
      <c r="Q1810" s="5" t="str">
        <f aca="false">IF(A1810="","",IFERROR(INDEX(Parâmetros!$C$6:$C$10,MATCH(F1810,Parâmetros!$B$6:$B$10,0)),""))</f>
        <v/>
      </c>
      <c r="R1810" s="5" t="str">
        <f aca="false">IF(OR(A1810="",P1810="",Q1810=""),"",P1810*Q1810)</f>
        <v/>
      </c>
      <c r="S1810" s="5" t="str">
        <f aca="false">IF(R1810="","",MAX(0,R1810-G1810))</f>
        <v/>
      </c>
      <c r="T1810" s="21" t="str">
        <f aca="false">IF(S1810="","",S1810*K1810)</f>
        <v/>
      </c>
      <c r="U1810" s="5" t="str">
        <f aca="false">IF(A1810="","",IF(J1810&gt;Parâmetros!$C$14,"SIM","NAO"))</f>
        <v/>
      </c>
      <c r="V1810" s="5" t="str">
        <f aca="false">IF(B1810="","",TRIM(LEFT(B1810,IFERROR(FIND(" ",B1810)-1,LEN(B1810)))))</f>
        <v/>
      </c>
      <c r="W1810" s="22"/>
      <c r="X1810" s="5" t="str">
        <f aca="false">IF(A1810="","",IF(W1810&lt;&gt;"",W1810,V1810))</f>
        <v/>
      </c>
      <c r="Y1810" s="5" t="str">
        <f aca="false">IF(A1810="","",IF(COUNTIFS($X$2:$X$2001,X1810,$D$2:$D$2001,"&lt;&gt;"&amp;D1810,$C$2:$C$2001,C1810)&gt;0,"SIM","NAO"))</f>
        <v/>
      </c>
      <c r="Z1810" s="5" t="str">
        <f aca="false">IF(A1810="","",IF(J1810="","",IFERROR(360/J1810,"")))</f>
        <v/>
      </c>
      <c r="AA1810" s="5" t="str">
        <f aca="false">IF(A1810="","",IF(H1810=0,"Parado (sem venda 90d)",IF(Z1810&gt;12,"Alto (&gt;12x/ano)",IF(Z1810&gt;=4,"Medio (4-12x/ano)","Baixo (&lt;4x/ano)"))))</f>
        <v/>
      </c>
    </row>
    <row r="1811" customFormat="false" ht="15" hidden="false" customHeight="true" outlineLevel="0" collapsed="false">
      <c r="A1811" s="6"/>
      <c r="B1811" s="6"/>
      <c r="C1811" s="6"/>
      <c r="D1811" s="6"/>
      <c r="E1811" s="6"/>
      <c r="F1811" s="6"/>
      <c r="G1811" s="6"/>
      <c r="H1811" s="6"/>
      <c r="I1811" s="6"/>
      <c r="J1811" s="6"/>
      <c r="K1811" s="18"/>
      <c r="L1811" s="19" t="str">
        <f aca="false">IF(A1811="","",G1811*K1811)</f>
        <v/>
      </c>
      <c r="M1811" s="20"/>
      <c r="N1811" s="6"/>
      <c r="O1811" s="6"/>
      <c r="P1811" s="5" t="str">
        <f aca="false">IF(A1811="","",H1811/90)</f>
        <v/>
      </c>
      <c r="Q1811" s="5" t="str">
        <f aca="false">IF(A1811="","",IFERROR(INDEX(Parâmetros!$C$6:$C$10,MATCH(F1811,Parâmetros!$B$6:$B$10,0)),""))</f>
        <v/>
      </c>
      <c r="R1811" s="5" t="str">
        <f aca="false">IF(OR(A1811="",P1811="",Q1811=""),"",P1811*Q1811)</f>
        <v/>
      </c>
      <c r="S1811" s="5" t="str">
        <f aca="false">IF(R1811="","",MAX(0,R1811-G1811))</f>
        <v/>
      </c>
      <c r="T1811" s="21" t="str">
        <f aca="false">IF(S1811="","",S1811*K1811)</f>
        <v/>
      </c>
      <c r="U1811" s="5" t="str">
        <f aca="false">IF(A1811="","",IF(J1811&gt;Parâmetros!$C$14,"SIM","NAO"))</f>
        <v/>
      </c>
      <c r="V1811" s="5" t="str">
        <f aca="false">IF(B1811="","",TRIM(LEFT(B1811,IFERROR(FIND(" ",B1811)-1,LEN(B1811)))))</f>
        <v/>
      </c>
      <c r="W1811" s="22"/>
      <c r="X1811" s="5" t="str">
        <f aca="false">IF(A1811="","",IF(W1811&lt;&gt;"",W1811,V1811))</f>
        <v/>
      </c>
      <c r="Y1811" s="5" t="str">
        <f aca="false">IF(A1811="","",IF(COUNTIFS($X$2:$X$2001,X1811,$D$2:$D$2001,"&lt;&gt;"&amp;D1811,$C$2:$C$2001,C1811)&gt;0,"SIM","NAO"))</f>
        <v/>
      </c>
      <c r="Z1811" s="5" t="str">
        <f aca="false">IF(A1811="","",IF(J1811="","",IFERROR(360/J1811,"")))</f>
        <v/>
      </c>
      <c r="AA1811" s="5" t="str">
        <f aca="false">IF(A1811="","",IF(H1811=0,"Parado (sem venda 90d)",IF(Z1811&gt;12,"Alto (&gt;12x/ano)",IF(Z1811&gt;=4,"Medio (4-12x/ano)","Baixo (&lt;4x/ano)"))))</f>
        <v/>
      </c>
    </row>
    <row r="1812" customFormat="false" ht="15" hidden="false" customHeight="true" outlineLevel="0" collapsed="false">
      <c r="A1812" s="6"/>
      <c r="B1812" s="6"/>
      <c r="C1812" s="6"/>
      <c r="D1812" s="6"/>
      <c r="E1812" s="6"/>
      <c r="F1812" s="6"/>
      <c r="G1812" s="6"/>
      <c r="H1812" s="6"/>
      <c r="I1812" s="6"/>
      <c r="J1812" s="6"/>
      <c r="K1812" s="18"/>
      <c r="L1812" s="19" t="str">
        <f aca="false">IF(A1812="","",G1812*K1812)</f>
        <v/>
      </c>
      <c r="M1812" s="20"/>
      <c r="N1812" s="6"/>
      <c r="O1812" s="6"/>
      <c r="P1812" s="5" t="str">
        <f aca="false">IF(A1812="","",H1812/90)</f>
        <v/>
      </c>
      <c r="Q1812" s="5" t="str">
        <f aca="false">IF(A1812="","",IFERROR(INDEX(Parâmetros!$C$6:$C$10,MATCH(F1812,Parâmetros!$B$6:$B$10,0)),""))</f>
        <v/>
      </c>
      <c r="R1812" s="5" t="str">
        <f aca="false">IF(OR(A1812="",P1812="",Q1812=""),"",P1812*Q1812)</f>
        <v/>
      </c>
      <c r="S1812" s="5" t="str">
        <f aca="false">IF(R1812="","",MAX(0,R1812-G1812))</f>
        <v/>
      </c>
      <c r="T1812" s="21" t="str">
        <f aca="false">IF(S1812="","",S1812*K1812)</f>
        <v/>
      </c>
      <c r="U1812" s="5" t="str">
        <f aca="false">IF(A1812="","",IF(J1812&gt;Parâmetros!$C$14,"SIM","NAO"))</f>
        <v/>
      </c>
      <c r="V1812" s="5" t="str">
        <f aca="false">IF(B1812="","",TRIM(LEFT(B1812,IFERROR(FIND(" ",B1812)-1,LEN(B1812)))))</f>
        <v/>
      </c>
      <c r="W1812" s="22"/>
      <c r="X1812" s="5" t="str">
        <f aca="false">IF(A1812="","",IF(W1812&lt;&gt;"",W1812,V1812))</f>
        <v/>
      </c>
      <c r="Y1812" s="5" t="str">
        <f aca="false">IF(A1812="","",IF(COUNTIFS($X$2:$X$2001,X1812,$D$2:$D$2001,"&lt;&gt;"&amp;D1812,$C$2:$C$2001,C1812)&gt;0,"SIM","NAO"))</f>
        <v/>
      </c>
      <c r="Z1812" s="5" t="str">
        <f aca="false">IF(A1812="","",IF(J1812="","",IFERROR(360/J1812,"")))</f>
        <v/>
      </c>
      <c r="AA1812" s="5" t="str">
        <f aca="false">IF(A1812="","",IF(H1812=0,"Parado (sem venda 90d)",IF(Z1812&gt;12,"Alto (&gt;12x/ano)",IF(Z1812&gt;=4,"Medio (4-12x/ano)","Baixo (&lt;4x/ano)"))))</f>
        <v/>
      </c>
    </row>
    <row r="1813" customFormat="false" ht="15" hidden="false" customHeight="true" outlineLevel="0" collapsed="false">
      <c r="A1813" s="6"/>
      <c r="B1813" s="6"/>
      <c r="C1813" s="6"/>
      <c r="D1813" s="6"/>
      <c r="E1813" s="6"/>
      <c r="F1813" s="6"/>
      <c r="G1813" s="6"/>
      <c r="H1813" s="6"/>
      <c r="I1813" s="6"/>
      <c r="J1813" s="6"/>
      <c r="K1813" s="18"/>
      <c r="L1813" s="19" t="str">
        <f aca="false">IF(A1813="","",G1813*K1813)</f>
        <v/>
      </c>
      <c r="M1813" s="20"/>
      <c r="N1813" s="6"/>
      <c r="O1813" s="6"/>
      <c r="P1813" s="5" t="str">
        <f aca="false">IF(A1813="","",H1813/90)</f>
        <v/>
      </c>
      <c r="Q1813" s="5" t="str">
        <f aca="false">IF(A1813="","",IFERROR(INDEX(Parâmetros!$C$6:$C$10,MATCH(F1813,Parâmetros!$B$6:$B$10,0)),""))</f>
        <v/>
      </c>
      <c r="R1813" s="5" t="str">
        <f aca="false">IF(OR(A1813="",P1813="",Q1813=""),"",P1813*Q1813)</f>
        <v/>
      </c>
      <c r="S1813" s="5" t="str">
        <f aca="false">IF(R1813="","",MAX(0,R1813-G1813))</f>
        <v/>
      </c>
      <c r="T1813" s="21" t="str">
        <f aca="false">IF(S1813="","",S1813*K1813)</f>
        <v/>
      </c>
      <c r="U1813" s="5" t="str">
        <f aca="false">IF(A1813="","",IF(J1813&gt;Parâmetros!$C$14,"SIM","NAO"))</f>
        <v/>
      </c>
      <c r="V1813" s="5" t="str">
        <f aca="false">IF(B1813="","",TRIM(LEFT(B1813,IFERROR(FIND(" ",B1813)-1,LEN(B1813)))))</f>
        <v/>
      </c>
      <c r="W1813" s="22"/>
      <c r="X1813" s="5" t="str">
        <f aca="false">IF(A1813="","",IF(W1813&lt;&gt;"",W1813,V1813))</f>
        <v/>
      </c>
      <c r="Y1813" s="5" t="str">
        <f aca="false">IF(A1813="","",IF(COUNTIFS($X$2:$X$2001,X1813,$D$2:$D$2001,"&lt;&gt;"&amp;D1813,$C$2:$C$2001,C1813)&gt;0,"SIM","NAO"))</f>
        <v/>
      </c>
      <c r="Z1813" s="5" t="str">
        <f aca="false">IF(A1813="","",IF(J1813="","",IFERROR(360/J1813,"")))</f>
        <v/>
      </c>
      <c r="AA1813" s="5" t="str">
        <f aca="false">IF(A1813="","",IF(H1813=0,"Parado (sem venda 90d)",IF(Z1813&gt;12,"Alto (&gt;12x/ano)",IF(Z1813&gt;=4,"Medio (4-12x/ano)","Baixo (&lt;4x/ano)"))))</f>
        <v/>
      </c>
    </row>
    <row r="1814" customFormat="false" ht="15" hidden="false" customHeight="true" outlineLevel="0" collapsed="false">
      <c r="A1814" s="6"/>
      <c r="B1814" s="6"/>
      <c r="C1814" s="6"/>
      <c r="D1814" s="6"/>
      <c r="E1814" s="6"/>
      <c r="F1814" s="6"/>
      <c r="G1814" s="6"/>
      <c r="H1814" s="6"/>
      <c r="I1814" s="6"/>
      <c r="J1814" s="6"/>
      <c r="K1814" s="18"/>
      <c r="L1814" s="19" t="str">
        <f aca="false">IF(A1814="","",G1814*K1814)</f>
        <v/>
      </c>
      <c r="M1814" s="20"/>
      <c r="N1814" s="6"/>
      <c r="O1814" s="6"/>
      <c r="P1814" s="5" t="str">
        <f aca="false">IF(A1814="","",H1814/90)</f>
        <v/>
      </c>
      <c r="Q1814" s="5" t="str">
        <f aca="false">IF(A1814="","",IFERROR(INDEX(Parâmetros!$C$6:$C$10,MATCH(F1814,Parâmetros!$B$6:$B$10,0)),""))</f>
        <v/>
      </c>
      <c r="R1814" s="5" t="str">
        <f aca="false">IF(OR(A1814="",P1814="",Q1814=""),"",P1814*Q1814)</f>
        <v/>
      </c>
      <c r="S1814" s="5" t="str">
        <f aca="false">IF(R1814="","",MAX(0,R1814-G1814))</f>
        <v/>
      </c>
      <c r="T1814" s="21" t="str">
        <f aca="false">IF(S1814="","",S1814*K1814)</f>
        <v/>
      </c>
      <c r="U1814" s="5" t="str">
        <f aca="false">IF(A1814="","",IF(J1814&gt;Parâmetros!$C$14,"SIM","NAO"))</f>
        <v/>
      </c>
      <c r="V1814" s="5" t="str">
        <f aca="false">IF(B1814="","",TRIM(LEFT(B1814,IFERROR(FIND(" ",B1814)-1,LEN(B1814)))))</f>
        <v/>
      </c>
      <c r="W1814" s="22"/>
      <c r="X1814" s="5" t="str">
        <f aca="false">IF(A1814="","",IF(W1814&lt;&gt;"",W1814,V1814))</f>
        <v/>
      </c>
      <c r="Y1814" s="5" t="str">
        <f aca="false">IF(A1814="","",IF(COUNTIFS($X$2:$X$2001,X1814,$D$2:$D$2001,"&lt;&gt;"&amp;D1814,$C$2:$C$2001,C1814)&gt;0,"SIM","NAO"))</f>
        <v/>
      </c>
      <c r="Z1814" s="5" t="str">
        <f aca="false">IF(A1814="","",IF(J1814="","",IFERROR(360/J1814,"")))</f>
        <v/>
      </c>
      <c r="AA1814" s="5" t="str">
        <f aca="false">IF(A1814="","",IF(H1814=0,"Parado (sem venda 90d)",IF(Z1814&gt;12,"Alto (&gt;12x/ano)",IF(Z1814&gt;=4,"Medio (4-12x/ano)","Baixo (&lt;4x/ano)"))))</f>
        <v/>
      </c>
    </row>
    <row r="1815" customFormat="false" ht="15" hidden="false" customHeight="true" outlineLevel="0" collapsed="false">
      <c r="A1815" s="6"/>
      <c r="B1815" s="6"/>
      <c r="C1815" s="6"/>
      <c r="D1815" s="6"/>
      <c r="E1815" s="6"/>
      <c r="F1815" s="6"/>
      <c r="G1815" s="6"/>
      <c r="H1815" s="6"/>
      <c r="I1815" s="6"/>
      <c r="J1815" s="6"/>
      <c r="K1815" s="18"/>
      <c r="L1815" s="19" t="str">
        <f aca="false">IF(A1815="","",G1815*K1815)</f>
        <v/>
      </c>
      <c r="M1815" s="20"/>
      <c r="N1815" s="6"/>
      <c r="O1815" s="6"/>
      <c r="P1815" s="5" t="str">
        <f aca="false">IF(A1815="","",H1815/90)</f>
        <v/>
      </c>
      <c r="Q1815" s="5" t="str">
        <f aca="false">IF(A1815="","",IFERROR(INDEX(Parâmetros!$C$6:$C$10,MATCH(F1815,Parâmetros!$B$6:$B$10,0)),""))</f>
        <v/>
      </c>
      <c r="R1815" s="5" t="str">
        <f aca="false">IF(OR(A1815="",P1815="",Q1815=""),"",P1815*Q1815)</f>
        <v/>
      </c>
      <c r="S1815" s="5" t="str">
        <f aca="false">IF(R1815="","",MAX(0,R1815-G1815))</f>
        <v/>
      </c>
      <c r="T1815" s="21" t="str">
        <f aca="false">IF(S1815="","",S1815*K1815)</f>
        <v/>
      </c>
      <c r="U1815" s="5" t="str">
        <f aca="false">IF(A1815="","",IF(J1815&gt;Parâmetros!$C$14,"SIM","NAO"))</f>
        <v/>
      </c>
      <c r="V1815" s="5" t="str">
        <f aca="false">IF(B1815="","",TRIM(LEFT(B1815,IFERROR(FIND(" ",B1815)-1,LEN(B1815)))))</f>
        <v/>
      </c>
      <c r="W1815" s="22"/>
      <c r="X1815" s="5" t="str">
        <f aca="false">IF(A1815="","",IF(W1815&lt;&gt;"",W1815,V1815))</f>
        <v/>
      </c>
      <c r="Y1815" s="5" t="str">
        <f aca="false">IF(A1815="","",IF(COUNTIFS($X$2:$X$2001,X1815,$D$2:$D$2001,"&lt;&gt;"&amp;D1815,$C$2:$C$2001,C1815)&gt;0,"SIM","NAO"))</f>
        <v/>
      </c>
      <c r="Z1815" s="5" t="str">
        <f aca="false">IF(A1815="","",IF(J1815="","",IFERROR(360/J1815,"")))</f>
        <v/>
      </c>
      <c r="AA1815" s="5" t="str">
        <f aca="false">IF(A1815="","",IF(H1815=0,"Parado (sem venda 90d)",IF(Z1815&gt;12,"Alto (&gt;12x/ano)",IF(Z1815&gt;=4,"Medio (4-12x/ano)","Baixo (&lt;4x/ano)"))))</f>
        <v/>
      </c>
    </row>
    <row r="1816" customFormat="false" ht="15" hidden="false" customHeight="true" outlineLevel="0" collapsed="false">
      <c r="A1816" s="6"/>
      <c r="B1816" s="6"/>
      <c r="C1816" s="6"/>
      <c r="D1816" s="6"/>
      <c r="E1816" s="6"/>
      <c r="F1816" s="6"/>
      <c r="G1816" s="6"/>
      <c r="H1816" s="6"/>
      <c r="I1816" s="6"/>
      <c r="J1816" s="6"/>
      <c r="K1816" s="18"/>
      <c r="L1816" s="19" t="str">
        <f aca="false">IF(A1816="","",G1816*K1816)</f>
        <v/>
      </c>
      <c r="M1816" s="20"/>
      <c r="N1816" s="6"/>
      <c r="O1816" s="6"/>
      <c r="P1816" s="5" t="str">
        <f aca="false">IF(A1816="","",H1816/90)</f>
        <v/>
      </c>
      <c r="Q1816" s="5" t="str">
        <f aca="false">IF(A1816="","",IFERROR(INDEX(Parâmetros!$C$6:$C$10,MATCH(F1816,Parâmetros!$B$6:$B$10,0)),""))</f>
        <v/>
      </c>
      <c r="R1816" s="5" t="str">
        <f aca="false">IF(OR(A1816="",P1816="",Q1816=""),"",P1816*Q1816)</f>
        <v/>
      </c>
      <c r="S1816" s="5" t="str">
        <f aca="false">IF(R1816="","",MAX(0,R1816-G1816))</f>
        <v/>
      </c>
      <c r="T1816" s="21" t="str">
        <f aca="false">IF(S1816="","",S1816*K1816)</f>
        <v/>
      </c>
      <c r="U1816" s="5" t="str">
        <f aca="false">IF(A1816="","",IF(J1816&gt;Parâmetros!$C$14,"SIM","NAO"))</f>
        <v/>
      </c>
      <c r="V1816" s="5" t="str">
        <f aca="false">IF(B1816="","",TRIM(LEFT(B1816,IFERROR(FIND(" ",B1816)-1,LEN(B1816)))))</f>
        <v/>
      </c>
      <c r="W1816" s="22"/>
      <c r="X1816" s="5" t="str">
        <f aca="false">IF(A1816="","",IF(W1816&lt;&gt;"",W1816,V1816))</f>
        <v/>
      </c>
      <c r="Y1816" s="5" t="str">
        <f aca="false">IF(A1816="","",IF(COUNTIFS($X$2:$X$2001,X1816,$D$2:$D$2001,"&lt;&gt;"&amp;D1816,$C$2:$C$2001,C1816)&gt;0,"SIM","NAO"))</f>
        <v/>
      </c>
      <c r="Z1816" s="5" t="str">
        <f aca="false">IF(A1816="","",IF(J1816="","",IFERROR(360/J1816,"")))</f>
        <v/>
      </c>
      <c r="AA1816" s="5" t="str">
        <f aca="false">IF(A1816="","",IF(H1816=0,"Parado (sem venda 90d)",IF(Z1816&gt;12,"Alto (&gt;12x/ano)",IF(Z1816&gt;=4,"Medio (4-12x/ano)","Baixo (&lt;4x/ano)"))))</f>
        <v/>
      </c>
    </row>
    <row r="1817" customFormat="false" ht="15" hidden="false" customHeight="true" outlineLevel="0" collapsed="false">
      <c r="A1817" s="6"/>
      <c r="B1817" s="6"/>
      <c r="C1817" s="6"/>
      <c r="D1817" s="6"/>
      <c r="E1817" s="6"/>
      <c r="F1817" s="6"/>
      <c r="G1817" s="6"/>
      <c r="H1817" s="6"/>
      <c r="I1817" s="6"/>
      <c r="J1817" s="6"/>
      <c r="K1817" s="18"/>
      <c r="L1817" s="19" t="str">
        <f aca="false">IF(A1817="","",G1817*K1817)</f>
        <v/>
      </c>
      <c r="M1817" s="20"/>
      <c r="N1817" s="6"/>
      <c r="O1817" s="6"/>
      <c r="P1817" s="5" t="str">
        <f aca="false">IF(A1817="","",H1817/90)</f>
        <v/>
      </c>
      <c r="Q1817" s="5" t="str">
        <f aca="false">IF(A1817="","",IFERROR(INDEX(Parâmetros!$C$6:$C$10,MATCH(F1817,Parâmetros!$B$6:$B$10,0)),""))</f>
        <v/>
      </c>
      <c r="R1817" s="5" t="str">
        <f aca="false">IF(OR(A1817="",P1817="",Q1817=""),"",P1817*Q1817)</f>
        <v/>
      </c>
      <c r="S1817" s="5" t="str">
        <f aca="false">IF(R1817="","",MAX(0,R1817-G1817))</f>
        <v/>
      </c>
      <c r="T1817" s="21" t="str">
        <f aca="false">IF(S1817="","",S1817*K1817)</f>
        <v/>
      </c>
      <c r="U1817" s="5" t="str">
        <f aca="false">IF(A1817="","",IF(J1817&gt;Parâmetros!$C$14,"SIM","NAO"))</f>
        <v/>
      </c>
      <c r="V1817" s="5" t="str">
        <f aca="false">IF(B1817="","",TRIM(LEFT(B1817,IFERROR(FIND(" ",B1817)-1,LEN(B1817)))))</f>
        <v/>
      </c>
      <c r="W1817" s="22"/>
      <c r="X1817" s="5" t="str">
        <f aca="false">IF(A1817="","",IF(W1817&lt;&gt;"",W1817,V1817))</f>
        <v/>
      </c>
      <c r="Y1817" s="5" t="str">
        <f aca="false">IF(A1817="","",IF(COUNTIFS($X$2:$X$2001,X1817,$D$2:$D$2001,"&lt;&gt;"&amp;D1817,$C$2:$C$2001,C1817)&gt;0,"SIM","NAO"))</f>
        <v/>
      </c>
      <c r="Z1817" s="5" t="str">
        <f aca="false">IF(A1817="","",IF(J1817="","",IFERROR(360/J1817,"")))</f>
        <v/>
      </c>
      <c r="AA1817" s="5" t="str">
        <f aca="false">IF(A1817="","",IF(H1817=0,"Parado (sem venda 90d)",IF(Z1817&gt;12,"Alto (&gt;12x/ano)",IF(Z1817&gt;=4,"Medio (4-12x/ano)","Baixo (&lt;4x/ano)"))))</f>
        <v/>
      </c>
    </row>
    <row r="1818" customFormat="false" ht="15" hidden="false" customHeight="true" outlineLevel="0" collapsed="false">
      <c r="A1818" s="6"/>
      <c r="B1818" s="6"/>
      <c r="C1818" s="6"/>
      <c r="D1818" s="6"/>
      <c r="E1818" s="6"/>
      <c r="F1818" s="6"/>
      <c r="G1818" s="6"/>
      <c r="H1818" s="6"/>
      <c r="I1818" s="6"/>
      <c r="J1818" s="6"/>
      <c r="K1818" s="18"/>
      <c r="L1818" s="19" t="str">
        <f aca="false">IF(A1818="","",G1818*K1818)</f>
        <v/>
      </c>
      <c r="M1818" s="20"/>
      <c r="N1818" s="6"/>
      <c r="O1818" s="6"/>
      <c r="P1818" s="5" t="str">
        <f aca="false">IF(A1818="","",H1818/90)</f>
        <v/>
      </c>
      <c r="Q1818" s="5" t="str">
        <f aca="false">IF(A1818="","",IFERROR(INDEX(Parâmetros!$C$6:$C$10,MATCH(F1818,Parâmetros!$B$6:$B$10,0)),""))</f>
        <v/>
      </c>
      <c r="R1818" s="5" t="str">
        <f aca="false">IF(OR(A1818="",P1818="",Q1818=""),"",P1818*Q1818)</f>
        <v/>
      </c>
      <c r="S1818" s="5" t="str">
        <f aca="false">IF(R1818="","",MAX(0,R1818-G1818))</f>
        <v/>
      </c>
      <c r="T1818" s="21" t="str">
        <f aca="false">IF(S1818="","",S1818*K1818)</f>
        <v/>
      </c>
      <c r="U1818" s="5" t="str">
        <f aca="false">IF(A1818="","",IF(J1818&gt;Parâmetros!$C$14,"SIM","NAO"))</f>
        <v/>
      </c>
      <c r="V1818" s="5" t="str">
        <f aca="false">IF(B1818="","",TRIM(LEFT(B1818,IFERROR(FIND(" ",B1818)-1,LEN(B1818)))))</f>
        <v/>
      </c>
      <c r="W1818" s="22"/>
      <c r="X1818" s="5" t="str">
        <f aca="false">IF(A1818="","",IF(W1818&lt;&gt;"",W1818,V1818))</f>
        <v/>
      </c>
      <c r="Y1818" s="5" t="str">
        <f aca="false">IF(A1818="","",IF(COUNTIFS($X$2:$X$2001,X1818,$D$2:$D$2001,"&lt;&gt;"&amp;D1818,$C$2:$C$2001,C1818)&gt;0,"SIM","NAO"))</f>
        <v/>
      </c>
      <c r="Z1818" s="5" t="str">
        <f aca="false">IF(A1818="","",IF(J1818="","",IFERROR(360/J1818,"")))</f>
        <v/>
      </c>
      <c r="AA1818" s="5" t="str">
        <f aca="false">IF(A1818="","",IF(H1818=0,"Parado (sem venda 90d)",IF(Z1818&gt;12,"Alto (&gt;12x/ano)",IF(Z1818&gt;=4,"Medio (4-12x/ano)","Baixo (&lt;4x/ano)"))))</f>
        <v/>
      </c>
    </row>
    <row r="1819" customFormat="false" ht="15" hidden="false" customHeight="true" outlineLevel="0" collapsed="false">
      <c r="A1819" s="6"/>
      <c r="B1819" s="6"/>
      <c r="C1819" s="6"/>
      <c r="D1819" s="6"/>
      <c r="E1819" s="6"/>
      <c r="F1819" s="6"/>
      <c r="G1819" s="6"/>
      <c r="H1819" s="6"/>
      <c r="I1819" s="6"/>
      <c r="J1819" s="6"/>
      <c r="K1819" s="18"/>
      <c r="L1819" s="19" t="str">
        <f aca="false">IF(A1819="","",G1819*K1819)</f>
        <v/>
      </c>
      <c r="M1819" s="20"/>
      <c r="N1819" s="6"/>
      <c r="O1819" s="6"/>
      <c r="P1819" s="5" t="str">
        <f aca="false">IF(A1819="","",H1819/90)</f>
        <v/>
      </c>
      <c r="Q1819" s="5" t="str">
        <f aca="false">IF(A1819="","",IFERROR(INDEX(Parâmetros!$C$6:$C$10,MATCH(F1819,Parâmetros!$B$6:$B$10,0)),""))</f>
        <v/>
      </c>
      <c r="R1819" s="5" t="str">
        <f aca="false">IF(OR(A1819="",P1819="",Q1819=""),"",P1819*Q1819)</f>
        <v/>
      </c>
      <c r="S1819" s="5" t="str">
        <f aca="false">IF(R1819="","",MAX(0,R1819-G1819))</f>
        <v/>
      </c>
      <c r="T1819" s="21" t="str">
        <f aca="false">IF(S1819="","",S1819*K1819)</f>
        <v/>
      </c>
      <c r="U1819" s="5" t="str">
        <f aca="false">IF(A1819="","",IF(J1819&gt;Parâmetros!$C$14,"SIM","NAO"))</f>
        <v/>
      </c>
      <c r="V1819" s="5" t="str">
        <f aca="false">IF(B1819="","",TRIM(LEFT(B1819,IFERROR(FIND(" ",B1819)-1,LEN(B1819)))))</f>
        <v/>
      </c>
      <c r="W1819" s="22"/>
      <c r="X1819" s="5" t="str">
        <f aca="false">IF(A1819="","",IF(W1819&lt;&gt;"",W1819,V1819))</f>
        <v/>
      </c>
      <c r="Y1819" s="5" t="str">
        <f aca="false">IF(A1819="","",IF(COUNTIFS($X$2:$X$2001,X1819,$D$2:$D$2001,"&lt;&gt;"&amp;D1819,$C$2:$C$2001,C1819)&gt;0,"SIM","NAO"))</f>
        <v/>
      </c>
      <c r="Z1819" s="5" t="str">
        <f aca="false">IF(A1819="","",IF(J1819="","",IFERROR(360/J1819,"")))</f>
        <v/>
      </c>
      <c r="AA1819" s="5" t="str">
        <f aca="false">IF(A1819="","",IF(H1819=0,"Parado (sem venda 90d)",IF(Z1819&gt;12,"Alto (&gt;12x/ano)",IF(Z1819&gt;=4,"Medio (4-12x/ano)","Baixo (&lt;4x/ano)"))))</f>
        <v/>
      </c>
    </row>
    <row r="1820" customFormat="false" ht="15" hidden="false" customHeight="true" outlineLevel="0" collapsed="false">
      <c r="A1820" s="6"/>
      <c r="B1820" s="6"/>
      <c r="C1820" s="6"/>
      <c r="D1820" s="6"/>
      <c r="E1820" s="6"/>
      <c r="F1820" s="6"/>
      <c r="G1820" s="6"/>
      <c r="H1820" s="6"/>
      <c r="I1820" s="6"/>
      <c r="J1820" s="6"/>
      <c r="K1820" s="18"/>
      <c r="L1820" s="19" t="str">
        <f aca="false">IF(A1820="","",G1820*K1820)</f>
        <v/>
      </c>
      <c r="M1820" s="20"/>
      <c r="N1820" s="6"/>
      <c r="O1820" s="6"/>
      <c r="P1820" s="5" t="str">
        <f aca="false">IF(A1820="","",H1820/90)</f>
        <v/>
      </c>
      <c r="Q1820" s="5" t="str">
        <f aca="false">IF(A1820="","",IFERROR(INDEX(Parâmetros!$C$6:$C$10,MATCH(F1820,Parâmetros!$B$6:$B$10,0)),""))</f>
        <v/>
      </c>
      <c r="R1820" s="5" t="str">
        <f aca="false">IF(OR(A1820="",P1820="",Q1820=""),"",P1820*Q1820)</f>
        <v/>
      </c>
      <c r="S1820" s="5" t="str">
        <f aca="false">IF(R1820="","",MAX(0,R1820-G1820))</f>
        <v/>
      </c>
      <c r="T1820" s="21" t="str">
        <f aca="false">IF(S1820="","",S1820*K1820)</f>
        <v/>
      </c>
      <c r="U1820" s="5" t="str">
        <f aca="false">IF(A1820="","",IF(J1820&gt;Parâmetros!$C$14,"SIM","NAO"))</f>
        <v/>
      </c>
      <c r="V1820" s="5" t="str">
        <f aca="false">IF(B1820="","",TRIM(LEFT(B1820,IFERROR(FIND(" ",B1820)-1,LEN(B1820)))))</f>
        <v/>
      </c>
      <c r="W1820" s="22"/>
      <c r="X1820" s="5" t="str">
        <f aca="false">IF(A1820="","",IF(W1820&lt;&gt;"",W1820,V1820))</f>
        <v/>
      </c>
      <c r="Y1820" s="5" t="str">
        <f aca="false">IF(A1820="","",IF(COUNTIFS($X$2:$X$2001,X1820,$D$2:$D$2001,"&lt;&gt;"&amp;D1820,$C$2:$C$2001,C1820)&gt;0,"SIM","NAO"))</f>
        <v/>
      </c>
      <c r="Z1820" s="5" t="str">
        <f aca="false">IF(A1820="","",IF(J1820="","",IFERROR(360/J1820,"")))</f>
        <v/>
      </c>
      <c r="AA1820" s="5" t="str">
        <f aca="false">IF(A1820="","",IF(H1820=0,"Parado (sem venda 90d)",IF(Z1820&gt;12,"Alto (&gt;12x/ano)",IF(Z1820&gt;=4,"Medio (4-12x/ano)","Baixo (&lt;4x/ano)"))))</f>
        <v/>
      </c>
    </row>
    <row r="1821" customFormat="false" ht="15" hidden="false" customHeight="true" outlineLevel="0" collapsed="false">
      <c r="A1821" s="6"/>
      <c r="B1821" s="6"/>
      <c r="C1821" s="6"/>
      <c r="D1821" s="6"/>
      <c r="E1821" s="6"/>
      <c r="F1821" s="6"/>
      <c r="G1821" s="6"/>
      <c r="H1821" s="6"/>
      <c r="I1821" s="6"/>
      <c r="J1821" s="6"/>
      <c r="K1821" s="18"/>
      <c r="L1821" s="19" t="str">
        <f aca="false">IF(A1821="","",G1821*K1821)</f>
        <v/>
      </c>
      <c r="M1821" s="20"/>
      <c r="N1821" s="6"/>
      <c r="O1821" s="6"/>
      <c r="P1821" s="5" t="str">
        <f aca="false">IF(A1821="","",H1821/90)</f>
        <v/>
      </c>
      <c r="Q1821" s="5" t="str">
        <f aca="false">IF(A1821="","",IFERROR(INDEX(Parâmetros!$C$6:$C$10,MATCH(F1821,Parâmetros!$B$6:$B$10,0)),""))</f>
        <v/>
      </c>
      <c r="R1821" s="5" t="str">
        <f aca="false">IF(OR(A1821="",P1821="",Q1821=""),"",P1821*Q1821)</f>
        <v/>
      </c>
      <c r="S1821" s="5" t="str">
        <f aca="false">IF(R1821="","",MAX(0,R1821-G1821))</f>
        <v/>
      </c>
      <c r="T1821" s="21" t="str">
        <f aca="false">IF(S1821="","",S1821*K1821)</f>
        <v/>
      </c>
      <c r="U1821" s="5" t="str">
        <f aca="false">IF(A1821="","",IF(J1821&gt;Parâmetros!$C$14,"SIM","NAO"))</f>
        <v/>
      </c>
      <c r="V1821" s="5" t="str">
        <f aca="false">IF(B1821="","",TRIM(LEFT(B1821,IFERROR(FIND(" ",B1821)-1,LEN(B1821)))))</f>
        <v/>
      </c>
      <c r="W1821" s="22"/>
      <c r="X1821" s="5" t="str">
        <f aca="false">IF(A1821="","",IF(W1821&lt;&gt;"",W1821,V1821))</f>
        <v/>
      </c>
      <c r="Y1821" s="5" t="str">
        <f aca="false">IF(A1821="","",IF(COUNTIFS($X$2:$X$2001,X1821,$D$2:$D$2001,"&lt;&gt;"&amp;D1821,$C$2:$C$2001,C1821)&gt;0,"SIM","NAO"))</f>
        <v/>
      </c>
      <c r="Z1821" s="5" t="str">
        <f aca="false">IF(A1821="","",IF(J1821="","",IFERROR(360/J1821,"")))</f>
        <v/>
      </c>
      <c r="AA1821" s="5" t="str">
        <f aca="false">IF(A1821="","",IF(H1821=0,"Parado (sem venda 90d)",IF(Z1821&gt;12,"Alto (&gt;12x/ano)",IF(Z1821&gt;=4,"Medio (4-12x/ano)","Baixo (&lt;4x/ano)"))))</f>
        <v/>
      </c>
    </row>
    <row r="1822" customFormat="false" ht="15" hidden="false" customHeight="true" outlineLevel="0" collapsed="false">
      <c r="A1822" s="6"/>
      <c r="B1822" s="6"/>
      <c r="C1822" s="6"/>
      <c r="D1822" s="6"/>
      <c r="E1822" s="6"/>
      <c r="F1822" s="6"/>
      <c r="G1822" s="6"/>
      <c r="H1822" s="6"/>
      <c r="I1822" s="6"/>
      <c r="J1822" s="6"/>
      <c r="K1822" s="18"/>
      <c r="L1822" s="19" t="str">
        <f aca="false">IF(A1822="","",G1822*K1822)</f>
        <v/>
      </c>
      <c r="M1822" s="20"/>
      <c r="N1822" s="6"/>
      <c r="O1822" s="6"/>
      <c r="P1822" s="5" t="str">
        <f aca="false">IF(A1822="","",H1822/90)</f>
        <v/>
      </c>
      <c r="Q1822" s="5" t="str">
        <f aca="false">IF(A1822="","",IFERROR(INDEX(Parâmetros!$C$6:$C$10,MATCH(F1822,Parâmetros!$B$6:$B$10,0)),""))</f>
        <v/>
      </c>
      <c r="R1822" s="5" t="str">
        <f aca="false">IF(OR(A1822="",P1822="",Q1822=""),"",P1822*Q1822)</f>
        <v/>
      </c>
      <c r="S1822" s="5" t="str">
        <f aca="false">IF(R1822="","",MAX(0,R1822-G1822))</f>
        <v/>
      </c>
      <c r="T1822" s="21" t="str">
        <f aca="false">IF(S1822="","",S1822*K1822)</f>
        <v/>
      </c>
      <c r="U1822" s="5" t="str">
        <f aca="false">IF(A1822="","",IF(J1822&gt;Parâmetros!$C$14,"SIM","NAO"))</f>
        <v/>
      </c>
      <c r="V1822" s="5" t="str">
        <f aca="false">IF(B1822="","",TRIM(LEFT(B1822,IFERROR(FIND(" ",B1822)-1,LEN(B1822)))))</f>
        <v/>
      </c>
      <c r="W1822" s="22"/>
      <c r="X1822" s="5" t="str">
        <f aca="false">IF(A1822="","",IF(W1822&lt;&gt;"",W1822,V1822))</f>
        <v/>
      </c>
      <c r="Y1822" s="5" t="str">
        <f aca="false">IF(A1822="","",IF(COUNTIFS($X$2:$X$2001,X1822,$D$2:$D$2001,"&lt;&gt;"&amp;D1822,$C$2:$C$2001,C1822)&gt;0,"SIM","NAO"))</f>
        <v/>
      </c>
      <c r="Z1822" s="5" t="str">
        <f aca="false">IF(A1822="","",IF(J1822="","",IFERROR(360/J1822,"")))</f>
        <v/>
      </c>
      <c r="AA1822" s="5" t="str">
        <f aca="false">IF(A1822="","",IF(H1822=0,"Parado (sem venda 90d)",IF(Z1822&gt;12,"Alto (&gt;12x/ano)",IF(Z1822&gt;=4,"Medio (4-12x/ano)","Baixo (&lt;4x/ano)"))))</f>
        <v/>
      </c>
    </row>
    <row r="1823" customFormat="false" ht="15" hidden="false" customHeight="true" outlineLevel="0" collapsed="false">
      <c r="A1823" s="6"/>
      <c r="B1823" s="6"/>
      <c r="C1823" s="6"/>
      <c r="D1823" s="6"/>
      <c r="E1823" s="6"/>
      <c r="F1823" s="6"/>
      <c r="G1823" s="6"/>
      <c r="H1823" s="6"/>
      <c r="I1823" s="6"/>
      <c r="J1823" s="6"/>
      <c r="K1823" s="18"/>
      <c r="L1823" s="19" t="str">
        <f aca="false">IF(A1823="","",G1823*K1823)</f>
        <v/>
      </c>
      <c r="M1823" s="20"/>
      <c r="N1823" s="6"/>
      <c r="O1823" s="6"/>
      <c r="P1823" s="5" t="str">
        <f aca="false">IF(A1823="","",H1823/90)</f>
        <v/>
      </c>
      <c r="Q1823" s="5" t="str">
        <f aca="false">IF(A1823="","",IFERROR(INDEX(Parâmetros!$C$6:$C$10,MATCH(F1823,Parâmetros!$B$6:$B$10,0)),""))</f>
        <v/>
      </c>
      <c r="R1823" s="5" t="str">
        <f aca="false">IF(OR(A1823="",P1823="",Q1823=""),"",P1823*Q1823)</f>
        <v/>
      </c>
      <c r="S1823" s="5" t="str">
        <f aca="false">IF(R1823="","",MAX(0,R1823-G1823))</f>
        <v/>
      </c>
      <c r="T1823" s="21" t="str">
        <f aca="false">IF(S1823="","",S1823*K1823)</f>
        <v/>
      </c>
      <c r="U1823" s="5" t="str">
        <f aca="false">IF(A1823="","",IF(J1823&gt;Parâmetros!$C$14,"SIM","NAO"))</f>
        <v/>
      </c>
      <c r="V1823" s="5" t="str">
        <f aca="false">IF(B1823="","",TRIM(LEFT(B1823,IFERROR(FIND(" ",B1823)-1,LEN(B1823)))))</f>
        <v/>
      </c>
      <c r="W1823" s="22"/>
      <c r="X1823" s="5" t="str">
        <f aca="false">IF(A1823="","",IF(W1823&lt;&gt;"",W1823,V1823))</f>
        <v/>
      </c>
      <c r="Y1823" s="5" t="str">
        <f aca="false">IF(A1823="","",IF(COUNTIFS($X$2:$X$2001,X1823,$D$2:$D$2001,"&lt;&gt;"&amp;D1823,$C$2:$C$2001,C1823)&gt;0,"SIM","NAO"))</f>
        <v/>
      </c>
      <c r="Z1823" s="5" t="str">
        <f aca="false">IF(A1823="","",IF(J1823="","",IFERROR(360/J1823,"")))</f>
        <v/>
      </c>
      <c r="AA1823" s="5" t="str">
        <f aca="false">IF(A1823="","",IF(H1823=0,"Parado (sem venda 90d)",IF(Z1823&gt;12,"Alto (&gt;12x/ano)",IF(Z1823&gt;=4,"Medio (4-12x/ano)","Baixo (&lt;4x/ano)"))))</f>
        <v/>
      </c>
    </row>
    <row r="1824" customFormat="false" ht="15" hidden="false" customHeight="true" outlineLevel="0" collapsed="false">
      <c r="A1824" s="6"/>
      <c r="B1824" s="6"/>
      <c r="C1824" s="6"/>
      <c r="D1824" s="6"/>
      <c r="E1824" s="6"/>
      <c r="F1824" s="6"/>
      <c r="G1824" s="6"/>
      <c r="H1824" s="6"/>
      <c r="I1824" s="6"/>
      <c r="J1824" s="6"/>
      <c r="K1824" s="18"/>
      <c r="L1824" s="19" t="str">
        <f aca="false">IF(A1824="","",G1824*K1824)</f>
        <v/>
      </c>
      <c r="M1824" s="20"/>
      <c r="N1824" s="6"/>
      <c r="O1824" s="6"/>
      <c r="P1824" s="5" t="str">
        <f aca="false">IF(A1824="","",H1824/90)</f>
        <v/>
      </c>
      <c r="Q1824" s="5" t="str">
        <f aca="false">IF(A1824="","",IFERROR(INDEX(Parâmetros!$C$6:$C$10,MATCH(F1824,Parâmetros!$B$6:$B$10,0)),""))</f>
        <v/>
      </c>
      <c r="R1824" s="5" t="str">
        <f aca="false">IF(OR(A1824="",P1824="",Q1824=""),"",P1824*Q1824)</f>
        <v/>
      </c>
      <c r="S1824" s="5" t="str">
        <f aca="false">IF(R1824="","",MAX(0,R1824-G1824))</f>
        <v/>
      </c>
      <c r="T1824" s="21" t="str">
        <f aca="false">IF(S1824="","",S1824*K1824)</f>
        <v/>
      </c>
      <c r="U1824" s="5" t="str">
        <f aca="false">IF(A1824="","",IF(J1824&gt;Parâmetros!$C$14,"SIM","NAO"))</f>
        <v/>
      </c>
      <c r="V1824" s="5" t="str">
        <f aca="false">IF(B1824="","",TRIM(LEFT(B1824,IFERROR(FIND(" ",B1824)-1,LEN(B1824)))))</f>
        <v/>
      </c>
      <c r="W1824" s="22"/>
      <c r="X1824" s="5" t="str">
        <f aca="false">IF(A1824="","",IF(W1824&lt;&gt;"",W1824,V1824))</f>
        <v/>
      </c>
      <c r="Y1824" s="5" t="str">
        <f aca="false">IF(A1824="","",IF(COUNTIFS($X$2:$X$2001,X1824,$D$2:$D$2001,"&lt;&gt;"&amp;D1824,$C$2:$C$2001,C1824)&gt;0,"SIM","NAO"))</f>
        <v/>
      </c>
      <c r="Z1824" s="5" t="str">
        <f aca="false">IF(A1824="","",IF(J1824="","",IFERROR(360/J1824,"")))</f>
        <v/>
      </c>
      <c r="AA1824" s="5" t="str">
        <f aca="false">IF(A1824="","",IF(H1824=0,"Parado (sem venda 90d)",IF(Z1824&gt;12,"Alto (&gt;12x/ano)",IF(Z1824&gt;=4,"Medio (4-12x/ano)","Baixo (&lt;4x/ano)"))))</f>
        <v/>
      </c>
    </row>
    <row r="1825" customFormat="false" ht="15" hidden="false" customHeight="true" outlineLevel="0" collapsed="false">
      <c r="A1825" s="6"/>
      <c r="B1825" s="6"/>
      <c r="C1825" s="6"/>
      <c r="D1825" s="6"/>
      <c r="E1825" s="6"/>
      <c r="F1825" s="6"/>
      <c r="G1825" s="6"/>
      <c r="H1825" s="6"/>
      <c r="I1825" s="6"/>
      <c r="J1825" s="6"/>
      <c r="K1825" s="18"/>
      <c r="L1825" s="19" t="str">
        <f aca="false">IF(A1825="","",G1825*K1825)</f>
        <v/>
      </c>
      <c r="M1825" s="20"/>
      <c r="N1825" s="6"/>
      <c r="O1825" s="6"/>
      <c r="P1825" s="5" t="str">
        <f aca="false">IF(A1825="","",H1825/90)</f>
        <v/>
      </c>
      <c r="Q1825" s="5" t="str">
        <f aca="false">IF(A1825="","",IFERROR(INDEX(Parâmetros!$C$6:$C$10,MATCH(F1825,Parâmetros!$B$6:$B$10,0)),""))</f>
        <v/>
      </c>
      <c r="R1825" s="5" t="str">
        <f aca="false">IF(OR(A1825="",P1825="",Q1825=""),"",P1825*Q1825)</f>
        <v/>
      </c>
      <c r="S1825" s="5" t="str">
        <f aca="false">IF(R1825="","",MAX(0,R1825-G1825))</f>
        <v/>
      </c>
      <c r="T1825" s="21" t="str">
        <f aca="false">IF(S1825="","",S1825*K1825)</f>
        <v/>
      </c>
      <c r="U1825" s="5" t="str">
        <f aca="false">IF(A1825="","",IF(J1825&gt;Parâmetros!$C$14,"SIM","NAO"))</f>
        <v/>
      </c>
      <c r="V1825" s="5" t="str">
        <f aca="false">IF(B1825="","",TRIM(LEFT(B1825,IFERROR(FIND(" ",B1825)-1,LEN(B1825)))))</f>
        <v/>
      </c>
      <c r="W1825" s="22"/>
      <c r="X1825" s="5" t="str">
        <f aca="false">IF(A1825="","",IF(W1825&lt;&gt;"",W1825,V1825))</f>
        <v/>
      </c>
      <c r="Y1825" s="5" t="str">
        <f aca="false">IF(A1825="","",IF(COUNTIFS($X$2:$X$2001,X1825,$D$2:$D$2001,"&lt;&gt;"&amp;D1825,$C$2:$C$2001,C1825)&gt;0,"SIM","NAO"))</f>
        <v/>
      </c>
      <c r="Z1825" s="5" t="str">
        <f aca="false">IF(A1825="","",IF(J1825="","",IFERROR(360/J1825,"")))</f>
        <v/>
      </c>
      <c r="AA1825" s="5" t="str">
        <f aca="false">IF(A1825="","",IF(H1825=0,"Parado (sem venda 90d)",IF(Z1825&gt;12,"Alto (&gt;12x/ano)",IF(Z1825&gt;=4,"Medio (4-12x/ano)","Baixo (&lt;4x/ano)"))))</f>
        <v/>
      </c>
    </row>
    <row r="1826" customFormat="false" ht="15" hidden="false" customHeight="true" outlineLevel="0" collapsed="false">
      <c r="A1826" s="6"/>
      <c r="B1826" s="6"/>
      <c r="C1826" s="6"/>
      <c r="D1826" s="6"/>
      <c r="E1826" s="6"/>
      <c r="F1826" s="6"/>
      <c r="G1826" s="6"/>
      <c r="H1826" s="6"/>
      <c r="I1826" s="6"/>
      <c r="J1826" s="6"/>
      <c r="K1826" s="18"/>
      <c r="L1826" s="19" t="str">
        <f aca="false">IF(A1826="","",G1826*K1826)</f>
        <v/>
      </c>
      <c r="M1826" s="20"/>
      <c r="N1826" s="6"/>
      <c r="O1826" s="6"/>
      <c r="P1826" s="5" t="str">
        <f aca="false">IF(A1826="","",H1826/90)</f>
        <v/>
      </c>
      <c r="Q1826" s="5" t="str">
        <f aca="false">IF(A1826="","",IFERROR(INDEX(Parâmetros!$C$6:$C$10,MATCH(F1826,Parâmetros!$B$6:$B$10,0)),""))</f>
        <v/>
      </c>
      <c r="R1826" s="5" t="str">
        <f aca="false">IF(OR(A1826="",P1826="",Q1826=""),"",P1826*Q1826)</f>
        <v/>
      </c>
      <c r="S1826" s="5" t="str">
        <f aca="false">IF(R1826="","",MAX(0,R1826-G1826))</f>
        <v/>
      </c>
      <c r="T1826" s="21" t="str">
        <f aca="false">IF(S1826="","",S1826*K1826)</f>
        <v/>
      </c>
      <c r="U1826" s="5" t="str">
        <f aca="false">IF(A1826="","",IF(J1826&gt;Parâmetros!$C$14,"SIM","NAO"))</f>
        <v/>
      </c>
      <c r="V1826" s="5" t="str">
        <f aca="false">IF(B1826="","",TRIM(LEFT(B1826,IFERROR(FIND(" ",B1826)-1,LEN(B1826)))))</f>
        <v/>
      </c>
      <c r="W1826" s="22"/>
      <c r="X1826" s="5" t="str">
        <f aca="false">IF(A1826="","",IF(W1826&lt;&gt;"",W1826,V1826))</f>
        <v/>
      </c>
      <c r="Y1826" s="5" t="str">
        <f aca="false">IF(A1826="","",IF(COUNTIFS($X$2:$X$2001,X1826,$D$2:$D$2001,"&lt;&gt;"&amp;D1826,$C$2:$C$2001,C1826)&gt;0,"SIM","NAO"))</f>
        <v/>
      </c>
      <c r="Z1826" s="5" t="str">
        <f aca="false">IF(A1826="","",IF(J1826="","",IFERROR(360/J1826,"")))</f>
        <v/>
      </c>
      <c r="AA1826" s="5" t="str">
        <f aca="false">IF(A1826="","",IF(H1826=0,"Parado (sem venda 90d)",IF(Z1826&gt;12,"Alto (&gt;12x/ano)",IF(Z1826&gt;=4,"Medio (4-12x/ano)","Baixo (&lt;4x/ano)"))))</f>
        <v/>
      </c>
    </row>
    <row r="1827" customFormat="false" ht="15" hidden="false" customHeight="true" outlineLevel="0" collapsed="false">
      <c r="A1827" s="6"/>
      <c r="B1827" s="6"/>
      <c r="C1827" s="6"/>
      <c r="D1827" s="6"/>
      <c r="E1827" s="6"/>
      <c r="F1827" s="6"/>
      <c r="G1827" s="6"/>
      <c r="H1827" s="6"/>
      <c r="I1827" s="6"/>
      <c r="J1827" s="6"/>
      <c r="K1827" s="18"/>
      <c r="L1827" s="19" t="str">
        <f aca="false">IF(A1827="","",G1827*K1827)</f>
        <v/>
      </c>
      <c r="M1827" s="20"/>
      <c r="N1827" s="6"/>
      <c r="O1827" s="6"/>
      <c r="P1827" s="5" t="str">
        <f aca="false">IF(A1827="","",H1827/90)</f>
        <v/>
      </c>
      <c r="Q1827" s="5" t="str">
        <f aca="false">IF(A1827="","",IFERROR(INDEX(Parâmetros!$C$6:$C$10,MATCH(F1827,Parâmetros!$B$6:$B$10,0)),""))</f>
        <v/>
      </c>
      <c r="R1827" s="5" t="str">
        <f aca="false">IF(OR(A1827="",P1827="",Q1827=""),"",P1827*Q1827)</f>
        <v/>
      </c>
      <c r="S1827" s="5" t="str">
        <f aca="false">IF(R1827="","",MAX(0,R1827-G1827))</f>
        <v/>
      </c>
      <c r="T1827" s="21" t="str">
        <f aca="false">IF(S1827="","",S1827*K1827)</f>
        <v/>
      </c>
      <c r="U1827" s="5" t="str">
        <f aca="false">IF(A1827="","",IF(J1827&gt;Parâmetros!$C$14,"SIM","NAO"))</f>
        <v/>
      </c>
      <c r="V1827" s="5" t="str">
        <f aca="false">IF(B1827="","",TRIM(LEFT(B1827,IFERROR(FIND(" ",B1827)-1,LEN(B1827)))))</f>
        <v/>
      </c>
      <c r="W1827" s="22"/>
      <c r="X1827" s="5" t="str">
        <f aca="false">IF(A1827="","",IF(W1827&lt;&gt;"",W1827,V1827))</f>
        <v/>
      </c>
      <c r="Y1827" s="5" t="str">
        <f aca="false">IF(A1827="","",IF(COUNTIFS($X$2:$X$2001,X1827,$D$2:$D$2001,"&lt;&gt;"&amp;D1827,$C$2:$C$2001,C1827)&gt;0,"SIM","NAO"))</f>
        <v/>
      </c>
      <c r="Z1827" s="5" t="str">
        <f aca="false">IF(A1827="","",IF(J1827="","",IFERROR(360/J1827,"")))</f>
        <v/>
      </c>
      <c r="AA1827" s="5" t="str">
        <f aca="false">IF(A1827="","",IF(H1827=0,"Parado (sem venda 90d)",IF(Z1827&gt;12,"Alto (&gt;12x/ano)",IF(Z1827&gt;=4,"Medio (4-12x/ano)","Baixo (&lt;4x/ano)"))))</f>
        <v/>
      </c>
    </row>
    <row r="1828" customFormat="false" ht="15" hidden="false" customHeight="true" outlineLevel="0" collapsed="false">
      <c r="A1828" s="6"/>
      <c r="B1828" s="6"/>
      <c r="C1828" s="6"/>
      <c r="D1828" s="6"/>
      <c r="E1828" s="6"/>
      <c r="F1828" s="6"/>
      <c r="G1828" s="6"/>
      <c r="H1828" s="6"/>
      <c r="I1828" s="6"/>
      <c r="J1828" s="6"/>
      <c r="K1828" s="18"/>
      <c r="L1828" s="19" t="str">
        <f aca="false">IF(A1828="","",G1828*K1828)</f>
        <v/>
      </c>
      <c r="M1828" s="20"/>
      <c r="N1828" s="6"/>
      <c r="O1828" s="6"/>
      <c r="P1828" s="5" t="str">
        <f aca="false">IF(A1828="","",H1828/90)</f>
        <v/>
      </c>
      <c r="Q1828" s="5" t="str">
        <f aca="false">IF(A1828="","",IFERROR(INDEX(Parâmetros!$C$6:$C$10,MATCH(F1828,Parâmetros!$B$6:$B$10,0)),""))</f>
        <v/>
      </c>
      <c r="R1828" s="5" t="str">
        <f aca="false">IF(OR(A1828="",P1828="",Q1828=""),"",P1828*Q1828)</f>
        <v/>
      </c>
      <c r="S1828" s="5" t="str">
        <f aca="false">IF(R1828="","",MAX(0,R1828-G1828))</f>
        <v/>
      </c>
      <c r="T1828" s="21" t="str">
        <f aca="false">IF(S1828="","",S1828*K1828)</f>
        <v/>
      </c>
      <c r="U1828" s="5" t="str">
        <f aca="false">IF(A1828="","",IF(J1828&gt;Parâmetros!$C$14,"SIM","NAO"))</f>
        <v/>
      </c>
      <c r="V1828" s="5" t="str">
        <f aca="false">IF(B1828="","",TRIM(LEFT(B1828,IFERROR(FIND(" ",B1828)-1,LEN(B1828)))))</f>
        <v/>
      </c>
      <c r="W1828" s="22"/>
      <c r="X1828" s="5" t="str">
        <f aca="false">IF(A1828="","",IF(W1828&lt;&gt;"",W1828,V1828))</f>
        <v/>
      </c>
      <c r="Y1828" s="5" t="str">
        <f aca="false">IF(A1828="","",IF(COUNTIFS($X$2:$X$2001,X1828,$D$2:$D$2001,"&lt;&gt;"&amp;D1828,$C$2:$C$2001,C1828)&gt;0,"SIM","NAO"))</f>
        <v/>
      </c>
      <c r="Z1828" s="5" t="str">
        <f aca="false">IF(A1828="","",IF(J1828="","",IFERROR(360/J1828,"")))</f>
        <v/>
      </c>
      <c r="AA1828" s="5" t="str">
        <f aca="false">IF(A1828="","",IF(H1828=0,"Parado (sem venda 90d)",IF(Z1828&gt;12,"Alto (&gt;12x/ano)",IF(Z1828&gt;=4,"Medio (4-12x/ano)","Baixo (&lt;4x/ano)"))))</f>
        <v/>
      </c>
    </row>
    <row r="1829" customFormat="false" ht="15" hidden="false" customHeight="true" outlineLevel="0" collapsed="false">
      <c r="A1829" s="6"/>
      <c r="B1829" s="6"/>
      <c r="C1829" s="6"/>
      <c r="D1829" s="6"/>
      <c r="E1829" s="6"/>
      <c r="F1829" s="6"/>
      <c r="G1829" s="6"/>
      <c r="H1829" s="6"/>
      <c r="I1829" s="6"/>
      <c r="J1829" s="6"/>
      <c r="K1829" s="18"/>
      <c r="L1829" s="19" t="str">
        <f aca="false">IF(A1829="","",G1829*K1829)</f>
        <v/>
      </c>
      <c r="M1829" s="20"/>
      <c r="N1829" s="6"/>
      <c r="O1829" s="6"/>
      <c r="P1829" s="5" t="str">
        <f aca="false">IF(A1829="","",H1829/90)</f>
        <v/>
      </c>
      <c r="Q1829" s="5" t="str">
        <f aca="false">IF(A1829="","",IFERROR(INDEX(Parâmetros!$C$6:$C$10,MATCH(F1829,Parâmetros!$B$6:$B$10,0)),""))</f>
        <v/>
      </c>
      <c r="R1829" s="5" t="str">
        <f aca="false">IF(OR(A1829="",P1829="",Q1829=""),"",P1829*Q1829)</f>
        <v/>
      </c>
      <c r="S1829" s="5" t="str">
        <f aca="false">IF(R1829="","",MAX(0,R1829-G1829))</f>
        <v/>
      </c>
      <c r="T1829" s="21" t="str">
        <f aca="false">IF(S1829="","",S1829*K1829)</f>
        <v/>
      </c>
      <c r="U1829" s="5" t="str">
        <f aca="false">IF(A1829="","",IF(J1829&gt;Parâmetros!$C$14,"SIM","NAO"))</f>
        <v/>
      </c>
      <c r="V1829" s="5" t="str">
        <f aca="false">IF(B1829="","",TRIM(LEFT(B1829,IFERROR(FIND(" ",B1829)-1,LEN(B1829)))))</f>
        <v/>
      </c>
      <c r="W1829" s="22"/>
      <c r="X1829" s="5" t="str">
        <f aca="false">IF(A1829="","",IF(W1829&lt;&gt;"",W1829,V1829))</f>
        <v/>
      </c>
      <c r="Y1829" s="5" t="str">
        <f aca="false">IF(A1829="","",IF(COUNTIFS($X$2:$X$2001,X1829,$D$2:$D$2001,"&lt;&gt;"&amp;D1829,$C$2:$C$2001,C1829)&gt;0,"SIM","NAO"))</f>
        <v/>
      </c>
      <c r="Z1829" s="5" t="str">
        <f aca="false">IF(A1829="","",IF(J1829="","",IFERROR(360/J1829,"")))</f>
        <v/>
      </c>
      <c r="AA1829" s="5" t="str">
        <f aca="false">IF(A1829="","",IF(H1829=0,"Parado (sem venda 90d)",IF(Z1829&gt;12,"Alto (&gt;12x/ano)",IF(Z1829&gt;=4,"Medio (4-12x/ano)","Baixo (&lt;4x/ano)"))))</f>
        <v/>
      </c>
    </row>
    <row r="1830" customFormat="false" ht="15" hidden="false" customHeight="true" outlineLevel="0" collapsed="false">
      <c r="A1830" s="6"/>
      <c r="B1830" s="6"/>
      <c r="C1830" s="6"/>
      <c r="D1830" s="6"/>
      <c r="E1830" s="6"/>
      <c r="F1830" s="6"/>
      <c r="G1830" s="6"/>
      <c r="H1830" s="6"/>
      <c r="I1830" s="6"/>
      <c r="J1830" s="6"/>
      <c r="K1830" s="18"/>
      <c r="L1830" s="19" t="str">
        <f aca="false">IF(A1830="","",G1830*K1830)</f>
        <v/>
      </c>
      <c r="M1830" s="20"/>
      <c r="N1830" s="6"/>
      <c r="O1830" s="6"/>
      <c r="P1830" s="5" t="str">
        <f aca="false">IF(A1830="","",H1830/90)</f>
        <v/>
      </c>
      <c r="Q1830" s="5" t="str">
        <f aca="false">IF(A1830="","",IFERROR(INDEX(Parâmetros!$C$6:$C$10,MATCH(F1830,Parâmetros!$B$6:$B$10,0)),""))</f>
        <v/>
      </c>
      <c r="R1830" s="5" t="str">
        <f aca="false">IF(OR(A1830="",P1830="",Q1830=""),"",P1830*Q1830)</f>
        <v/>
      </c>
      <c r="S1830" s="5" t="str">
        <f aca="false">IF(R1830="","",MAX(0,R1830-G1830))</f>
        <v/>
      </c>
      <c r="T1830" s="21" t="str">
        <f aca="false">IF(S1830="","",S1830*K1830)</f>
        <v/>
      </c>
      <c r="U1830" s="5" t="str">
        <f aca="false">IF(A1830="","",IF(J1830&gt;Parâmetros!$C$14,"SIM","NAO"))</f>
        <v/>
      </c>
      <c r="V1830" s="5" t="str">
        <f aca="false">IF(B1830="","",TRIM(LEFT(B1830,IFERROR(FIND(" ",B1830)-1,LEN(B1830)))))</f>
        <v/>
      </c>
      <c r="W1830" s="22"/>
      <c r="X1830" s="5" t="str">
        <f aca="false">IF(A1830="","",IF(W1830&lt;&gt;"",W1830,V1830))</f>
        <v/>
      </c>
      <c r="Y1830" s="5" t="str">
        <f aca="false">IF(A1830="","",IF(COUNTIFS($X$2:$X$2001,X1830,$D$2:$D$2001,"&lt;&gt;"&amp;D1830,$C$2:$C$2001,C1830)&gt;0,"SIM","NAO"))</f>
        <v/>
      </c>
      <c r="Z1830" s="5" t="str">
        <f aca="false">IF(A1830="","",IF(J1830="","",IFERROR(360/J1830,"")))</f>
        <v/>
      </c>
      <c r="AA1830" s="5" t="str">
        <f aca="false">IF(A1830="","",IF(H1830=0,"Parado (sem venda 90d)",IF(Z1830&gt;12,"Alto (&gt;12x/ano)",IF(Z1830&gt;=4,"Medio (4-12x/ano)","Baixo (&lt;4x/ano)"))))</f>
        <v/>
      </c>
    </row>
    <row r="1831" customFormat="false" ht="15" hidden="false" customHeight="true" outlineLevel="0" collapsed="false">
      <c r="A1831" s="6"/>
      <c r="B1831" s="6"/>
      <c r="C1831" s="6"/>
      <c r="D1831" s="6"/>
      <c r="E1831" s="6"/>
      <c r="F1831" s="6"/>
      <c r="G1831" s="6"/>
      <c r="H1831" s="6"/>
      <c r="I1831" s="6"/>
      <c r="J1831" s="6"/>
      <c r="K1831" s="18"/>
      <c r="L1831" s="19" t="str">
        <f aca="false">IF(A1831="","",G1831*K1831)</f>
        <v/>
      </c>
      <c r="M1831" s="20"/>
      <c r="N1831" s="6"/>
      <c r="O1831" s="6"/>
      <c r="P1831" s="5" t="str">
        <f aca="false">IF(A1831="","",H1831/90)</f>
        <v/>
      </c>
      <c r="Q1831" s="5" t="str">
        <f aca="false">IF(A1831="","",IFERROR(INDEX(Parâmetros!$C$6:$C$10,MATCH(F1831,Parâmetros!$B$6:$B$10,0)),""))</f>
        <v/>
      </c>
      <c r="R1831" s="5" t="str">
        <f aca="false">IF(OR(A1831="",P1831="",Q1831=""),"",P1831*Q1831)</f>
        <v/>
      </c>
      <c r="S1831" s="5" t="str">
        <f aca="false">IF(R1831="","",MAX(0,R1831-G1831))</f>
        <v/>
      </c>
      <c r="T1831" s="21" t="str">
        <f aca="false">IF(S1831="","",S1831*K1831)</f>
        <v/>
      </c>
      <c r="U1831" s="5" t="str">
        <f aca="false">IF(A1831="","",IF(J1831&gt;Parâmetros!$C$14,"SIM","NAO"))</f>
        <v/>
      </c>
      <c r="V1831" s="5" t="str">
        <f aca="false">IF(B1831="","",TRIM(LEFT(B1831,IFERROR(FIND(" ",B1831)-1,LEN(B1831)))))</f>
        <v/>
      </c>
      <c r="W1831" s="22"/>
      <c r="X1831" s="5" t="str">
        <f aca="false">IF(A1831="","",IF(W1831&lt;&gt;"",W1831,V1831))</f>
        <v/>
      </c>
      <c r="Y1831" s="5" t="str">
        <f aca="false">IF(A1831="","",IF(COUNTIFS($X$2:$X$2001,X1831,$D$2:$D$2001,"&lt;&gt;"&amp;D1831,$C$2:$C$2001,C1831)&gt;0,"SIM","NAO"))</f>
        <v/>
      </c>
      <c r="Z1831" s="5" t="str">
        <f aca="false">IF(A1831="","",IF(J1831="","",IFERROR(360/J1831,"")))</f>
        <v/>
      </c>
      <c r="AA1831" s="5" t="str">
        <f aca="false">IF(A1831="","",IF(H1831=0,"Parado (sem venda 90d)",IF(Z1831&gt;12,"Alto (&gt;12x/ano)",IF(Z1831&gt;=4,"Medio (4-12x/ano)","Baixo (&lt;4x/ano)"))))</f>
        <v/>
      </c>
    </row>
    <row r="1832" customFormat="false" ht="15" hidden="false" customHeight="true" outlineLevel="0" collapsed="false">
      <c r="A1832" s="6"/>
      <c r="B1832" s="6"/>
      <c r="C1832" s="6"/>
      <c r="D1832" s="6"/>
      <c r="E1832" s="6"/>
      <c r="F1832" s="6"/>
      <c r="G1832" s="6"/>
      <c r="H1832" s="6"/>
      <c r="I1832" s="6"/>
      <c r="J1832" s="6"/>
      <c r="K1832" s="18"/>
      <c r="L1832" s="19" t="str">
        <f aca="false">IF(A1832="","",G1832*K1832)</f>
        <v/>
      </c>
      <c r="M1832" s="20"/>
      <c r="N1832" s="6"/>
      <c r="O1832" s="6"/>
      <c r="P1832" s="5" t="str">
        <f aca="false">IF(A1832="","",H1832/90)</f>
        <v/>
      </c>
      <c r="Q1832" s="5" t="str">
        <f aca="false">IF(A1832="","",IFERROR(INDEX(Parâmetros!$C$6:$C$10,MATCH(F1832,Parâmetros!$B$6:$B$10,0)),""))</f>
        <v/>
      </c>
      <c r="R1832" s="5" t="str">
        <f aca="false">IF(OR(A1832="",P1832="",Q1832=""),"",P1832*Q1832)</f>
        <v/>
      </c>
      <c r="S1832" s="5" t="str">
        <f aca="false">IF(R1832="","",MAX(0,R1832-G1832))</f>
        <v/>
      </c>
      <c r="T1832" s="21" t="str">
        <f aca="false">IF(S1832="","",S1832*K1832)</f>
        <v/>
      </c>
      <c r="U1832" s="5" t="str">
        <f aca="false">IF(A1832="","",IF(J1832&gt;Parâmetros!$C$14,"SIM","NAO"))</f>
        <v/>
      </c>
      <c r="V1832" s="5" t="str">
        <f aca="false">IF(B1832="","",TRIM(LEFT(B1832,IFERROR(FIND(" ",B1832)-1,LEN(B1832)))))</f>
        <v/>
      </c>
      <c r="W1832" s="22"/>
      <c r="X1832" s="5" t="str">
        <f aca="false">IF(A1832="","",IF(W1832&lt;&gt;"",W1832,V1832))</f>
        <v/>
      </c>
      <c r="Y1832" s="5" t="str">
        <f aca="false">IF(A1832="","",IF(COUNTIFS($X$2:$X$2001,X1832,$D$2:$D$2001,"&lt;&gt;"&amp;D1832,$C$2:$C$2001,C1832)&gt;0,"SIM","NAO"))</f>
        <v/>
      </c>
      <c r="Z1832" s="5" t="str">
        <f aca="false">IF(A1832="","",IF(J1832="","",IFERROR(360/J1832,"")))</f>
        <v/>
      </c>
      <c r="AA1832" s="5" t="str">
        <f aca="false">IF(A1832="","",IF(H1832=0,"Parado (sem venda 90d)",IF(Z1832&gt;12,"Alto (&gt;12x/ano)",IF(Z1832&gt;=4,"Medio (4-12x/ano)","Baixo (&lt;4x/ano)"))))</f>
        <v/>
      </c>
    </row>
    <row r="1833" customFormat="false" ht="15" hidden="false" customHeight="true" outlineLevel="0" collapsed="false">
      <c r="A1833" s="6"/>
      <c r="B1833" s="6"/>
      <c r="C1833" s="6"/>
      <c r="D1833" s="6"/>
      <c r="E1833" s="6"/>
      <c r="F1833" s="6"/>
      <c r="G1833" s="6"/>
      <c r="H1833" s="6"/>
      <c r="I1833" s="6"/>
      <c r="J1833" s="6"/>
      <c r="K1833" s="18"/>
      <c r="L1833" s="19" t="str">
        <f aca="false">IF(A1833="","",G1833*K1833)</f>
        <v/>
      </c>
      <c r="M1833" s="20"/>
      <c r="N1833" s="6"/>
      <c r="O1833" s="6"/>
      <c r="P1833" s="5" t="str">
        <f aca="false">IF(A1833="","",H1833/90)</f>
        <v/>
      </c>
      <c r="Q1833" s="5" t="str">
        <f aca="false">IF(A1833="","",IFERROR(INDEX(Parâmetros!$C$6:$C$10,MATCH(F1833,Parâmetros!$B$6:$B$10,0)),""))</f>
        <v/>
      </c>
      <c r="R1833" s="5" t="str">
        <f aca="false">IF(OR(A1833="",P1833="",Q1833=""),"",P1833*Q1833)</f>
        <v/>
      </c>
      <c r="S1833" s="5" t="str">
        <f aca="false">IF(R1833="","",MAX(0,R1833-G1833))</f>
        <v/>
      </c>
      <c r="T1833" s="21" t="str">
        <f aca="false">IF(S1833="","",S1833*K1833)</f>
        <v/>
      </c>
      <c r="U1833" s="5" t="str">
        <f aca="false">IF(A1833="","",IF(J1833&gt;Parâmetros!$C$14,"SIM","NAO"))</f>
        <v/>
      </c>
      <c r="V1833" s="5" t="str">
        <f aca="false">IF(B1833="","",TRIM(LEFT(B1833,IFERROR(FIND(" ",B1833)-1,LEN(B1833)))))</f>
        <v/>
      </c>
      <c r="W1833" s="22"/>
      <c r="X1833" s="5" t="str">
        <f aca="false">IF(A1833="","",IF(W1833&lt;&gt;"",W1833,V1833))</f>
        <v/>
      </c>
      <c r="Y1833" s="5" t="str">
        <f aca="false">IF(A1833="","",IF(COUNTIFS($X$2:$X$2001,X1833,$D$2:$D$2001,"&lt;&gt;"&amp;D1833,$C$2:$C$2001,C1833)&gt;0,"SIM","NAO"))</f>
        <v/>
      </c>
      <c r="Z1833" s="5" t="str">
        <f aca="false">IF(A1833="","",IF(J1833="","",IFERROR(360/J1833,"")))</f>
        <v/>
      </c>
      <c r="AA1833" s="5" t="str">
        <f aca="false">IF(A1833="","",IF(H1833=0,"Parado (sem venda 90d)",IF(Z1833&gt;12,"Alto (&gt;12x/ano)",IF(Z1833&gt;=4,"Medio (4-12x/ano)","Baixo (&lt;4x/ano)"))))</f>
        <v/>
      </c>
    </row>
    <row r="1834" customFormat="false" ht="15" hidden="false" customHeight="true" outlineLevel="0" collapsed="false">
      <c r="A1834" s="6"/>
      <c r="B1834" s="6"/>
      <c r="C1834" s="6"/>
      <c r="D1834" s="6"/>
      <c r="E1834" s="6"/>
      <c r="F1834" s="6"/>
      <c r="G1834" s="6"/>
      <c r="H1834" s="6"/>
      <c r="I1834" s="6"/>
      <c r="J1834" s="6"/>
      <c r="K1834" s="18"/>
      <c r="L1834" s="19" t="str">
        <f aca="false">IF(A1834="","",G1834*K1834)</f>
        <v/>
      </c>
      <c r="M1834" s="20"/>
      <c r="N1834" s="6"/>
      <c r="O1834" s="6"/>
      <c r="P1834" s="5" t="str">
        <f aca="false">IF(A1834="","",H1834/90)</f>
        <v/>
      </c>
      <c r="Q1834" s="5" t="str">
        <f aca="false">IF(A1834="","",IFERROR(INDEX(Parâmetros!$C$6:$C$10,MATCH(F1834,Parâmetros!$B$6:$B$10,0)),""))</f>
        <v/>
      </c>
      <c r="R1834" s="5" t="str">
        <f aca="false">IF(OR(A1834="",P1834="",Q1834=""),"",P1834*Q1834)</f>
        <v/>
      </c>
      <c r="S1834" s="5" t="str">
        <f aca="false">IF(R1834="","",MAX(0,R1834-G1834))</f>
        <v/>
      </c>
      <c r="T1834" s="21" t="str">
        <f aca="false">IF(S1834="","",S1834*K1834)</f>
        <v/>
      </c>
      <c r="U1834" s="5" t="str">
        <f aca="false">IF(A1834="","",IF(J1834&gt;Parâmetros!$C$14,"SIM","NAO"))</f>
        <v/>
      </c>
      <c r="V1834" s="5" t="str">
        <f aca="false">IF(B1834="","",TRIM(LEFT(B1834,IFERROR(FIND(" ",B1834)-1,LEN(B1834)))))</f>
        <v/>
      </c>
      <c r="W1834" s="22"/>
      <c r="X1834" s="5" t="str">
        <f aca="false">IF(A1834="","",IF(W1834&lt;&gt;"",W1834,V1834))</f>
        <v/>
      </c>
      <c r="Y1834" s="5" t="str">
        <f aca="false">IF(A1834="","",IF(COUNTIFS($X$2:$X$2001,X1834,$D$2:$D$2001,"&lt;&gt;"&amp;D1834,$C$2:$C$2001,C1834)&gt;0,"SIM","NAO"))</f>
        <v/>
      </c>
      <c r="Z1834" s="5" t="str">
        <f aca="false">IF(A1834="","",IF(J1834="","",IFERROR(360/J1834,"")))</f>
        <v/>
      </c>
      <c r="AA1834" s="5" t="str">
        <f aca="false">IF(A1834="","",IF(H1834=0,"Parado (sem venda 90d)",IF(Z1834&gt;12,"Alto (&gt;12x/ano)",IF(Z1834&gt;=4,"Medio (4-12x/ano)","Baixo (&lt;4x/ano)"))))</f>
        <v/>
      </c>
    </row>
    <row r="1835" customFormat="false" ht="15" hidden="false" customHeight="true" outlineLevel="0" collapsed="false">
      <c r="A1835" s="6"/>
      <c r="B1835" s="6"/>
      <c r="C1835" s="6"/>
      <c r="D1835" s="6"/>
      <c r="E1835" s="6"/>
      <c r="F1835" s="6"/>
      <c r="G1835" s="6"/>
      <c r="H1835" s="6"/>
      <c r="I1835" s="6"/>
      <c r="J1835" s="6"/>
      <c r="K1835" s="18"/>
      <c r="L1835" s="19" t="str">
        <f aca="false">IF(A1835="","",G1835*K1835)</f>
        <v/>
      </c>
      <c r="M1835" s="20"/>
      <c r="N1835" s="6"/>
      <c r="O1835" s="6"/>
      <c r="P1835" s="5" t="str">
        <f aca="false">IF(A1835="","",H1835/90)</f>
        <v/>
      </c>
      <c r="Q1835" s="5" t="str">
        <f aca="false">IF(A1835="","",IFERROR(INDEX(Parâmetros!$C$6:$C$10,MATCH(F1835,Parâmetros!$B$6:$B$10,0)),""))</f>
        <v/>
      </c>
      <c r="R1835" s="5" t="str">
        <f aca="false">IF(OR(A1835="",P1835="",Q1835=""),"",P1835*Q1835)</f>
        <v/>
      </c>
      <c r="S1835" s="5" t="str">
        <f aca="false">IF(R1835="","",MAX(0,R1835-G1835))</f>
        <v/>
      </c>
      <c r="T1835" s="21" t="str">
        <f aca="false">IF(S1835="","",S1835*K1835)</f>
        <v/>
      </c>
      <c r="U1835" s="5" t="str">
        <f aca="false">IF(A1835="","",IF(J1835&gt;Parâmetros!$C$14,"SIM","NAO"))</f>
        <v/>
      </c>
      <c r="V1835" s="5" t="str">
        <f aca="false">IF(B1835="","",TRIM(LEFT(B1835,IFERROR(FIND(" ",B1835)-1,LEN(B1835)))))</f>
        <v/>
      </c>
      <c r="W1835" s="22"/>
      <c r="X1835" s="5" t="str">
        <f aca="false">IF(A1835="","",IF(W1835&lt;&gt;"",W1835,V1835))</f>
        <v/>
      </c>
      <c r="Y1835" s="5" t="str">
        <f aca="false">IF(A1835="","",IF(COUNTIFS($X$2:$X$2001,X1835,$D$2:$D$2001,"&lt;&gt;"&amp;D1835,$C$2:$C$2001,C1835)&gt;0,"SIM","NAO"))</f>
        <v/>
      </c>
      <c r="Z1835" s="5" t="str">
        <f aca="false">IF(A1835="","",IF(J1835="","",IFERROR(360/J1835,"")))</f>
        <v/>
      </c>
      <c r="AA1835" s="5" t="str">
        <f aca="false">IF(A1835="","",IF(H1835=0,"Parado (sem venda 90d)",IF(Z1835&gt;12,"Alto (&gt;12x/ano)",IF(Z1835&gt;=4,"Medio (4-12x/ano)","Baixo (&lt;4x/ano)"))))</f>
        <v/>
      </c>
    </row>
    <row r="1836" customFormat="false" ht="15" hidden="false" customHeight="true" outlineLevel="0" collapsed="false">
      <c r="A1836" s="6"/>
      <c r="B1836" s="6"/>
      <c r="C1836" s="6"/>
      <c r="D1836" s="6"/>
      <c r="E1836" s="6"/>
      <c r="F1836" s="6"/>
      <c r="G1836" s="6"/>
      <c r="H1836" s="6"/>
      <c r="I1836" s="6"/>
      <c r="J1836" s="6"/>
      <c r="K1836" s="18"/>
      <c r="L1836" s="19" t="str">
        <f aca="false">IF(A1836="","",G1836*K1836)</f>
        <v/>
      </c>
      <c r="M1836" s="20"/>
      <c r="N1836" s="6"/>
      <c r="O1836" s="6"/>
      <c r="P1836" s="5" t="str">
        <f aca="false">IF(A1836="","",H1836/90)</f>
        <v/>
      </c>
      <c r="Q1836" s="5" t="str">
        <f aca="false">IF(A1836="","",IFERROR(INDEX(Parâmetros!$C$6:$C$10,MATCH(F1836,Parâmetros!$B$6:$B$10,0)),""))</f>
        <v/>
      </c>
      <c r="R1836" s="5" t="str">
        <f aca="false">IF(OR(A1836="",P1836="",Q1836=""),"",P1836*Q1836)</f>
        <v/>
      </c>
      <c r="S1836" s="5" t="str">
        <f aca="false">IF(R1836="","",MAX(0,R1836-G1836))</f>
        <v/>
      </c>
      <c r="T1836" s="21" t="str">
        <f aca="false">IF(S1836="","",S1836*K1836)</f>
        <v/>
      </c>
      <c r="U1836" s="5" t="str">
        <f aca="false">IF(A1836="","",IF(J1836&gt;Parâmetros!$C$14,"SIM","NAO"))</f>
        <v/>
      </c>
      <c r="V1836" s="5" t="str">
        <f aca="false">IF(B1836="","",TRIM(LEFT(B1836,IFERROR(FIND(" ",B1836)-1,LEN(B1836)))))</f>
        <v/>
      </c>
      <c r="W1836" s="22"/>
      <c r="X1836" s="5" t="str">
        <f aca="false">IF(A1836="","",IF(W1836&lt;&gt;"",W1836,V1836))</f>
        <v/>
      </c>
      <c r="Y1836" s="5" t="str">
        <f aca="false">IF(A1836="","",IF(COUNTIFS($X$2:$X$2001,X1836,$D$2:$D$2001,"&lt;&gt;"&amp;D1836,$C$2:$C$2001,C1836)&gt;0,"SIM","NAO"))</f>
        <v/>
      </c>
      <c r="Z1836" s="5" t="str">
        <f aca="false">IF(A1836="","",IF(J1836="","",IFERROR(360/J1836,"")))</f>
        <v/>
      </c>
      <c r="AA1836" s="5" t="str">
        <f aca="false">IF(A1836="","",IF(H1836=0,"Parado (sem venda 90d)",IF(Z1836&gt;12,"Alto (&gt;12x/ano)",IF(Z1836&gt;=4,"Medio (4-12x/ano)","Baixo (&lt;4x/ano)"))))</f>
        <v/>
      </c>
    </row>
    <row r="1837" customFormat="false" ht="15" hidden="false" customHeight="true" outlineLevel="0" collapsed="false">
      <c r="A1837" s="6"/>
      <c r="B1837" s="6"/>
      <c r="C1837" s="6"/>
      <c r="D1837" s="6"/>
      <c r="E1837" s="6"/>
      <c r="F1837" s="6"/>
      <c r="G1837" s="6"/>
      <c r="H1837" s="6"/>
      <c r="I1837" s="6"/>
      <c r="J1837" s="6"/>
      <c r="K1837" s="18"/>
      <c r="L1837" s="19" t="str">
        <f aca="false">IF(A1837="","",G1837*K1837)</f>
        <v/>
      </c>
      <c r="M1837" s="20"/>
      <c r="N1837" s="6"/>
      <c r="O1837" s="6"/>
      <c r="P1837" s="5" t="str">
        <f aca="false">IF(A1837="","",H1837/90)</f>
        <v/>
      </c>
      <c r="Q1837" s="5" t="str">
        <f aca="false">IF(A1837="","",IFERROR(INDEX(Parâmetros!$C$6:$C$10,MATCH(F1837,Parâmetros!$B$6:$B$10,0)),""))</f>
        <v/>
      </c>
      <c r="R1837" s="5" t="str">
        <f aca="false">IF(OR(A1837="",P1837="",Q1837=""),"",P1837*Q1837)</f>
        <v/>
      </c>
      <c r="S1837" s="5" t="str">
        <f aca="false">IF(R1837="","",MAX(0,R1837-G1837))</f>
        <v/>
      </c>
      <c r="T1837" s="21" t="str">
        <f aca="false">IF(S1837="","",S1837*K1837)</f>
        <v/>
      </c>
      <c r="U1837" s="5" t="str">
        <f aca="false">IF(A1837="","",IF(J1837&gt;Parâmetros!$C$14,"SIM","NAO"))</f>
        <v/>
      </c>
      <c r="V1837" s="5" t="str">
        <f aca="false">IF(B1837="","",TRIM(LEFT(B1837,IFERROR(FIND(" ",B1837)-1,LEN(B1837)))))</f>
        <v/>
      </c>
      <c r="W1837" s="22"/>
      <c r="X1837" s="5" t="str">
        <f aca="false">IF(A1837="","",IF(W1837&lt;&gt;"",W1837,V1837))</f>
        <v/>
      </c>
      <c r="Y1837" s="5" t="str">
        <f aca="false">IF(A1837="","",IF(COUNTIFS($X$2:$X$2001,X1837,$D$2:$D$2001,"&lt;&gt;"&amp;D1837,$C$2:$C$2001,C1837)&gt;0,"SIM","NAO"))</f>
        <v/>
      </c>
      <c r="Z1837" s="5" t="str">
        <f aca="false">IF(A1837="","",IF(J1837="","",IFERROR(360/J1837,"")))</f>
        <v/>
      </c>
      <c r="AA1837" s="5" t="str">
        <f aca="false">IF(A1837="","",IF(H1837=0,"Parado (sem venda 90d)",IF(Z1837&gt;12,"Alto (&gt;12x/ano)",IF(Z1837&gt;=4,"Medio (4-12x/ano)","Baixo (&lt;4x/ano)"))))</f>
        <v/>
      </c>
    </row>
    <row r="1838" customFormat="false" ht="15" hidden="false" customHeight="true" outlineLevel="0" collapsed="false">
      <c r="A1838" s="6"/>
      <c r="B1838" s="6"/>
      <c r="C1838" s="6"/>
      <c r="D1838" s="6"/>
      <c r="E1838" s="6"/>
      <c r="F1838" s="6"/>
      <c r="G1838" s="6"/>
      <c r="H1838" s="6"/>
      <c r="I1838" s="6"/>
      <c r="J1838" s="6"/>
      <c r="K1838" s="18"/>
      <c r="L1838" s="19" t="str">
        <f aca="false">IF(A1838="","",G1838*K1838)</f>
        <v/>
      </c>
      <c r="M1838" s="20"/>
      <c r="N1838" s="6"/>
      <c r="O1838" s="6"/>
      <c r="P1838" s="5" t="str">
        <f aca="false">IF(A1838="","",H1838/90)</f>
        <v/>
      </c>
      <c r="Q1838" s="5" t="str">
        <f aca="false">IF(A1838="","",IFERROR(INDEX(Parâmetros!$C$6:$C$10,MATCH(F1838,Parâmetros!$B$6:$B$10,0)),""))</f>
        <v/>
      </c>
      <c r="R1838" s="5" t="str">
        <f aca="false">IF(OR(A1838="",P1838="",Q1838=""),"",P1838*Q1838)</f>
        <v/>
      </c>
      <c r="S1838" s="5" t="str">
        <f aca="false">IF(R1838="","",MAX(0,R1838-G1838))</f>
        <v/>
      </c>
      <c r="T1838" s="21" t="str">
        <f aca="false">IF(S1838="","",S1838*K1838)</f>
        <v/>
      </c>
      <c r="U1838" s="5" t="str">
        <f aca="false">IF(A1838="","",IF(J1838&gt;Parâmetros!$C$14,"SIM","NAO"))</f>
        <v/>
      </c>
      <c r="V1838" s="5" t="str">
        <f aca="false">IF(B1838="","",TRIM(LEFT(B1838,IFERROR(FIND(" ",B1838)-1,LEN(B1838)))))</f>
        <v/>
      </c>
      <c r="W1838" s="22"/>
      <c r="X1838" s="5" t="str">
        <f aca="false">IF(A1838="","",IF(W1838&lt;&gt;"",W1838,V1838))</f>
        <v/>
      </c>
      <c r="Y1838" s="5" t="str">
        <f aca="false">IF(A1838="","",IF(COUNTIFS($X$2:$X$2001,X1838,$D$2:$D$2001,"&lt;&gt;"&amp;D1838,$C$2:$C$2001,C1838)&gt;0,"SIM","NAO"))</f>
        <v/>
      </c>
      <c r="Z1838" s="5" t="str">
        <f aca="false">IF(A1838="","",IF(J1838="","",IFERROR(360/J1838,"")))</f>
        <v/>
      </c>
      <c r="AA1838" s="5" t="str">
        <f aca="false">IF(A1838="","",IF(H1838=0,"Parado (sem venda 90d)",IF(Z1838&gt;12,"Alto (&gt;12x/ano)",IF(Z1838&gt;=4,"Medio (4-12x/ano)","Baixo (&lt;4x/ano)"))))</f>
        <v/>
      </c>
    </row>
    <row r="1839" customFormat="false" ht="15" hidden="false" customHeight="true" outlineLevel="0" collapsed="false">
      <c r="A1839" s="6"/>
      <c r="B1839" s="6"/>
      <c r="C1839" s="6"/>
      <c r="D1839" s="6"/>
      <c r="E1839" s="6"/>
      <c r="F1839" s="6"/>
      <c r="G1839" s="6"/>
      <c r="H1839" s="6"/>
      <c r="I1839" s="6"/>
      <c r="J1839" s="6"/>
      <c r="K1839" s="18"/>
      <c r="L1839" s="19" t="str">
        <f aca="false">IF(A1839="","",G1839*K1839)</f>
        <v/>
      </c>
      <c r="M1839" s="20"/>
      <c r="N1839" s="6"/>
      <c r="O1839" s="6"/>
      <c r="P1839" s="5" t="str">
        <f aca="false">IF(A1839="","",H1839/90)</f>
        <v/>
      </c>
      <c r="Q1839" s="5" t="str">
        <f aca="false">IF(A1839="","",IFERROR(INDEX(Parâmetros!$C$6:$C$10,MATCH(F1839,Parâmetros!$B$6:$B$10,0)),""))</f>
        <v/>
      </c>
      <c r="R1839" s="5" t="str">
        <f aca="false">IF(OR(A1839="",P1839="",Q1839=""),"",P1839*Q1839)</f>
        <v/>
      </c>
      <c r="S1839" s="5" t="str">
        <f aca="false">IF(R1839="","",MAX(0,R1839-G1839))</f>
        <v/>
      </c>
      <c r="T1839" s="21" t="str">
        <f aca="false">IF(S1839="","",S1839*K1839)</f>
        <v/>
      </c>
      <c r="U1839" s="5" t="str">
        <f aca="false">IF(A1839="","",IF(J1839&gt;Parâmetros!$C$14,"SIM","NAO"))</f>
        <v/>
      </c>
      <c r="V1839" s="5" t="str">
        <f aca="false">IF(B1839="","",TRIM(LEFT(B1839,IFERROR(FIND(" ",B1839)-1,LEN(B1839)))))</f>
        <v/>
      </c>
      <c r="W1839" s="22"/>
      <c r="X1839" s="5" t="str">
        <f aca="false">IF(A1839="","",IF(W1839&lt;&gt;"",W1839,V1839))</f>
        <v/>
      </c>
      <c r="Y1839" s="5" t="str">
        <f aca="false">IF(A1839="","",IF(COUNTIFS($X$2:$X$2001,X1839,$D$2:$D$2001,"&lt;&gt;"&amp;D1839,$C$2:$C$2001,C1839)&gt;0,"SIM","NAO"))</f>
        <v/>
      </c>
      <c r="Z1839" s="5" t="str">
        <f aca="false">IF(A1839="","",IF(J1839="","",IFERROR(360/J1839,"")))</f>
        <v/>
      </c>
      <c r="AA1839" s="5" t="str">
        <f aca="false">IF(A1839="","",IF(H1839=0,"Parado (sem venda 90d)",IF(Z1839&gt;12,"Alto (&gt;12x/ano)",IF(Z1839&gt;=4,"Medio (4-12x/ano)","Baixo (&lt;4x/ano)"))))</f>
        <v/>
      </c>
    </row>
    <row r="1840" customFormat="false" ht="15" hidden="false" customHeight="true" outlineLevel="0" collapsed="false">
      <c r="A1840" s="6"/>
      <c r="B1840" s="6"/>
      <c r="C1840" s="6"/>
      <c r="D1840" s="6"/>
      <c r="E1840" s="6"/>
      <c r="F1840" s="6"/>
      <c r="G1840" s="6"/>
      <c r="H1840" s="6"/>
      <c r="I1840" s="6"/>
      <c r="J1840" s="6"/>
      <c r="K1840" s="18"/>
      <c r="L1840" s="19" t="str">
        <f aca="false">IF(A1840="","",G1840*K1840)</f>
        <v/>
      </c>
      <c r="M1840" s="20"/>
      <c r="N1840" s="6"/>
      <c r="O1840" s="6"/>
      <c r="P1840" s="5" t="str">
        <f aca="false">IF(A1840="","",H1840/90)</f>
        <v/>
      </c>
      <c r="Q1840" s="5" t="str">
        <f aca="false">IF(A1840="","",IFERROR(INDEX(Parâmetros!$C$6:$C$10,MATCH(F1840,Parâmetros!$B$6:$B$10,0)),""))</f>
        <v/>
      </c>
      <c r="R1840" s="5" t="str">
        <f aca="false">IF(OR(A1840="",P1840="",Q1840=""),"",P1840*Q1840)</f>
        <v/>
      </c>
      <c r="S1840" s="5" t="str">
        <f aca="false">IF(R1840="","",MAX(0,R1840-G1840))</f>
        <v/>
      </c>
      <c r="T1840" s="21" t="str">
        <f aca="false">IF(S1840="","",S1840*K1840)</f>
        <v/>
      </c>
      <c r="U1840" s="5" t="str">
        <f aca="false">IF(A1840="","",IF(J1840&gt;Parâmetros!$C$14,"SIM","NAO"))</f>
        <v/>
      </c>
      <c r="V1840" s="5" t="str">
        <f aca="false">IF(B1840="","",TRIM(LEFT(B1840,IFERROR(FIND(" ",B1840)-1,LEN(B1840)))))</f>
        <v/>
      </c>
      <c r="W1840" s="22"/>
      <c r="X1840" s="5" t="str">
        <f aca="false">IF(A1840="","",IF(W1840&lt;&gt;"",W1840,V1840))</f>
        <v/>
      </c>
      <c r="Y1840" s="5" t="str">
        <f aca="false">IF(A1840="","",IF(COUNTIFS($X$2:$X$2001,X1840,$D$2:$D$2001,"&lt;&gt;"&amp;D1840,$C$2:$C$2001,C1840)&gt;0,"SIM","NAO"))</f>
        <v/>
      </c>
      <c r="Z1840" s="5" t="str">
        <f aca="false">IF(A1840="","",IF(J1840="","",IFERROR(360/J1840,"")))</f>
        <v/>
      </c>
      <c r="AA1840" s="5" t="str">
        <f aca="false">IF(A1840="","",IF(H1840=0,"Parado (sem venda 90d)",IF(Z1840&gt;12,"Alto (&gt;12x/ano)",IF(Z1840&gt;=4,"Medio (4-12x/ano)","Baixo (&lt;4x/ano)"))))</f>
        <v/>
      </c>
    </row>
    <row r="1841" customFormat="false" ht="15" hidden="false" customHeight="true" outlineLevel="0" collapsed="false">
      <c r="A1841" s="6"/>
      <c r="B1841" s="6"/>
      <c r="C1841" s="6"/>
      <c r="D1841" s="6"/>
      <c r="E1841" s="6"/>
      <c r="F1841" s="6"/>
      <c r="G1841" s="6"/>
      <c r="H1841" s="6"/>
      <c r="I1841" s="6"/>
      <c r="J1841" s="6"/>
      <c r="K1841" s="18"/>
      <c r="L1841" s="19" t="str">
        <f aca="false">IF(A1841="","",G1841*K1841)</f>
        <v/>
      </c>
      <c r="M1841" s="20"/>
      <c r="N1841" s="6"/>
      <c r="O1841" s="6"/>
      <c r="P1841" s="5" t="str">
        <f aca="false">IF(A1841="","",H1841/90)</f>
        <v/>
      </c>
      <c r="Q1841" s="5" t="str">
        <f aca="false">IF(A1841="","",IFERROR(INDEX(Parâmetros!$C$6:$C$10,MATCH(F1841,Parâmetros!$B$6:$B$10,0)),""))</f>
        <v/>
      </c>
      <c r="R1841" s="5" t="str">
        <f aca="false">IF(OR(A1841="",P1841="",Q1841=""),"",P1841*Q1841)</f>
        <v/>
      </c>
      <c r="S1841" s="5" t="str">
        <f aca="false">IF(R1841="","",MAX(0,R1841-G1841))</f>
        <v/>
      </c>
      <c r="T1841" s="21" t="str">
        <f aca="false">IF(S1841="","",S1841*K1841)</f>
        <v/>
      </c>
      <c r="U1841" s="5" t="str">
        <f aca="false">IF(A1841="","",IF(J1841&gt;Parâmetros!$C$14,"SIM","NAO"))</f>
        <v/>
      </c>
      <c r="V1841" s="5" t="str">
        <f aca="false">IF(B1841="","",TRIM(LEFT(B1841,IFERROR(FIND(" ",B1841)-1,LEN(B1841)))))</f>
        <v/>
      </c>
      <c r="W1841" s="22"/>
      <c r="X1841" s="5" t="str">
        <f aca="false">IF(A1841="","",IF(W1841&lt;&gt;"",W1841,V1841))</f>
        <v/>
      </c>
      <c r="Y1841" s="5" t="str">
        <f aca="false">IF(A1841="","",IF(COUNTIFS($X$2:$X$2001,X1841,$D$2:$D$2001,"&lt;&gt;"&amp;D1841,$C$2:$C$2001,C1841)&gt;0,"SIM","NAO"))</f>
        <v/>
      </c>
      <c r="Z1841" s="5" t="str">
        <f aca="false">IF(A1841="","",IF(J1841="","",IFERROR(360/J1841,"")))</f>
        <v/>
      </c>
      <c r="AA1841" s="5" t="str">
        <f aca="false">IF(A1841="","",IF(H1841=0,"Parado (sem venda 90d)",IF(Z1841&gt;12,"Alto (&gt;12x/ano)",IF(Z1841&gt;=4,"Medio (4-12x/ano)","Baixo (&lt;4x/ano)"))))</f>
        <v/>
      </c>
    </row>
    <row r="1842" customFormat="false" ht="15" hidden="false" customHeight="true" outlineLevel="0" collapsed="false">
      <c r="A1842" s="6"/>
      <c r="B1842" s="6"/>
      <c r="C1842" s="6"/>
      <c r="D1842" s="6"/>
      <c r="E1842" s="6"/>
      <c r="F1842" s="6"/>
      <c r="G1842" s="6"/>
      <c r="H1842" s="6"/>
      <c r="I1842" s="6"/>
      <c r="J1842" s="6"/>
      <c r="K1842" s="18"/>
      <c r="L1842" s="19" t="str">
        <f aca="false">IF(A1842="","",G1842*K1842)</f>
        <v/>
      </c>
      <c r="M1842" s="20"/>
      <c r="N1842" s="6"/>
      <c r="O1842" s="6"/>
      <c r="P1842" s="5" t="str">
        <f aca="false">IF(A1842="","",H1842/90)</f>
        <v/>
      </c>
      <c r="Q1842" s="5" t="str">
        <f aca="false">IF(A1842="","",IFERROR(INDEX(Parâmetros!$C$6:$C$10,MATCH(F1842,Parâmetros!$B$6:$B$10,0)),""))</f>
        <v/>
      </c>
      <c r="R1842" s="5" t="str">
        <f aca="false">IF(OR(A1842="",P1842="",Q1842=""),"",P1842*Q1842)</f>
        <v/>
      </c>
      <c r="S1842" s="5" t="str">
        <f aca="false">IF(R1842="","",MAX(0,R1842-G1842))</f>
        <v/>
      </c>
      <c r="T1842" s="21" t="str">
        <f aca="false">IF(S1842="","",S1842*K1842)</f>
        <v/>
      </c>
      <c r="U1842" s="5" t="str">
        <f aca="false">IF(A1842="","",IF(J1842&gt;Parâmetros!$C$14,"SIM","NAO"))</f>
        <v/>
      </c>
      <c r="V1842" s="5" t="str">
        <f aca="false">IF(B1842="","",TRIM(LEFT(B1842,IFERROR(FIND(" ",B1842)-1,LEN(B1842)))))</f>
        <v/>
      </c>
      <c r="W1842" s="22"/>
      <c r="X1842" s="5" t="str">
        <f aca="false">IF(A1842="","",IF(W1842&lt;&gt;"",W1842,V1842))</f>
        <v/>
      </c>
      <c r="Y1842" s="5" t="str">
        <f aca="false">IF(A1842="","",IF(COUNTIFS($X$2:$X$2001,X1842,$D$2:$D$2001,"&lt;&gt;"&amp;D1842,$C$2:$C$2001,C1842)&gt;0,"SIM","NAO"))</f>
        <v/>
      </c>
      <c r="Z1842" s="5" t="str">
        <f aca="false">IF(A1842="","",IF(J1842="","",IFERROR(360/J1842,"")))</f>
        <v/>
      </c>
      <c r="AA1842" s="5" t="str">
        <f aca="false">IF(A1842="","",IF(H1842=0,"Parado (sem venda 90d)",IF(Z1842&gt;12,"Alto (&gt;12x/ano)",IF(Z1842&gt;=4,"Medio (4-12x/ano)","Baixo (&lt;4x/ano)"))))</f>
        <v/>
      </c>
    </row>
    <row r="1843" customFormat="false" ht="15" hidden="false" customHeight="true" outlineLevel="0" collapsed="false">
      <c r="A1843" s="6"/>
      <c r="B1843" s="6"/>
      <c r="C1843" s="6"/>
      <c r="D1843" s="6"/>
      <c r="E1843" s="6"/>
      <c r="F1843" s="6"/>
      <c r="G1843" s="6"/>
      <c r="H1843" s="6"/>
      <c r="I1843" s="6"/>
      <c r="J1843" s="6"/>
      <c r="K1843" s="18"/>
      <c r="L1843" s="19" t="str">
        <f aca="false">IF(A1843="","",G1843*K1843)</f>
        <v/>
      </c>
      <c r="M1843" s="20"/>
      <c r="N1843" s="6"/>
      <c r="O1843" s="6"/>
      <c r="P1843" s="5" t="str">
        <f aca="false">IF(A1843="","",H1843/90)</f>
        <v/>
      </c>
      <c r="Q1843" s="5" t="str">
        <f aca="false">IF(A1843="","",IFERROR(INDEX(Parâmetros!$C$6:$C$10,MATCH(F1843,Parâmetros!$B$6:$B$10,0)),""))</f>
        <v/>
      </c>
      <c r="R1843" s="5" t="str">
        <f aca="false">IF(OR(A1843="",P1843="",Q1843=""),"",P1843*Q1843)</f>
        <v/>
      </c>
      <c r="S1843" s="5" t="str">
        <f aca="false">IF(R1843="","",MAX(0,R1843-G1843))</f>
        <v/>
      </c>
      <c r="T1843" s="21" t="str">
        <f aca="false">IF(S1843="","",S1843*K1843)</f>
        <v/>
      </c>
      <c r="U1843" s="5" t="str">
        <f aca="false">IF(A1843="","",IF(J1843&gt;Parâmetros!$C$14,"SIM","NAO"))</f>
        <v/>
      </c>
      <c r="V1843" s="5" t="str">
        <f aca="false">IF(B1843="","",TRIM(LEFT(B1843,IFERROR(FIND(" ",B1843)-1,LEN(B1843)))))</f>
        <v/>
      </c>
      <c r="W1843" s="22"/>
      <c r="X1843" s="5" t="str">
        <f aca="false">IF(A1843="","",IF(W1843&lt;&gt;"",W1843,V1843))</f>
        <v/>
      </c>
      <c r="Y1843" s="5" t="str">
        <f aca="false">IF(A1843="","",IF(COUNTIFS($X$2:$X$2001,X1843,$D$2:$D$2001,"&lt;&gt;"&amp;D1843,$C$2:$C$2001,C1843)&gt;0,"SIM","NAO"))</f>
        <v/>
      </c>
      <c r="Z1843" s="5" t="str">
        <f aca="false">IF(A1843="","",IF(J1843="","",IFERROR(360/J1843,"")))</f>
        <v/>
      </c>
      <c r="AA1843" s="5" t="str">
        <f aca="false">IF(A1843="","",IF(H1843=0,"Parado (sem venda 90d)",IF(Z1843&gt;12,"Alto (&gt;12x/ano)",IF(Z1843&gt;=4,"Medio (4-12x/ano)","Baixo (&lt;4x/ano)"))))</f>
        <v/>
      </c>
    </row>
    <row r="1844" customFormat="false" ht="15" hidden="false" customHeight="true" outlineLevel="0" collapsed="false">
      <c r="A1844" s="6"/>
      <c r="B1844" s="6"/>
      <c r="C1844" s="6"/>
      <c r="D1844" s="6"/>
      <c r="E1844" s="6"/>
      <c r="F1844" s="6"/>
      <c r="G1844" s="6"/>
      <c r="H1844" s="6"/>
      <c r="I1844" s="6"/>
      <c r="J1844" s="6"/>
      <c r="K1844" s="18"/>
      <c r="L1844" s="19" t="str">
        <f aca="false">IF(A1844="","",G1844*K1844)</f>
        <v/>
      </c>
      <c r="M1844" s="20"/>
      <c r="N1844" s="6"/>
      <c r="O1844" s="6"/>
      <c r="P1844" s="5" t="str">
        <f aca="false">IF(A1844="","",H1844/90)</f>
        <v/>
      </c>
      <c r="Q1844" s="5" t="str">
        <f aca="false">IF(A1844="","",IFERROR(INDEX(Parâmetros!$C$6:$C$10,MATCH(F1844,Parâmetros!$B$6:$B$10,0)),""))</f>
        <v/>
      </c>
      <c r="R1844" s="5" t="str">
        <f aca="false">IF(OR(A1844="",P1844="",Q1844=""),"",P1844*Q1844)</f>
        <v/>
      </c>
      <c r="S1844" s="5" t="str">
        <f aca="false">IF(R1844="","",MAX(0,R1844-G1844))</f>
        <v/>
      </c>
      <c r="T1844" s="21" t="str">
        <f aca="false">IF(S1844="","",S1844*K1844)</f>
        <v/>
      </c>
      <c r="U1844" s="5" t="str">
        <f aca="false">IF(A1844="","",IF(J1844&gt;Parâmetros!$C$14,"SIM","NAO"))</f>
        <v/>
      </c>
      <c r="V1844" s="5" t="str">
        <f aca="false">IF(B1844="","",TRIM(LEFT(B1844,IFERROR(FIND(" ",B1844)-1,LEN(B1844)))))</f>
        <v/>
      </c>
      <c r="W1844" s="22"/>
      <c r="X1844" s="5" t="str">
        <f aca="false">IF(A1844="","",IF(W1844&lt;&gt;"",W1844,V1844))</f>
        <v/>
      </c>
      <c r="Y1844" s="5" t="str">
        <f aca="false">IF(A1844="","",IF(COUNTIFS($X$2:$X$2001,X1844,$D$2:$D$2001,"&lt;&gt;"&amp;D1844,$C$2:$C$2001,C1844)&gt;0,"SIM","NAO"))</f>
        <v/>
      </c>
      <c r="Z1844" s="5" t="str">
        <f aca="false">IF(A1844="","",IF(J1844="","",IFERROR(360/J1844,"")))</f>
        <v/>
      </c>
      <c r="AA1844" s="5" t="str">
        <f aca="false">IF(A1844="","",IF(H1844=0,"Parado (sem venda 90d)",IF(Z1844&gt;12,"Alto (&gt;12x/ano)",IF(Z1844&gt;=4,"Medio (4-12x/ano)","Baixo (&lt;4x/ano)"))))</f>
        <v/>
      </c>
    </row>
    <row r="1845" customFormat="false" ht="15" hidden="false" customHeight="true" outlineLevel="0" collapsed="false">
      <c r="A1845" s="6"/>
      <c r="B1845" s="6"/>
      <c r="C1845" s="6"/>
      <c r="D1845" s="6"/>
      <c r="E1845" s="6"/>
      <c r="F1845" s="6"/>
      <c r="G1845" s="6"/>
      <c r="H1845" s="6"/>
      <c r="I1845" s="6"/>
      <c r="J1845" s="6"/>
      <c r="K1845" s="18"/>
      <c r="L1845" s="19" t="str">
        <f aca="false">IF(A1845="","",G1845*K1845)</f>
        <v/>
      </c>
      <c r="M1845" s="20"/>
      <c r="N1845" s="6"/>
      <c r="O1845" s="6"/>
      <c r="P1845" s="5" t="str">
        <f aca="false">IF(A1845="","",H1845/90)</f>
        <v/>
      </c>
      <c r="Q1845" s="5" t="str">
        <f aca="false">IF(A1845="","",IFERROR(INDEX(Parâmetros!$C$6:$C$10,MATCH(F1845,Parâmetros!$B$6:$B$10,0)),""))</f>
        <v/>
      </c>
      <c r="R1845" s="5" t="str">
        <f aca="false">IF(OR(A1845="",P1845="",Q1845=""),"",P1845*Q1845)</f>
        <v/>
      </c>
      <c r="S1845" s="5" t="str">
        <f aca="false">IF(R1845="","",MAX(0,R1845-G1845))</f>
        <v/>
      </c>
      <c r="T1845" s="21" t="str">
        <f aca="false">IF(S1845="","",S1845*K1845)</f>
        <v/>
      </c>
      <c r="U1845" s="5" t="str">
        <f aca="false">IF(A1845="","",IF(J1845&gt;Parâmetros!$C$14,"SIM","NAO"))</f>
        <v/>
      </c>
      <c r="V1845" s="5" t="str">
        <f aca="false">IF(B1845="","",TRIM(LEFT(B1845,IFERROR(FIND(" ",B1845)-1,LEN(B1845)))))</f>
        <v/>
      </c>
      <c r="W1845" s="22"/>
      <c r="X1845" s="5" t="str">
        <f aca="false">IF(A1845="","",IF(W1845&lt;&gt;"",W1845,V1845))</f>
        <v/>
      </c>
      <c r="Y1845" s="5" t="str">
        <f aca="false">IF(A1845="","",IF(COUNTIFS($X$2:$X$2001,X1845,$D$2:$D$2001,"&lt;&gt;"&amp;D1845,$C$2:$C$2001,C1845)&gt;0,"SIM","NAO"))</f>
        <v/>
      </c>
      <c r="Z1845" s="5" t="str">
        <f aca="false">IF(A1845="","",IF(J1845="","",IFERROR(360/J1845,"")))</f>
        <v/>
      </c>
      <c r="AA1845" s="5" t="str">
        <f aca="false">IF(A1845="","",IF(H1845=0,"Parado (sem venda 90d)",IF(Z1845&gt;12,"Alto (&gt;12x/ano)",IF(Z1845&gt;=4,"Medio (4-12x/ano)","Baixo (&lt;4x/ano)"))))</f>
        <v/>
      </c>
    </row>
    <row r="1846" customFormat="false" ht="15" hidden="false" customHeight="true" outlineLevel="0" collapsed="false">
      <c r="A1846" s="6"/>
      <c r="B1846" s="6"/>
      <c r="C1846" s="6"/>
      <c r="D1846" s="6"/>
      <c r="E1846" s="6"/>
      <c r="F1846" s="6"/>
      <c r="G1846" s="6"/>
      <c r="H1846" s="6"/>
      <c r="I1846" s="6"/>
      <c r="J1846" s="6"/>
      <c r="K1846" s="18"/>
      <c r="L1846" s="19" t="str">
        <f aca="false">IF(A1846="","",G1846*K1846)</f>
        <v/>
      </c>
      <c r="M1846" s="20"/>
      <c r="N1846" s="6"/>
      <c r="O1846" s="6"/>
      <c r="P1846" s="5" t="str">
        <f aca="false">IF(A1846="","",H1846/90)</f>
        <v/>
      </c>
      <c r="Q1846" s="5" t="str">
        <f aca="false">IF(A1846="","",IFERROR(INDEX(Parâmetros!$C$6:$C$10,MATCH(F1846,Parâmetros!$B$6:$B$10,0)),""))</f>
        <v/>
      </c>
      <c r="R1846" s="5" t="str">
        <f aca="false">IF(OR(A1846="",P1846="",Q1846=""),"",P1846*Q1846)</f>
        <v/>
      </c>
      <c r="S1846" s="5" t="str">
        <f aca="false">IF(R1846="","",MAX(0,R1846-G1846))</f>
        <v/>
      </c>
      <c r="T1846" s="21" t="str">
        <f aca="false">IF(S1846="","",S1846*K1846)</f>
        <v/>
      </c>
      <c r="U1846" s="5" t="str">
        <f aca="false">IF(A1846="","",IF(J1846&gt;Parâmetros!$C$14,"SIM","NAO"))</f>
        <v/>
      </c>
      <c r="V1846" s="5" t="str">
        <f aca="false">IF(B1846="","",TRIM(LEFT(B1846,IFERROR(FIND(" ",B1846)-1,LEN(B1846)))))</f>
        <v/>
      </c>
      <c r="W1846" s="22"/>
      <c r="X1846" s="5" t="str">
        <f aca="false">IF(A1846="","",IF(W1846&lt;&gt;"",W1846,V1846))</f>
        <v/>
      </c>
      <c r="Y1846" s="5" t="str">
        <f aca="false">IF(A1846="","",IF(COUNTIFS($X$2:$X$2001,X1846,$D$2:$D$2001,"&lt;&gt;"&amp;D1846,$C$2:$C$2001,C1846)&gt;0,"SIM","NAO"))</f>
        <v/>
      </c>
      <c r="Z1846" s="5" t="str">
        <f aca="false">IF(A1846="","",IF(J1846="","",IFERROR(360/J1846,"")))</f>
        <v/>
      </c>
      <c r="AA1846" s="5" t="str">
        <f aca="false">IF(A1846="","",IF(H1846=0,"Parado (sem venda 90d)",IF(Z1846&gt;12,"Alto (&gt;12x/ano)",IF(Z1846&gt;=4,"Medio (4-12x/ano)","Baixo (&lt;4x/ano)"))))</f>
        <v/>
      </c>
    </row>
    <row r="1847" customFormat="false" ht="15" hidden="false" customHeight="true" outlineLevel="0" collapsed="false">
      <c r="A1847" s="6"/>
      <c r="B1847" s="6"/>
      <c r="C1847" s="6"/>
      <c r="D1847" s="6"/>
      <c r="E1847" s="6"/>
      <c r="F1847" s="6"/>
      <c r="G1847" s="6"/>
      <c r="H1847" s="6"/>
      <c r="I1847" s="6"/>
      <c r="J1847" s="6"/>
      <c r="K1847" s="18"/>
      <c r="L1847" s="19" t="str">
        <f aca="false">IF(A1847="","",G1847*K1847)</f>
        <v/>
      </c>
      <c r="M1847" s="20"/>
      <c r="N1847" s="6"/>
      <c r="O1847" s="6"/>
      <c r="P1847" s="5" t="str">
        <f aca="false">IF(A1847="","",H1847/90)</f>
        <v/>
      </c>
      <c r="Q1847" s="5" t="str">
        <f aca="false">IF(A1847="","",IFERROR(INDEX(Parâmetros!$C$6:$C$10,MATCH(F1847,Parâmetros!$B$6:$B$10,0)),""))</f>
        <v/>
      </c>
      <c r="R1847" s="5" t="str">
        <f aca="false">IF(OR(A1847="",P1847="",Q1847=""),"",P1847*Q1847)</f>
        <v/>
      </c>
      <c r="S1847" s="5" t="str">
        <f aca="false">IF(R1847="","",MAX(0,R1847-G1847))</f>
        <v/>
      </c>
      <c r="T1847" s="21" t="str">
        <f aca="false">IF(S1847="","",S1847*K1847)</f>
        <v/>
      </c>
      <c r="U1847" s="5" t="str">
        <f aca="false">IF(A1847="","",IF(J1847&gt;Parâmetros!$C$14,"SIM","NAO"))</f>
        <v/>
      </c>
      <c r="V1847" s="5" t="str">
        <f aca="false">IF(B1847="","",TRIM(LEFT(B1847,IFERROR(FIND(" ",B1847)-1,LEN(B1847)))))</f>
        <v/>
      </c>
      <c r="W1847" s="22"/>
      <c r="X1847" s="5" t="str">
        <f aca="false">IF(A1847="","",IF(W1847&lt;&gt;"",W1847,V1847))</f>
        <v/>
      </c>
      <c r="Y1847" s="5" t="str">
        <f aca="false">IF(A1847="","",IF(COUNTIFS($X$2:$X$2001,X1847,$D$2:$D$2001,"&lt;&gt;"&amp;D1847,$C$2:$C$2001,C1847)&gt;0,"SIM","NAO"))</f>
        <v/>
      </c>
      <c r="Z1847" s="5" t="str">
        <f aca="false">IF(A1847="","",IF(J1847="","",IFERROR(360/J1847,"")))</f>
        <v/>
      </c>
      <c r="AA1847" s="5" t="str">
        <f aca="false">IF(A1847="","",IF(H1847=0,"Parado (sem venda 90d)",IF(Z1847&gt;12,"Alto (&gt;12x/ano)",IF(Z1847&gt;=4,"Medio (4-12x/ano)","Baixo (&lt;4x/ano)"))))</f>
        <v/>
      </c>
    </row>
    <row r="1848" customFormat="false" ht="15" hidden="false" customHeight="true" outlineLevel="0" collapsed="false">
      <c r="A1848" s="6"/>
      <c r="B1848" s="6"/>
      <c r="C1848" s="6"/>
      <c r="D1848" s="6"/>
      <c r="E1848" s="6"/>
      <c r="F1848" s="6"/>
      <c r="G1848" s="6"/>
      <c r="H1848" s="6"/>
      <c r="I1848" s="6"/>
      <c r="J1848" s="6"/>
      <c r="K1848" s="18"/>
      <c r="L1848" s="19" t="str">
        <f aca="false">IF(A1848="","",G1848*K1848)</f>
        <v/>
      </c>
      <c r="M1848" s="20"/>
      <c r="N1848" s="6"/>
      <c r="O1848" s="6"/>
      <c r="P1848" s="5" t="str">
        <f aca="false">IF(A1848="","",H1848/90)</f>
        <v/>
      </c>
      <c r="Q1848" s="5" t="str">
        <f aca="false">IF(A1848="","",IFERROR(INDEX(Parâmetros!$C$6:$C$10,MATCH(F1848,Parâmetros!$B$6:$B$10,0)),""))</f>
        <v/>
      </c>
      <c r="R1848" s="5" t="str">
        <f aca="false">IF(OR(A1848="",P1848="",Q1848=""),"",P1848*Q1848)</f>
        <v/>
      </c>
      <c r="S1848" s="5" t="str">
        <f aca="false">IF(R1848="","",MAX(0,R1848-G1848))</f>
        <v/>
      </c>
      <c r="T1848" s="21" t="str">
        <f aca="false">IF(S1848="","",S1848*K1848)</f>
        <v/>
      </c>
      <c r="U1848" s="5" t="str">
        <f aca="false">IF(A1848="","",IF(J1848&gt;Parâmetros!$C$14,"SIM","NAO"))</f>
        <v/>
      </c>
      <c r="V1848" s="5" t="str">
        <f aca="false">IF(B1848="","",TRIM(LEFT(B1848,IFERROR(FIND(" ",B1848)-1,LEN(B1848)))))</f>
        <v/>
      </c>
      <c r="W1848" s="22"/>
      <c r="X1848" s="5" t="str">
        <f aca="false">IF(A1848="","",IF(W1848&lt;&gt;"",W1848,V1848))</f>
        <v/>
      </c>
      <c r="Y1848" s="5" t="str">
        <f aca="false">IF(A1848="","",IF(COUNTIFS($X$2:$X$2001,X1848,$D$2:$D$2001,"&lt;&gt;"&amp;D1848,$C$2:$C$2001,C1848)&gt;0,"SIM","NAO"))</f>
        <v/>
      </c>
      <c r="Z1848" s="5" t="str">
        <f aca="false">IF(A1848="","",IF(J1848="","",IFERROR(360/J1848,"")))</f>
        <v/>
      </c>
      <c r="AA1848" s="5" t="str">
        <f aca="false">IF(A1848="","",IF(H1848=0,"Parado (sem venda 90d)",IF(Z1848&gt;12,"Alto (&gt;12x/ano)",IF(Z1848&gt;=4,"Medio (4-12x/ano)","Baixo (&lt;4x/ano)"))))</f>
        <v/>
      </c>
    </row>
    <row r="1849" customFormat="false" ht="15" hidden="false" customHeight="true" outlineLevel="0" collapsed="false">
      <c r="A1849" s="6"/>
      <c r="B1849" s="6"/>
      <c r="C1849" s="6"/>
      <c r="D1849" s="6"/>
      <c r="E1849" s="6"/>
      <c r="F1849" s="6"/>
      <c r="G1849" s="6"/>
      <c r="H1849" s="6"/>
      <c r="I1849" s="6"/>
      <c r="J1849" s="6"/>
      <c r="K1849" s="18"/>
      <c r="L1849" s="19" t="str">
        <f aca="false">IF(A1849="","",G1849*K1849)</f>
        <v/>
      </c>
      <c r="M1849" s="20"/>
      <c r="N1849" s="6"/>
      <c r="O1849" s="6"/>
      <c r="P1849" s="5" t="str">
        <f aca="false">IF(A1849="","",H1849/90)</f>
        <v/>
      </c>
      <c r="Q1849" s="5" t="str">
        <f aca="false">IF(A1849="","",IFERROR(INDEX(Parâmetros!$C$6:$C$10,MATCH(F1849,Parâmetros!$B$6:$B$10,0)),""))</f>
        <v/>
      </c>
      <c r="R1849" s="5" t="str">
        <f aca="false">IF(OR(A1849="",P1849="",Q1849=""),"",P1849*Q1849)</f>
        <v/>
      </c>
      <c r="S1849" s="5" t="str">
        <f aca="false">IF(R1849="","",MAX(0,R1849-G1849))</f>
        <v/>
      </c>
      <c r="T1849" s="21" t="str">
        <f aca="false">IF(S1849="","",S1849*K1849)</f>
        <v/>
      </c>
      <c r="U1849" s="5" t="str">
        <f aca="false">IF(A1849="","",IF(J1849&gt;Parâmetros!$C$14,"SIM","NAO"))</f>
        <v/>
      </c>
      <c r="V1849" s="5" t="str">
        <f aca="false">IF(B1849="","",TRIM(LEFT(B1849,IFERROR(FIND(" ",B1849)-1,LEN(B1849)))))</f>
        <v/>
      </c>
      <c r="W1849" s="22"/>
      <c r="X1849" s="5" t="str">
        <f aca="false">IF(A1849="","",IF(W1849&lt;&gt;"",W1849,V1849))</f>
        <v/>
      </c>
      <c r="Y1849" s="5" t="str">
        <f aca="false">IF(A1849="","",IF(COUNTIFS($X$2:$X$2001,X1849,$D$2:$D$2001,"&lt;&gt;"&amp;D1849,$C$2:$C$2001,C1849)&gt;0,"SIM","NAO"))</f>
        <v/>
      </c>
      <c r="Z1849" s="5" t="str">
        <f aca="false">IF(A1849="","",IF(J1849="","",IFERROR(360/J1849,"")))</f>
        <v/>
      </c>
      <c r="AA1849" s="5" t="str">
        <f aca="false">IF(A1849="","",IF(H1849=0,"Parado (sem venda 90d)",IF(Z1849&gt;12,"Alto (&gt;12x/ano)",IF(Z1849&gt;=4,"Medio (4-12x/ano)","Baixo (&lt;4x/ano)"))))</f>
        <v/>
      </c>
    </row>
    <row r="1850" customFormat="false" ht="15" hidden="false" customHeight="true" outlineLevel="0" collapsed="false">
      <c r="A1850" s="6"/>
      <c r="B1850" s="6"/>
      <c r="C1850" s="6"/>
      <c r="D1850" s="6"/>
      <c r="E1850" s="6"/>
      <c r="F1850" s="6"/>
      <c r="G1850" s="6"/>
      <c r="H1850" s="6"/>
      <c r="I1850" s="6"/>
      <c r="J1850" s="6"/>
      <c r="K1850" s="18"/>
      <c r="L1850" s="19" t="str">
        <f aca="false">IF(A1850="","",G1850*K1850)</f>
        <v/>
      </c>
      <c r="M1850" s="20"/>
      <c r="N1850" s="6"/>
      <c r="O1850" s="6"/>
      <c r="P1850" s="5" t="str">
        <f aca="false">IF(A1850="","",H1850/90)</f>
        <v/>
      </c>
      <c r="Q1850" s="5" t="str">
        <f aca="false">IF(A1850="","",IFERROR(INDEX(Parâmetros!$C$6:$C$10,MATCH(F1850,Parâmetros!$B$6:$B$10,0)),""))</f>
        <v/>
      </c>
      <c r="R1850" s="5" t="str">
        <f aca="false">IF(OR(A1850="",P1850="",Q1850=""),"",P1850*Q1850)</f>
        <v/>
      </c>
      <c r="S1850" s="5" t="str">
        <f aca="false">IF(R1850="","",MAX(0,R1850-G1850))</f>
        <v/>
      </c>
      <c r="T1850" s="21" t="str">
        <f aca="false">IF(S1850="","",S1850*K1850)</f>
        <v/>
      </c>
      <c r="U1850" s="5" t="str">
        <f aca="false">IF(A1850="","",IF(J1850&gt;Parâmetros!$C$14,"SIM","NAO"))</f>
        <v/>
      </c>
      <c r="V1850" s="5" t="str">
        <f aca="false">IF(B1850="","",TRIM(LEFT(B1850,IFERROR(FIND(" ",B1850)-1,LEN(B1850)))))</f>
        <v/>
      </c>
      <c r="W1850" s="22"/>
      <c r="X1850" s="5" t="str">
        <f aca="false">IF(A1850="","",IF(W1850&lt;&gt;"",W1850,V1850))</f>
        <v/>
      </c>
      <c r="Y1850" s="5" t="str">
        <f aca="false">IF(A1850="","",IF(COUNTIFS($X$2:$X$2001,X1850,$D$2:$D$2001,"&lt;&gt;"&amp;D1850,$C$2:$C$2001,C1850)&gt;0,"SIM","NAO"))</f>
        <v/>
      </c>
      <c r="Z1850" s="5" t="str">
        <f aca="false">IF(A1850="","",IF(J1850="","",IFERROR(360/J1850,"")))</f>
        <v/>
      </c>
      <c r="AA1850" s="5" t="str">
        <f aca="false">IF(A1850="","",IF(H1850=0,"Parado (sem venda 90d)",IF(Z1850&gt;12,"Alto (&gt;12x/ano)",IF(Z1850&gt;=4,"Medio (4-12x/ano)","Baixo (&lt;4x/ano)"))))</f>
        <v/>
      </c>
    </row>
    <row r="1851" customFormat="false" ht="15" hidden="false" customHeight="true" outlineLevel="0" collapsed="false">
      <c r="A1851" s="6"/>
      <c r="B1851" s="6"/>
      <c r="C1851" s="6"/>
      <c r="D1851" s="6"/>
      <c r="E1851" s="6"/>
      <c r="F1851" s="6"/>
      <c r="G1851" s="6"/>
      <c r="H1851" s="6"/>
      <c r="I1851" s="6"/>
      <c r="J1851" s="6"/>
      <c r="K1851" s="18"/>
      <c r="L1851" s="19" t="str">
        <f aca="false">IF(A1851="","",G1851*K1851)</f>
        <v/>
      </c>
      <c r="M1851" s="20"/>
      <c r="N1851" s="6"/>
      <c r="O1851" s="6"/>
      <c r="P1851" s="5" t="str">
        <f aca="false">IF(A1851="","",H1851/90)</f>
        <v/>
      </c>
      <c r="Q1851" s="5" t="str">
        <f aca="false">IF(A1851="","",IFERROR(INDEX(Parâmetros!$C$6:$C$10,MATCH(F1851,Parâmetros!$B$6:$B$10,0)),""))</f>
        <v/>
      </c>
      <c r="R1851" s="5" t="str">
        <f aca="false">IF(OR(A1851="",P1851="",Q1851=""),"",P1851*Q1851)</f>
        <v/>
      </c>
      <c r="S1851" s="5" t="str">
        <f aca="false">IF(R1851="","",MAX(0,R1851-G1851))</f>
        <v/>
      </c>
      <c r="T1851" s="21" t="str">
        <f aca="false">IF(S1851="","",S1851*K1851)</f>
        <v/>
      </c>
      <c r="U1851" s="5" t="str">
        <f aca="false">IF(A1851="","",IF(J1851&gt;Parâmetros!$C$14,"SIM","NAO"))</f>
        <v/>
      </c>
      <c r="V1851" s="5" t="str">
        <f aca="false">IF(B1851="","",TRIM(LEFT(B1851,IFERROR(FIND(" ",B1851)-1,LEN(B1851)))))</f>
        <v/>
      </c>
      <c r="W1851" s="22"/>
      <c r="X1851" s="5" t="str">
        <f aca="false">IF(A1851="","",IF(W1851&lt;&gt;"",W1851,V1851))</f>
        <v/>
      </c>
      <c r="Y1851" s="5" t="str">
        <f aca="false">IF(A1851="","",IF(COUNTIFS($X$2:$X$2001,X1851,$D$2:$D$2001,"&lt;&gt;"&amp;D1851,$C$2:$C$2001,C1851)&gt;0,"SIM","NAO"))</f>
        <v/>
      </c>
      <c r="Z1851" s="5" t="str">
        <f aca="false">IF(A1851="","",IF(J1851="","",IFERROR(360/J1851,"")))</f>
        <v/>
      </c>
      <c r="AA1851" s="5" t="str">
        <f aca="false">IF(A1851="","",IF(H1851=0,"Parado (sem venda 90d)",IF(Z1851&gt;12,"Alto (&gt;12x/ano)",IF(Z1851&gt;=4,"Medio (4-12x/ano)","Baixo (&lt;4x/ano)"))))</f>
        <v/>
      </c>
    </row>
    <row r="1852" customFormat="false" ht="15" hidden="false" customHeight="true" outlineLevel="0" collapsed="false">
      <c r="A1852" s="6"/>
      <c r="B1852" s="6"/>
      <c r="C1852" s="6"/>
      <c r="D1852" s="6"/>
      <c r="E1852" s="6"/>
      <c r="F1852" s="6"/>
      <c r="G1852" s="6"/>
      <c r="H1852" s="6"/>
      <c r="I1852" s="6"/>
      <c r="J1852" s="6"/>
      <c r="K1852" s="18"/>
      <c r="L1852" s="19" t="str">
        <f aca="false">IF(A1852="","",G1852*K1852)</f>
        <v/>
      </c>
      <c r="M1852" s="20"/>
      <c r="N1852" s="6"/>
      <c r="O1852" s="6"/>
      <c r="P1852" s="5" t="str">
        <f aca="false">IF(A1852="","",H1852/90)</f>
        <v/>
      </c>
      <c r="Q1852" s="5" t="str">
        <f aca="false">IF(A1852="","",IFERROR(INDEX(Parâmetros!$C$6:$C$10,MATCH(F1852,Parâmetros!$B$6:$B$10,0)),""))</f>
        <v/>
      </c>
      <c r="R1852" s="5" t="str">
        <f aca="false">IF(OR(A1852="",P1852="",Q1852=""),"",P1852*Q1852)</f>
        <v/>
      </c>
      <c r="S1852" s="5" t="str">
        <f aca="false">IF(R1852="","",MAX(0,R1852-G1852))</f>
        <v/>
      </c>
      <c r="T1852" s="21" t="str">
        <f aca="false">IF(S1852="","",S1852*K1852)</f>
        <v/>
      </c>
      <c r="U1852" s="5" t="str">
        <f aca="false">IF(A1852="","",IF(J1852&gt;Parâmetros!$C$14,"SIM","NAO"))</f>
        <v/>
      </c>
      <c r="V1852" s="5" t="str">
        <f aca="false">IF(B1852="","",TRIM(LEFT(B1852,IFERROR(FIND(" ",B1852)-1,LEN(B1852)))))</f>
        <v/>
      </c>
      <c r="W1852" s="22"/>
      <c r="X1852" s="5" t="str">
        <f aca="false">IF(A1852="","",IF(W1852&lt;&gt;"",W1852,V1852))</f>
        <v/>
      </c>
      <c r="Y1852" s="5" t="str">
        <f aca="false">IF(A1852="","",IF(COUNTIFS($X$2:$X$2001,X1852,$D$2:$D$2001,"&lt;&gt;"&amp;D1852,$C$2:$C$2001,C1852)&gt;0,"SIM","NAO"))</f>
        <v/>
      </c>
      <c r="Z1852" s="5" t="str">
        <f aca="false">IF(A1852="","",IF(J1852="","",IFERROR(360/J1852,"")))</f>
        <v/>
      </c>
      <c r="AA1852" s="5" t="str">
        <f aca="false">IF(A1852="","",IF(H1852=0,"Parado (sem venda 90d)",IF(Z1852&gt;12,"Alto (&gt;12x/ano)",IF(Z1852&gt;=4,"Medio (4-12x/ano)","Baixo (&lt;4x/ano)"))))</f>
        <v/>
      </c>
    </row>
    <row r="1853" customFormat="false" ht="15" hidden="false" customHeight="true" outlineLevel="0" collapsed="false">
      <c r="A1853" s="6"/>
      <c r="B1853" s="6"/>
      <c r="C1853" s="6"/>
      <c r="D1853" s="6"/>
      <c r="E1853" s="6"/>
      <c r="F1853" s="6"/>
      <c r="G1853" s="6"/>
      <c r="H1853" s="6"/>
      <c r="I1853" s="6"/>
      <c r="J1853" s="6"/>
      <c r="K1853" s="18"/>
      <c r="L1853" s="19" t="str">
        <f aca="false">IF(A1853="","",G1853*K1853)</f>
        <v/>
      </c>
      <c r="M1853" s="20"/>
      <c r="N1853" s="6"/>
      <c r="O1853" s="6"/>
      <c r="P1853" s="5" t="str">
        <f aca="false">IF(A1853="","",H1853/90)</f>
        <v/>
      </c>
      <c r="Q1853" s="5" t="str">
        <f aca="false">IF(A1853="","",IFERROR(INDEX(Parâmetros!$C$6:$C$10,MATCH(F1853,Parâmetros!$B$6:$B$10,0)),""))</f>
        <v/>
      </c>
      <c r="R1853" s="5" t="str">
        <f aca="false">IF(OR(A1853="",P1853="",Q1853=""),"",P1853*Q1853)</f>
        <v/>
      </c>
      <c r="S1853" s="5" t="str">
        <f aca="false">IF(R1853="","",MAX(0,R1853-G1853))</f>
        <v/>
      </c>
      <c r="T1853" s="21" t="str">
        <f aca="false">IF(S1853="","",S1853*K1853)</f>
        <v/>
      </c>
      <c r="U1853" s="5" t="str">
        <f aca="false">IF(A1853="","",IF(J1853&gt;Parâmetros!$C$14,"SIM","NAO"))</f>
        <v/>
      </c>
      <c r="V1853" s="5" t="str">
        <f aca="false">IF(B1853="","",TRIM(LEFT(B1853,IFERROR(FIND(" ",B1853)-1,LEN(B1853)))))</f>
        <v/>
      </c>
      <c r="W1853" s="22"/>
      <c r="X1853" s="5" t="str">
        <f aca="false">IF(A1853="","",IF(W1853&lt;&gt;"",W1853,V1853))</f>
        <v/>
      </c>
      <c r="Y1853" s="5" t="str">
        <f aca="false">IF(A1853="","",IF(COUNTIFS($X$2:$X$2001,X1853,$D$2:$D$2001,"&lt;&gt;"&amp;D1853,$C$2:$C$2001,C1853)&gt;0,"SIM","NAO"))</f>
        <v/>
      </c>
      <c r="Z1853" s="5" t="str">
        <f aca="false">IF(A1853="","",IF(J1853="","",IFERROR(360/J1853,"")))</f>
        <v/>
      </c>
      <c r="AA1853" s="5" t="str">
        <f aca="false">IF(A1853="","",IF(H1853=0,"Parado (sem venda 90d)",IF(Z1853&gt;12,"Alto (&gt;12x/ano)",IF(Z1853&gt;=4,"Medio (4-12x/ano)","Baixo (&lt;4x/ano)"))))</f>
        <v/>
      </c>
    </row>
    <row r="1854" customFormat="false" ht="15" hidden="false" customHeight="true" outlineLevel="0" collapsed="false">
      <c r="A1854" s="6"/>
      <c r="B1854" s="6"/>
      <c r="C1854" s="6"/>
      <c r="D1854" s="6"/>
      <c r="E1854" s="6"/>
      <c r="F1854" s="6"/>
      <c r="G1854" s="6"/>
      <c r="H1854" s="6"/>
      <c r="I1854" s="6"/>
      <c r="J1854" s="6"/>
      <c r="K1854" s="18"/>
      <c r="L1854" s="19" t="str">
        <f aca="false">IF(A1854="","",G1854*K1854)</f>
        <v/>
      </c>
      <c r="M1854" s="20"/>
      <c r="N1854" s="6"/>
      <c r="O1854" s="6"/>
      <c r="P1854" s="5" t="str">
        <f aca="false">IF(A1854="","",H1854/90)</f>
        <v/>
      </c>
      <c r="Q1854" s="5" t="str">
        <f aca="false">IF(A1854="","",IFERROR(INDEX(Parâmetros!$C$6:$C$10,MATCH(F1854,Parâmetros!$B$6:$B$10,0)),""))</f>
        <v/>
      </c>
      <c r="R1854" s="5" t="str">
        <f aca="false">IF(OR(A1854="",P1854="",Q1854=""),"",P1854*Q1854)</f>
        <v/>
      </c>
      <c r="S1854" s="5" t="str">
        <f aca="false">IF(R1854="","",MAX(0,R1854-G1854))</f>
        <v/>
      </c>
      <c r="T1854" s="21" t="str">
        <f aca="false">IF(S1854="","",S1854*K1854)</f>
        <v/>
      </c>
      <c r="U1854" s="5" t="str">
        <f aca="false">IF(A1854="","",IF(J1854&gt;Parâmetros!$C$14,"SIM","NAO"))</f>
        <v/>
      </c>
      <c r="V1854" s="5" t="str">
        <f aca="false">IF(B1854="","",TRIM(LEFT(B1854,IFERROR(FIND(" ",B1854)-1,LEN(B1854)))))</f>
        <v/>
      </c>
      <c r="W1854" s="22"/>
      <c r="X1854" s="5" t="str">
        <f aca="false">IF(A1854="","",IF(W1854&lt;&gt;"",W1854,V1854))</f>
        <v/>
      </c>
      <c r="Y1854" s="5" t="str">
        <f aca="false">IF(A1854="","",IF(COUNTIFS($X$2:$X$2001,X1854,$D$2:$D$2001,"&lt;&gt;"&amp;D1854,$C$2:$C$2001,C1854)&gt;0,"SIM","NAO"))</f>
        <v/>
      </c>
      <c r="Z1854" s="5" t="str">
        <f aca="false">IF(A1854="","",IF(J1854="","",IFERROR(360/J1854,"")))</f>
        <v/>
      </c>
      <c r="AA1854" s="5" t="str">
        <f aca="false">IF(A1854="","",IF(H1854=0,"Parado (sem venda 90d)",IF(Z1854&gt;12,"Alto (&gt;12x/ano)",IF(Z1854&gt;=4,"Medio (4-12x/ano)","Baixo (&lt;4x/ano)"))))</f>
        <v/>
      </c>
    </row>
    <row r="1855" customFormat="false" ht="15" hidden="false" customHeight="true" outlineLevel="0" collapsed="false">
      <c r="A1855" s="6"/>
      <c r="B1855" s="6"/>
      <c r="C1855" s="6"/>
      <c r="D1855" s="6"/>
      <c r="E1855" s="6"/>
      <c r="F1855" s="6"/>
      <c r="G1855" s="6"/>
      <c r="H1855" s="6"/>
      <c r="I1855" s="6"/>
      <c r="J1855" s="6"/>
      <c r="K1855" s="18"/>
      <c r="L1855" s="19" t="str">
        <f aca="false">IF(A1855="","",G1855*K1855)</f>
        <v/>
      </c>
      <c r="M1855" s="20"/>
      <c r="N1855" s="6"/>
      <c r="O1855" s="6"/>
      <c r="P1855" s="5" t="str">
        <f aca="false">IF(A1855="","",H1855/90)</f>
        <v/>
      </c>
      <c r="Q1855" s="5" t="str">
        <f aca="false">IF(A1855="","",IFERROR(INDEX(Parâmetros!$C$6:$C$10,MATCH(F1855,Parâmetros!$B$6:$B$10,0)),""))</f>
        <v/>
      </c>
      <c r="R1855" s="5" t="str">
        <f aca="false">IF(OR(A1855="",P1855="",Q1855=""),"",P1855*Q1855)</f>
        <v/>
      </c>
      <c r="S1855" s="5" t="str">
        <f aca="false">IF(R1855="","",MAX(0,R1855-G1855))</f>
        <v/>
      </c>
      <c r="T1855" s="21" t="str">
        <f aca="false">IF(S1855="","",S1855*K1855)</f>
        <v/>
      </c>
      <c r="U1855" s="5" t="str">
        <f aca="false">IF(A1855="","",IF(J1855&gt;Parâmetros!$C$14,"SIM","NAO"))</f>
        <v/>
      </c>
      <c r="V1855" s="5" t="str">
        <f aca="false">IF(B1855="","",TRIM(LEFT(B1855,IFERROR(FIND(" ",B1855)-1,LEN(B1855)))))</f>
        <v/>
      </c>
      <c r="W1855" s="22"/>
      <c r="X1855" s="5" t="str">
        <f aca="false">IF(A1855="","",IF(W1855&lt;&gt;"",W1855,V1855))</f>
        <v/>
      </c>
      <c r="Y1855" s="5" t="str">
        <f aca="false">IF(A1855="","",IF(COUNTIFS($X$2:$X$2001,X1855,$D$2:$D$2001,"&lt;&gt;"&amp;D1855,$C$2:$C$2001,C1855)&gt;0,"SIM","NAO"))</f>
        <v/>
      </c>
      <c r="Z1855" s="5" t="str">
        <f aca="false">IF(A1855="","",IF(J1855="","",IFERROR(360/J1855,"")))</f>
        <v/>
      </c>
      <c r="AA1855" s="5" t="str">
        <f aca="false">IF(A1855="","",IF(H1855=0,"Parado (sem venda 90d)",IF(Z1855&gt;12,"Alto (&gt;12x/ano)",IF(Z1855&gt;=4,"Medio (4-12x/ano)","Baixo (&lt;4x/ano)"))))</f>
        <v/>
      </c>
    </row>
    <row r="1856" customFormat="false" ht="15" hidden="false" customHeight="true" outlineLevel="0" collapsed="false">
      <c r="A1856" s="6"/>
      <c r="B1856" s="6"/>
      <c r="C1856" s="6"/>
      <c r="D1856" s="6"/>
      <c r="E1856" s="6"/>
      <c r="F1856" s="6"/>
      <c r="G1856" s="6"/>
      <c r="H1856" s="6"/>
      <c r="I1856" s="6"/>
      <c r="J1856" s="6"/>
      <c r="K1856" s="18"/>
      <c r="L1856" s="19" t="str">
        <f aca="false">IF(A1856="","",G1856*K1856)</f>
        <v/>
      </c>
      <c r="M1856" s="20"/>
      <c r="N1856" s="6"/>
      <c r="O1856" s="6"/>
      <c r="P1856" s="5" t="str">
        <f aca="false">IF(A1856="","",H1856/90)</f>
        <v/>
      </c>
      <c r="Q1856" s="5" t="str">
        <f aca="false">IF(A1856="","",IFERROR(INDEX(Parâmetros!$C$6:$C$10,MATCH(F1856,Parâmetros!$B$6:$B$10,0)),""))</f>
        <v/>
      </c>
      <c r="R1856" s="5" t="str">
        <f aca="false">IF(OR(A1856="",P1856="",Q1856=""),"",P1856*Q1856)</f>
        <v/>
      </c>
      <c r="S1856" s="5" t="str">
        <f aca="false">IF(R1856="","",MAX(0,R1856-G1856))</f>
        <v/>
      </c>
      <c r="T1856" s="21" t="str">
        <f aca="false">IF(S1856="","",S1856*K1856)</f>
        <v/>
      </c>
      <c r="U1856" s="5" t="str">
        <f aca="false">IF(A1856="","",IF(J1856&gt;Parâmetros!$C$14,"SIM","NAO"))</f>
        <v/>
      </c>
      <c r="V1856" s="5" t="str">
        <f aca="false">IF(B1856="","",TRIM(LEFT(B1856,IFERROR(FIND(" ",B1856)-1,LEN(B1856)))))</f>
        <v/>
      </c>
      <c r="W1856" s="22"/>
      <c r="X1856" s="5" t="str">
        <f aca="false">IF(A1856="","",IF(W1856&lt;&gt;"",W1856,V1856))</f>
        <v/>
      </c>
      <c r="Y1856" s="5" t="str">
        <f aca="false">IF(A1856="","",IF(COUNTIFS($X$2:$X$2001,X1856,$D$2:$D$2001,"&lt;&gt;"&amp;D1856,$C$2:$C$2001,C1856)&gt;0,"SIM","NAO"))</f>
        <v/>
      </c>
      <c r="Z1856" s="5" t="str">
        <f aca="false">IF(A1856="","",IF(J1856="","",IFERROR(360/J1856,"")))</f>
        <v/>
      </c>
      <c r="AA1856" s="5" t="str">
        <f aca="false">IF(A1856="","",IF(H1856=0,"Parado (sem venda 90d)",IF(Z1856&gt;12,"Alto (&gt;12x/ano)",IF(Z1856&gt;=4,"Medio (4-12x/ano)","Baixo (&lt;4x/ano)"))))</f>
        <v/>
      </c>
    </row>
    <row r="1857" customFormat="false" ht="15" hidden="false" customHeight="true" outlineLevel="0" collapsed="false">
      <c r="A1857" s="6"/>
      <c r="B1857" s="6"/>
      <c r="C1857" s="6"/>
      <c r="D1857" s="6"/>
      <c r="E1857" s="6"/>
      <c r="F1857" s="6"/>
      <c r="G1857" s="6"/>
      <c r="H1857" s="6"/>
      <c r="I1857" s="6"/>
      <c r="J1857" s="6"/>
      <c r="K1857" s="18"/>
      <c r="L1857" s="19" t="str">
        <f aca="false">IF(A1857="","",G1857*K1857)</f>
        <v/>
      </c>
      <c r="M1857" s="20"/>
      <c r="N1857" s="6"/>
      <c r="O1857" s="6"/>
      <c r="P1857" s="5" t="str">
        <f aca="false">IF(A1857="","",H1857/90)</f>
        <v/>
      </c>
      <c r="Q1857" s="5" t="str">
        <f aca="false">IF(A1857="","",IFERROR(INDEX(Parâmetros!$C$6:$C$10,MATCH(F1857,Parâmetros!$B$6:$B$10,0)),""))</f>
        <v/>
      </c>
      <c r="R1857" s="5" t="str">
        <f aca="false">IF(OR(A1857="",P1857="",Q1857=""),"",P1857*Q1857)</f>
        <v/>
      </c>
      <c r="S1857" s="5" t="str">
        <f aca="false">IF(R1857="","",MAX(0,R1857-G1857))</f>
        <v/>
      </c>
      <c r="T1857" s="21" t="str">
        <f aca="false">IF(S1857="","",S1857*K1857)</f>
        <v/>
      </c>
      <c r="U1857" s="5" t="str">
        <f aca="false">IF(A1857="","",IF(J1857&gt;Parâmetros!$C$14,"SIM","NAO"))</f>
        <v/>
      </c>
      <c r="V1857" s="5" t="str">
        <f aca="false">IF(B1857="","",TRIM(LEFT(B1857,IFERROR(FIND(" ",B1857)-1,LEN(B1857)))))</f>
        <v/>
      </c>
      <c r="W1857" s="22"/>
      <c r="X1857" s="5" t="str">
        <f aca="false">IF(A1857="","",IF(W1857&lt;&gt;"",W1857,V1857))</f>
        <v/>
      </c>
      <c r="Y1857" s="5" t="str">
        <f aca="false">IF(A1857="","",IF(COUNTIFS($X$2:$X$2001,X1857,$D$2:$D$2001,"&lt;&gt;"&amp;D1857,$C$2:$C$2001,C1857)&gt;0,"SIM","NAO"))</f>
        <v/>
      </c>
      <c r="Z1857" s="5" t="str">
        <f aca="false">IF(A1857="","",IF(J1857="","",IFERROR(360/J1857,"")))</f>
        <v/>
      </c>
      <c r="AA1857" s="5" t="str">
        <f aca="false">IF(A1857="","",IF(H1857=0,"Parado (sem venda 90d)",IF(Z1857&gt;12,"Alto (&gt;12x/ano)",IF(Z1857&gt;=4,"Medio (4-12x/ano)","Baixo (&lt;4x/ano)"))))</f>
        <v/>
      </c>
    </row>
    <row r="1858" customFormat="false" ht="15" hidden="false" customHeight="true" outlineLevel="0" collapsed="false">
      <c r="A1858" s="6"/>
      <c r="B1858" s="6"/>
      <c r="C1858" s="6"/>
      <c r="D1858" s="6"/>
      <c r="E1858" s="6"/>
      <c r="F1858" s="6"/>
      <c r="G1858" s="6"/>
      <c r="H1858" s="6"/>
      <c r="I1858" s="6"/>
      <c r="J1858" s="6"/>
      <c r="K1858" s="18"/>
      <c r="L1858" s="19" t="str">
        <f aca="false">IF(A1858="","",G1858*K1858)</f>
        <v/>
      </c>
      <c r="M1858" s="20"/>
      <c r="N1858" s="6"/>
      <c r="O1858" s="6"/>
      <c r="P1858" s="5" t="str">
        <f aca="false">IF(A1858="","",H1858/90)</f>
        <v/>
      </c>
      <c r="Q1858" s="5" t="str">
        <f aca="false">IF(A1858="","",IFERROR(INDEX(Parâmetros!$C$6:$C$10,MATCH(F1858,Parâmetros!$B$6:$B$10,0)),""))</f>
        <v/>
      </c>
      <c r="R1858" s="5" t="str">
        <f aca="false">IF(OR(A1858="",P1858="",Q1858=""),"",P1858*Q1858)</f>
        <v/>
      </c>
      <c r="S1858" s="5" t="str">
        <f aca="false">IF(R1858="","",MAX(0,R1858-G1858))</f>
        <v/>
      </c>
      <c r="T1858" s="21" t="str">
        <f aca="false">IF(S1858="","",S1858*K1858)</f>
        <v/>
      </c>
      <c r="U1858" s="5" t="str">
        <f aca="false">IF(A1858="","",IF(J1858&gt;Parâmetros!$C$14,"SIM","NAO"))</f>
        <v/>
      </c>
      <c r="V1858" s="5" t="str">
        <f aca="false">IF(B1858="","",TRIM(LEFT(B1858,IFERROR(FIND(" ",B1858)-1,LEN(B1858)))))</f>
        <v/>
      </c>
      <c r="W1858" s="22"/>
      <c r="X1858" s="5" t="str">
        <f aca="false">IF(A1858="","",IF(W1858&lt;&gt;"",W1858,V1858))</f>
        <v/>
      </c>
      <c r="Y1858" s="5" t="str">
        <f aca="false">IF(A1858="","",IF(COUNTIFS($X$2:$X$2001,X1858,$D$2:$D$2001,"&lt;&gt;"&amp;D1858,$C$2:$C$2001,C1858)&gt;0,"SIM","NAO"))</f>
        <v/>
      </c>
      <c r="Z1858" s="5" t="str">
        <f aca="false">IF(A1858="","",IF(J1858="","",IFERROR(360/J1858,"")))</f>
        <v/>
      </c>
      <c r="AA1858" s="5" t="str">
        <f aca="false">IF(A1858="","",IF(H1858=0,"Parado (sem venda 90d)",IF(Z1858&gt;12,"Alto (&gt;12x/ano)",IF(Z1858&gt;=4,"Medio (4-12x/ano)","Baixo (&lt;4x/ano)"))))</f>
        <v/>
      </c>
    </row>
    <row r="1859" customFormat="false" ht="15" hidden="false" customHeight="true" outlineLevel="0" collapsed="false">
      <c r="A1859" s="6"/>
      <c r="B1859" s="6"/>
      <c r="C1859" s="6"/>
      <c r="D1859" s="6"/>
      <c r="E1859" s="6"/>
      <c r="F1859" s="6"/>
      <c r="G1859" s="6"/>
      <c r="H1859" s="6"/>
      <c r="I1859" s="6"/>
      <c r="J1859" s="6"/>
      <c r="K1859" s="18"/>
      <c r="L1859" s="19" t="str">
        <f aca="false">IF(A1859="","",G1859*K1859)</f>
        <v/>
      </c>
      <c r="M1859" s="20"/>
      <c r="N1859" s="6"/>
      <c r="O1859" s="6"/>
      <c r="P1859" s="5" t="str">
        <f aca="false">IF(A1859="","",H1859/90)</f>
        <v/>
      </c>
      <c r="Q1859" s="5" t="str">
        <f aca="false">IF(A1859="","",IFERROR(INDEX(Parâmetros!$C$6:$C$10,MATCH(F1859,Parâmetros!$B$6:$B$10,0)),""))</f>
        <v/>
      </c>
      <c r="R1859" s="5" t="str">
        <f aca="false">IF(OR(A1859="",P1859="",Q1859=""),"",P1859*Q1859)</f>
        <v/>
      </c>
      <c r="S1859" s="5" t="str">
        <f aca="false">IF(R1859="","",MAX(0,R1859-G1859))</f>
        <v/>
      </c>
      <c r="T1859" s="21" t="str">
        <f aca="false">IF(S1859="","",S1859*K1859)</f>
        <v/>
      </c>
      <c r="U1859" s="5" t="str">
        <f aca="false">IF(A1859="","",IF(J1859&gt;Parâmetros!$C$14,"SIM","NAO"))</f>
        <v/>
      </c>
      <c r="V1859" s="5" t="str">
        <f aca="false">IF(B1859="","",TRIM(LEFT(B1859,IFERROR(FIND(" ",B1859)-1,LEN(B1859)))))</f>
        <v/>
      </c>
      <c r="W1859" s="22"/>
      <c r="X1859" s="5" t="str">
        <f aca="false">IF(A1859="","",IF(W1859&lt;&gt;"",W1859,V1859))</f>
        <v/>
      </c>
      <c r="Y1859" s="5" t="str">
        <f aca="false">IF(A1859="","",IF(COUNTIFS($X$2:$X$2001,X1859,$D$2:$D$2001,"&lt;&gt;"&amp;D1859,$C$2:$C$2001,C1859)&gt;0,"SIM","NAO"))</f>
        <v/>
      </c>
      <c r="Z1859" s="5" t="str">
        <f aca="false">IF(A1859="","",IF(J1859="","",IFERROR(360/J1859,"")))</f>
        <v/>
      </c>
      <c r="AA1859" s="5" t="str">
        <f aca="false">IF(A1859="","",IF(H1859=0,"Parado (sem venda 90d)",IF(Z1859&gt;12,"Alto (&gt;12x/ano)",IF(Z1859&gt;=4,"Medio (4-12x/ano)","Baixo (&lt;4x/ano)"))))</f>
        <v/>
      </c>
    </row>
    <row r="1860" customFormat="false" ht="15" hidden="false" customHeight="true" outlineLevel="0" collapsed="false">
      <c r="A1860" s="6"/>
      <c r="B1860" s="6"/>
      <c r="C1860" s="6"/>
      <c r="D1860" s="6"/>
      <c r="E1860" s="6"/>
      <c r="F1860" s="6"/>
      <c r="G1860" s="6"/>
      <c r="H1860" s="6"/>
      <c r="I1860" s="6"/>
      <c r="J1860" s="6"/>
      <c r="K1860" s="18"/>
      <c r="L1860" s="19" t="str">
        <f aca="false">IF(A1860="","",G1860*K1860)</f>
        <v/>
      </c>
      <c r="M1860" s="20"/>
      <c r="N1860" s="6"/>
      <c r="O1860" s="6"/>
      <c r="P1860" s="5" t="str">
        <f aca="false">IF(A1860="","",H1860/90)</f>
        <v/>
      </c>
      <c r="Q1860" s="5" t="str">
        <f aca="false">IF(A1860="","",IFERROR(INDEX(Parâmetros!$C$6:$C$10,MATCH(F1860,Parâmetros!$B$6:$B$10,0)),""))</f>
        <v/>
      </c>
      <c r="R1860" s="5" t="str">
        <f aca="false">IF(OR(A1860="",P1860="",Q1860=""),"",P1860*Q1860)</f>
        <v/>
      </c>
      <c r="S1860" s="5" t="str">
        <f aca="false">IF(R1860="","",MAX(0,R1860-G1860))</f>
        <v/>
      </c>
      <c r="T1860" s="21" t="str">
        <f aca="false">IF(S1860="","",S1860*K1860)</f>
        <v/>
      </c>
      <c r="U1860" s="5" t="str">
        <f aca="false">IF(A1860="","",IF(J1860&gt;Parâmetros!$C$14,"SIM","NAO"))</f>
        <v/>
      </c>
      <c r="V1860" s="5" t="str">
        <f aca="false">IF(B1860="","",TRIM(LEFT(B1860,IFERROR(FIND(" ",B1860)-1,LEN(B1860)))))</f>
        <v/>
      </c>
      <c r="W1860" s="22"/>
      <c r="X1860" s="5" t="str">
        <f aca="false">IF(A1860="","",IF(W1860&lt;&gt;"",W1860,V1860))</f>
        <v/>
      </c>
      <c r="Y1860" s="5" t="str">
        <f aca="false">IF(A1860="","",IF(COUNTIFS($X$2:$X$2001,X1860,$D$2:$D$2001,"&lt;&gt;"&amp;D1860,$C$2:$C$2001,C1860)&gt;0,"SIM","NAO"))</f>
        <v/>
      </c>
      <c r="Z1860" s="5" t="str">
        <f aca="false">IF(A1860="","",IF(J1860="","",IFERROR(360/J1860,"")))</f>
        <v/>
      </c>
      <c r="AA1860" s="5" t="str">
        <f aca="false">IF(A1860="","",IF(H1860=0,"Parado (sem venda 90d)",IF(Z1860&gt;12,"Alto (&gt;12x/ano)",IF(Z1860&gt;=4,"Medio (4-12x/ano)","Baixo (&lt;4x/ano)"))))</f>
        <v/>
      </c>
    </row>
    <row r="1861" customFormat="false" ht="15" hidden="false" customHeight="true" outlineLevel="0" collapsed="false">
      <c r="A1861" s="6"/>
      <c r="B1861" s="6"/>
      <c r="C1861" s="6"/>
      <c r="D1861" s="6"/>
      <c r="E1861" s="6"/>
      <c r="F1861" s="6"/>
      <c r="G1861" s="6"/>
      <c r="H1861" s="6"/>
      <c r="I1861" s="6"/>
      <c r="J1861" s="6"/>
      <c r="K1861" s="18"/>
      <c r="L1861" s="19" t="str">
        <f aca="false">IF(A1861="","",G1861*K1861)</f>
        <v/>
      </c>
      <c r="M1861" s="20"/>
      <c r="N1861" s="6"/>
      <c r="O1861" s="6"/>
      <c r="P1861" s="5" t="str">
        <f aca="false">IF(A1861="","",H1861/90)</f>
        <v/>
      </c>
      <c r="Q1861" s="5" t="str">
        <f aca="false">IF(A1861="","",IFERROR(INDEX(Parâmetros!$C$6:$C$10,MATCH(F1861,Parâmetros!$B$6:$B$10,0)),""))</f>
        <v/>
      </c>
      <c r="R1861" s="5" t="str">
        <f aca="false">IF(OR(A1861="",P1861="",Q1861=""),"",P1861*Q1861)</f>
        <v/>
      </c>
      <c r="S1861" s="5" t="str">
        <f aca="false">IF(R1861="","",MAX(0,R1861-G1861))</f>
        <v/>
      </c>
      <c r="T1861" s="21" t="str">
        <f aca="false">IF(S1861="","",S1861*K1861)</f>
        <v/>
      </c>
      <c r="U1861" s="5" t="str">
        <f aca="false">IF(A1861="","",IF(J1861&gt;Parâmetros!$C$14,"SIM","NAO"))</f>
        <v/>
      </c>
      <c r="V1861" s="5" t="str">
        <f aca="false">IF(B1861="","",TRIM(LEFT(B1861,IFERROR(FIND(" ",B1861)-1,LEN(B1861)))))</f>
        <v/>
      </c>
      <c r="W1861" s="22"/>
      <c r="X1861" s="5" t="str">
        <f aca="false">IF(A1861="","",IF(W1861&lt;&gt;"",W1861,V1861))</f>
        <v/>
      </c>
      <c r="Y1861" s="5" t="str">
        <f aca="false">IF(A1861="","",IF(COUNTIFS($X$2:$X$2001,X1861,$D$2:$D$2001,"&lt;&gt;"&amp;D1861,$C$2:$C$2001,C1861)&gt;0,"SIM","NAO"))</f>
        <v/>
      </c>
      <c r="Z1861" s="5" t="str">
        <f aca="false">IF(A1861="","",IF(J1861="","",IFERROR(360/J1861,"")))</f>
        <v/>
      </c>
      <c r="AA1861" s="5" t="str">
        <f aca="false">IF(A1861="","",IF(H1861=0,"Parado (sem venda 90d)",IF(Z1861&gt;12,"Alto (&gt;12x/ano)",IF(Z1861&gt;=4,"Medio (4-12x/ano)","Baixo (&lt;4x/ano)"))))</f>
        <v/>
      </c>
    </row>
    <row r="1862" customFormat="false" ht="15" hidden="false" customHeight="true" outlineLevel="0" collapsed="false">
      <c r="A1862" s="6"/>
      <c r="B1862" s="6"/>
      <c r="C1862" s="6"/>
      <c r="D1862" s="6"/>
      <c r="E1862" s="6"/>
      <c r="F1862" s="6"/>
      <c r="G1862" s="6"/>
      <c r="H1862" s="6"/>
      <c r="I1862" s="6"/>
      <c r="J1862" s="6"/>
      <c r="K1862" s="18"/>
      <c r="L1862" s="19" t="str">
        <f aca="false">IF(A1862="","",G1862*K1862)</f>
        <v/>
      </c>
      <c r="M1862" s="20"/>
      <c r="N1862" s="6"/>
      <c r="O1862" s="6"/>
      <c r="P1862" s="5" t="str">
        <f aca="false">IF(A1862="","",H1862/90)</f>
        <v/>
      </c>
      <c r="Q1862" s="5" t="str">
        <f aca="false">IF(A1862="","",IFERROR(INDEX(Parâmetros!$C$6:$C$10,MATCH(F1862,Parâmetros!$B$6:$B$10,0)),""))</f>
        <v/>
      </c>
      <c r="R1862" s="5" t="str">
        <f aca="false">IF(OR(A1862="",P1862="",Q1862=""),"",P1862*Q1862)</f>
        <v/>
      </c>
      <c r="S1862" s="5" t="str">
        <f aca="false">IF(R1862="","",MAX(0,R1862-G1862))</f>
        <v/>
      </c>
      <c r="T1862" s="21" t="str">
        <f aca="false">IF(S1862="","",S1862*K1862)</f>
        <v/>
      </c>
      <c r="U1862" s="5" t="str">
        <f aca="false">IF(A1862="","",IF(J1862&gt;Parâmetros!$C$14,"SIM","NAO"))</f>
        <v/>
      </c>
      <c r="V1862" s="5" t="str">
        <f aca="false">IF(B1862="","",TRIM(LEFT(B1862,IFERROR(FIND(" ",B1862)-1,LEN(B1862)))))</f>
        <v/>
      </c>
      <c r="W1862" s="22"/>
      <c r="X1862" s="5" t="str">
        <f aca="false">IF(A1862="","",IF(W1862&lt;&gt;"",W1862,V1862))</f>
        <v/>
      </c>
      <c r="Y1862" s="5" t="str">
        <f aca="false">IF(A1862="","",IF(COUNTIFS($X$2:$X$2001,X1862,$D$2:$D$2001,"&lt;&gt;"&amp;D1862,$C$2:$C$2001,C1862)&gt;0,"SIM","NAO"))</f>
        <v/>
      </c>
      <c r="Z1862" s="5" t="str">
        <f aca="false">IF(A1862="","",IF(J1862="","",IFERROR(360/J1862,"")))</f>
        <v/>
      </c>
      <c r="AA1862" s="5" t="str">
        <f aca="false">IF(A1862="","",IF(H1862=0,"Parado (sem venda 90d)",IF(Z1862&gt;12,"Alto (&gt;12x/ano)",IF(Z1862&gt;=4,"Medio (4-12x/ano)","Baixo (&lt;4x/ano)"))))</f>
        <v/>
      </c>
    </row>
    <row r="1863" customFormat="false" ht="15" hidden="false" customHeight="true" outlineLevel="0" collapsed="false">
      <c r="A1863" s="6"/>
      <c r="B1863" s="6"/>
      <c r="C1863" s="6"/>
      <c r="D1863" s="6"/>
      <c r="E1863" s="6"/>
      <c r="F1863" s="6"/>
      <c r="G1863" s="6"/>
      <c r="H1863" s="6"/>
      <c r="I1863" s="6"/>
      <c r="J1863" s="6"/>
      <c r="K1863" s="18"/>
      <c r="L1863" s="19" t="str">
        <f aca="false">IF(A1863="","",G1863*K1863)</f>
        <v/>
      </c>
      <c r="M1863" s="20"/>
      <c r="N1863" s="6"/>
      <c r="O1863" s="6"/>
      <c r="P1863" s="5" t="str">
        <f aca="false">IF(A1863="","",H1863/90)</f>
        <v/>
      </c>
      <c r="Q1863" s="5" t="str">
        <f aca="false">IF(A1863="","",IFERROR(INDEX(Parâmetros!$C$6:$C$10,MATCH(F1863,Parâmetros!$B$6:$B$10,0)),""))</f>
        <v/>
      </c>
      <c r="R1863" s="5" t="str">
        <f aca="false">IF(OR(A1863="",P1863="",Q1863=""),"",P1863*Q1863)</f>
        <v/>
      </c>
      <c r="S1863" s="5" t="str">
        <f aca="false">IF(R1863="","",MAX(0,R1863-G1863))</f>
        <v/>
      </c>
      <c r="T1863" s="21" t="str">
        <f aca="false">IF(S1863="","",S1863*K1863)</f>
        <v/>
      </c>
      <c r="U1863" s="5" t="str">
        <f aca="false">IF(A1863="","",IF(J1863&gt;Parâmetros!$C$14,"SIM","NAO"))</f>
        <v/>
      </c>
      <c r="V1863" s="5" t="str">
        <f aca="false">IF(B1863="","",TRIM(LEFT(B1863,IFERROR(FIND(" ",B1863)-1,LEN(B1863)))))</f>
        <v/>
      </c>
      <c r="W1863" s="22"/>
      <c r="X1863" s="5" t="str">
        <f aca="false">IF(A1863="","",IF(W1863&lt;&gt;"",W1863,V1863))</f>
        <v/>
      </c>
      <c r="Y1863" s="5" t="str">
        <f aca="false">IF(A1863="","",IF(COUNTIFS($X$2:$X$2001,X1863,$D$2:$D$2001,"&lt;&gt;"&amp;D1863,$C$2:$C$2001,C1863)&gt;0,"SIM","NAO"))</f>
        <v/>
      </c>
      <c r="Z1863" s="5" t="str">
        <f aca="false">IF(A1863="","",IF(J1863="","",IFERROR(360/J1863,"")))</f>
        <v/>
      </c>
      <c r="AA1863" s="5" t="str">
        <f aca="false">IF(A1863="","",IF(H1863=0,"Parado (sem venda 90d)",IF(Z1863&gt;12,"Alto (&gt;12x/ano)",IF(Z1863&gt;=4,"Medio (4-12x/ano)","Baixo (&lt;4x/ano)"))))</f>
        <v/>
      </c>
    </row>
    <row r="1864" customFormat="false" ht="15" hidden="false" customHeight="true" outlineLevel="0" collapsed="false">
      <c r="A1864" s="6"/>
      <c r="B1864" s="6"/>
      <c r="C1864" s="6"/>
      <c r="D1864" s="6"/>
      <c r="E1864" s="6"/>
      <c r="F1864" s="6"/>
      <c r="G1864" s="6"/>
      <c r="H1864" s="6"/>
      <c r="I1864" s="6"/>
      <c r="J1864" s="6"/>
      <c r="K1864" s="18"/>
      <c r="L1864" s="19" t="str">
        <f aca="false">IF(A1864="","",G1864*K1864)</f>
        <v/>
      </c>
      <c r="M1864" s="20"/>
      <c r="N1864" s="6"/>
      <c r="O1864" s="6"/>
      <c r="P1864" s="5" t="str">
        <f aca="false">IF(A1864="","",H1864/90)</f>
        <v/>
      </c>
      <c r="Q1864" s="5" t="str">
        <f aca="false">IF(A1864="","",IFERROR(INDEX(Parâmetros!$C$6:$C$10,MATCH(F1864,Parâmetros!$B$6:$B$10,0)),""))</f>
        <v/>
      </c>
      <c r="R1864" s="5" t="str">
        <f aca="false">IF(OR(A1864="",P1864="",Q1864=""),"",P1864*Q1864)</f>
        <v/>
      </c>
      <c r="S1864" s="5" t="str">
        <f aca="false">IF(R1864="","",MAX(0,R1864-G1864))</f>
        <v/>
      </c>
      <c r="T1864" s="21" t="str">
        <f aca="false">IF(S1864="","",S1864*K1864)</f>
        <v/>
      </c>
      <c r="U1864" s="5" t="str">
        <f aca="false">IF(A1864="","",IF(J1864&gt;Parâmetros!$C$14,"SIM","NAO"))</f>
        <v/>
      </c>
      <c r="V1864" s="5" t="str">
        <f aca="false">IF(B1864="","",TRIM(LEFT(B1864,IFERROR(FIND(" ",B1864)-1,LEN(B1864)))))</f>
        <v/>
      </c>
      <c r="W1864" s="22"/>
      <c r="X1864" s="5" t="str">
        <f aca="false">IF(A1864="","",IF(W1864&lt;&gt;"",W1864,V1864))</f>
        <v/>
      </c>
      <c r="Y1864" s="5" t="str">
        <f aca="false">IF(A1864="","",IF(COUNTIFS($X$2:$X$2001,X1864,$D$2:$D$2001,"&lt;&gt;"&amp;D1864,$C$2:$C$2001,C1864)&gt;0,"SIM","NAO"))</f>
        <v/>
      </c>
      <c r="Z1864" s="5" t="str">
        <f aca="false">IF(A1864="","",IF(J1864="","",IFERROR(360/J1864,"")))</f>
        <v/>
      </c>
      <c r="AA1864" s="5" t="str">
        <f aca="false">IF(A1864="","",IF(H1864=0,"Parado (sem venda 90d)",IF(Z1864&gt;12,"Alto (&gt;12x/ano)",IF(Z1864&gt;=4,"Medio (4-12x/ano)","Baixo (&lt;4x/ano)"))))</f>
        <v/>
      </c>
    </row>
    <row r="1865" customFormat="false" ht="15" hidden="false" customHeight="true" outlineLevel="0" collapsed="false">
      <c r="A1865" s="6"/>
      <c r="B1865" s="6"/>
      <c r="C1865" s="6"/>
      <c r="D1865" s="6"/>
      <c r="E1865" s="6"/>
      <c r="F1865" s="6"/>
      <c r="G1865" s="6"/>
      <c r="H1865" s="6"/>
      <c r="I1865" s="6"/>
      <c r="J1865" s="6"/>
      <c r="K1865" s="18"/>
      <c r="L1865" s="19" t="str">
        <f aca="false">IF(A1865="","",G1865*K1865)</f>
        <v/>
      </c>
      <c r="M1865" s="20"/>
      <c r="N1865" s="6"/>
      <c r="O1865" s="6"/>
      <c r="P1865" s="5" t="str">
        <f aca="false">IF(A1865="","",H1865/90)</f>
        <v/>
      </c>
      <c r="Q1865" s="5" t="str">
        <f aca="false">IF(A1865="","",IFERROR(INDEX(Parâmetros!$C$6:$C$10,MATCH(F1865,Parâmetros!$B$6:$B$10,0)),""))</f>
        <v/>
      </c>
      <c r="R1865" s="5" t="str">
        <f aca="false">IF(OR(A1865="",P1865="",Q1865=""),"",P1865*Q1865)</f>
        <v/>
      </c>
      <c r="S1865" s="5" t="str">
        <f aca="false">IF(R1865="","",MAX(0,R1865-G1865))</f>
        <v/>
      </c>
      <c r="T1865" s="21" t="str">
        <f aca="false">IF(S1865="","",S1865*K1865)</f>
        <v/>
      </c>
      <c r="U1865" s="5" t="str">
        <f aca="false">IF(A1865="","",IF(J1865&gt;Parâmetros!$C$14,"SIM","NAO"))</f>
        <v/>
      </c>
      <c r="V1865" s="5" t="str">
        <f aca="false">IF(B1865="","",TRIM(LEFT(B1865,IFERROR(FIND(" ",B1865)-1,LEN(B1865)))))</f>
        <v/>
      </c>
      <c r="W1865" s="22"/>
      <c r="X1865" s="5" t="str">
        <f aca="false">IF(A1865="","",IF(W1865&lt;&gt;"",W1865,V1865))</f>
        <v/>
      </c>
      <c r="Y1865" s="5" t="str">
        <f aca="false">IF(A1865="","",IF(COUNTIFS($X$2:$X$2001,X1865,$D$2:$D$2001,"&lt;&gt;"&amp;D1865,$C$2:$C$2001,C1865)&gt;0,"SIM","NAO"))</f>
        <v/>
      </c>
      <c r="Z1865" s="5" t="str">
        <f aca="false">IF(A1865="","",IF(J1865="","",IFERROR(360/J1865,"")))</f>
        <v/>
      </c>
      <c r="AA1865" s="5" t="str">
        <f aca="false">IF(A1865="","",IF(H1865=0,"Parado (sem venda 90d)",IF(Z1865&gt;12,"Alto (&gt;12x/ano)",IF(Z1865&gt;=4,"Medio (4-12x/ano)","Baixo (&lt;4x/ano)"))))</f>
        <v/>
      </c>
    </row>
    <row r="1866" customFormat="false" ht="15" hidden="false" customHeight="true" outlineLevel="0" collapsed="false">
      <c r="A1866" s="6"/>
      <c r="B1866" s="6"/>
      <c r="C1866" s="6"/>
      <c r="D1866" s="6"/>
      <c r="E1866" s="6"/>
      <c r="F1866" s="6"/>
      <c r="G1866" s="6"/>
      <c r="H1866" s="6"/>
      <c r="I1866" s="6"/>
      <c r="J1866" s="6"/>
      <c r="K1866" s="18"/>
      <c r="L1866" s="19" t="str">
        <f aca="false">IF(A1866="","",G1866*K1866)</f>
        <v/>
      </c>
      <c r="M1866" s="20"/>
      <c r="N1866" s="6"/>
      <c r="O1866" s="6"/>
      <c r="P1866" s="5" t="str">
        <f aca="false">IF(A1866="","",H1866/90)</f>
        <v/>
      </c>
      <c r="Q1866" s="5" t="str">
        <f aca="false">IF(A1866="","",IFERROR(INDEX(Parâmetros!$C$6:$C$10,MATCH(F1866,Parâmetros!$B$6:$B$10,0)),""))</f>
        <v/>
      </c>
      <c r="R1866" s="5" t="str">
        <f aca="false">IF(OR(A1866="",P1866="",Q1866=""),"",P1866*Q1866)</f>
        <v/>
      </c>
      <c r="S1866" s="5" t="str">
        <f aca="false">IF(R1866="","",MAX(0,R1866-G1866))</f>
        <v/>
      </c>
      <c r="T1866" s="21" t="str">
        <f aca="false">IF(S1866="","",S1866*K1866)</f>
        <v/>
      </c>
      <c r="U1866" s="5" t="str">
        <f aca="false">IF(A1866="","",IF(J1866&gt;Parâmetros!$C$14,"SIM","NAO"))</f>
        <v/>
      </c>
      <c r="V1866" s="5" t="str">
        <f aca="false">IF(B1866="","",TRIM(LEFT(B1866,IFERROR(FIND(" ",B1866)-1,LEN(B1866)))))</f>
        <v/>
      </c>
      <c r="W1866" s="22"/>
      <c r="X1866" s="5" t="str">
        <f aca="false">IF(A1866="","",IF(W1866&lt;&gt;"",W1866,V1866))</f>
        <v/>
      </c>
      <c r="Y1866" s="5" t="str">
        <f aca="false">IF(A1866="","",IF(COUNTIFS($X$2:$X$2001,X1866,$D$2:$D$2001,"&lt;&gt;"&amp;D1866,$C$2:$C$2001,C1866)&gt;0,"SIM","NAO"))</f>
        <v/>
      </c>
      <c r="Z1866" s="5" t="str">
        <f aca="false">IF(A1866="","",IF(J1866="","",IFERROR(360/J1866,"")))</f>
        <v/>
      </c>
      <c r="AA1866" s="5" t="str">
        <f aca="false">IF(A1866="","",IF(H1866=0,"Parado (sem venda 90d)",IF(Z1866&gt;12,"Alto (&gt;12x/ano)",IF(Z1866&gt;=4,"Medio (4-12x/ano)","Baixo (&lt;4x/ano)"))))</f>
        <v/>
      </c>
    </row>
    <row r="1867" customFormat="false" ht="15" hidden="false" customHeight="true" outlineLevel="0" collapsed="false">
      <c r="A1867" s="6"/>
      <c r="B1867" s="6"/>
      <c r="C1867" s="6"/>
      <c r="D1867" s="6"/>
      <c r="E1867" s="6"/>
      <c r="F1867" s="6"/>
      <c r="G1867" s="6"/>
      <c r="H1867" s="6"/>
      <c r="I1867" s="6"/>
      <c r="J1867" s="6"/>
      <c r="K1867" s="18"/>
      <c r="L1867" s="19" t="str">
        <f aca="false">IF(A1867="","",G1867*K1867)</f>
        <v/>
      </c>
      <c r="M1867" s="20"/>
      <c r="N1867" s="6"/>
      <c r="O1867" s="6"/>
      <c r="P1867" s="5" t="str">
        <f aca="false">IF(A1867="","",H1867/90)</f>
        <v/>
      </c>
      <c r="Q1867" s="5" t="str">
        <f aca="false">IF(A1867="","",IFERROR(INDEX(Parâmetros!$C$6:$C$10,MATCH(F1867,Parâmetros!$B$6:$B$10,0)),""))</f>
        <v/>
      </c>
      <c r="R1867" s="5" t="str">
        <f aca="false">IF(OR(A1867="",P1867="",Q1867=""),"",P1867*Q1867)</f>
        <v/>
      </c>
      <c r="S1867" s="5" t="str">
        <f aca="false">IF(R1867="","",MAX(0,R1867-G1867))</f>
        <v/>
      </c>
      <c r="T1867" s="21" t="str">
        <f aca="false">IF(S1867="","",S1867*K1867)</f>
        <v/>
      </c>
      <c r="U1867" s="5" t="str">
        <f aca="false">IF(A1867="","",IF(J1867&gt;Parâmetros!$C$14,"SIM","NAO"))</f>
        <v/>
      </c>
      <c r="V1867" s="5" t="str">
        <f aca="false">IF(B1867="","",TRIM(LEFT(B1867,IFERROR(FIND(" ",B1867)-1,LEN(B1867)))))</f>
        <v/>
      </c>
      <c r="W1867" s="22"/>
      <c r="X1867" s="5" t="str">
        <f aca="false">IF(A1867="","",IF(W1867&lt;&gt;"",W1867,V1867))</f>
        <v/>
      </c>
      <c r="Y1867" s="5" t="str">
        <f aca="false">IF(A1867="","",IF(COUNTIFS($X$2:$X$2001,X1867,$D$2:$D$2001,"&lt;&gt;"&amp;D1867,$C$2:$C$2001,C1867)&gt;0,"SIM","NAO"))</f>
        <v/>
      </c>
      <c r="Z1867" s="5" t="str">
        <f aca="false">IF(A1867="","",IF(J1867="","",IFERROR(360/J1867,"")))</f>
        <v/>
      </c>
      <c r="AA1867" s="5" t="str">
        <f aca="false">IF(A1867="","",IF(H1867=0,"Parado (sem venda 90d)",IF(Z1867&gt;12,"Alto (&gt;12x/ano)",IF(Z1867&gt;=4,"Medio (4-12x/ano)","Baixo (&lt;4x/ano)"))))</f>
        <v/>
      </c>
    </row>
    <row r="1868" customFormat="false" ht="15" hidden="false" customHeight="true" outlineLevel="0" collapsed="false">
      <c r="A1868" s="6"/>
      <c r="B1868" s="6"/>
      <c r="C1868" s="6"/>
      <c r="D1868" s="6"/>
      <c r="E1868" s="6"/>
      <c r="F1868" s="6"/>
      <c r="G1868" s="6"/>
      <c r="H1868" s="6"/>
      <c r="I1868" s="6"/>
      <c r="J1868" s="6"/>
      <c r="K1868" s="18"/>
      <c r="L1868" s="19" t="str">
        <f aca="false">IF(A1868="","",G1868*K1868)</f>
        <v/>
      </c>
      <c r="M1868" s="20"/>
      <c r="N1868" s="6"/>
      <c r="O1868" s="6"/>
      <c r="P1868" s="5" t="str">
        <f aca="false">IF(A1868="","",H1868/90)</f>
        <v/>
      </c>
      <c r="Q1868" s="5" t="str">
        <f aca="false">IF(A1868="","",IFERROR(INDEX(Parâmetros!$C$6:$C$10,MATCH(F1868,Parâmetros!$B$6:$B$10,0)),""))</f>
        <v/>
      </c>
      <c r="R1868" s="5" t="str">
        <f aca="false">IF(OR(A1868="",P1868="",Q1868=""),"",P1868*Q1868)</f>
        <v/>
      </c>
      <c r="S1868" s="5" t="str">
        <f aca="false">IF(R1868="","",MAX(0,R1868-G1868))</f>
        <v/>
      </c>
      <c r="T1868" s="21" t="str">
        <f aca="false">IF(S1868="","",S1868*K1868)</f>
        <v/>
      </c>
      <c r="U1868" s="5" t="str">
        <f aca="false">IF(A1868="","",IF(J1868&gt;Parâmetros!$C$14,"SIM","NAO"))</f>
        <v/>
      </c>
      <c r="V1868" s="5" t="str">
        <f aca="false">IF(B1868="","",TRIM(LEFT(B1868,IFERROR(FIND(" ",B1868)-1,LEN(B1868)))))</f>
        <v/>
      </c>
      <c r="W1868" s="22"/>
      <c r="X1868" s="5" t="str">
        <f aca="false">IF(A1868="","",IF(W1868&lt;&gt;"",W1868,V1868))</f>
        <v/>
      </c>
      <c r="Y1868" s="5" t="str">
        <f aca="false">IF(A1868="","",IF(COUNTIFS($X$2:$X$2001,X1868,$D$2:$D$2001,"&lt;&gt;"&amp;D1868,$C$2:$C$2001,C1868)&gt;0,"SIM","NAO"))</f>
        <v/>
      </c>
      <c r="Z1868" s="5" t="str">
        <f aca="false">IF(A1868="","",IF(J1868="","",IFERROR(360/J1868,"")))</f>
        <v/>
      </c>
      <c r="AA1868" s="5" t="str">
        <f aca="false">IF(A1868="","",IF(H1868=0,"Parado (sem venda 90d)",IF(Z1868&gt;12,"Alto (&gt;12x/ano)",IF(Z1868&gt;=4,"Medio (4-12x/ano)","Baixo (&lt;4x/ano)"))))</f>
        <v/>
      </c>
    </row>
    <row r="1869" customFormat="false" ht="15" hidden="false" customHeight="true" outlineLevel="0" collapsed="false">
      <c r="A1869" s="6"/>
      <c r="B1869" s="6"/>
      <c r="C1869" s="6"/>
      <c r="D1869" s="6"/>
      <c r="E1869" s="6"/>
      <c r="F1869" s="6"/>
      <c r="G1869" s="6"/>
      <c r="H1869" s="6"/>
      <c r="I1869" s="6"/>
      <c r="J1869" s="6"/>
      <c r="K1869" s="18"/>
      <c r="L1869" s="19" t="str">
        <f aca="false">IF(A1869="","",G1869*K1869)</f>
        <v/>
      </c>
      <c r="M1869" s="20"/>
      <c r="N1869" s="6"/>
      <c r="O1869" s="6"/>
      <c r="P1869" s="5" t="str">
        <f aca="false">IF(A1869="","",H1869/90)</f>
        <v/>
      </c>
      <c r="Q1869" s="5" t="str">
        <f aca="false">IF(A1869="","",IFERROR(INDEX(Parâmetros!$C$6:$C$10,MATCH(F1869,Parâmetros!$B$6:$B$10,0)),""))</f>
        <v/>
      </c>
      <c r="R1869" s="5" t="str">
        <f aca="false">IF(OR(A1869="",P1869="",Q1869=""),"",P1869*Q1869)</f>
        <v/>
      </c>
      <c r="S1869" s="5" t="str">
        <f aca="false">IF(R1869="","",MAX(0,R1869-G1869))</f>
        <v/>
      </c>
      <c r="T1869" s="21" t="str">
        <f aca="false">IF(S1869="","",S1869*K1869)</f>
        <v/>
      </c>
      <c r="U1869" s="5" t="str">
        <f aca="false">IF(A1869="","",IF(J1869&gt;Parâmetros!$C$14,"SIM","NAO"))</f>
        <v/>
      </c>
      <c r="V1869" s="5" t="str">
        <f aca="false">IF(B1869="","",TRIM(LEFT(B1869,IFERROR(FIND(" ",B1869)-1,LEN(B1869)))))</f>
        <v/>
      </c>
      <c r="W1869" s="22"/>
      <c r="X1869" s="5" t="str">
        <f aca="false">IF(A1869="","",IF(W1869&lt;&gt;"",W1869,V1869))</f>
        <v/>
      </c>
      <c r="Y1869" s="5" t="str">
        <f aca="false">IF(A1869="","",IF(COUNTIFS($X$2:$X$2001,X1869,$D$2:$D$2001,"&lt;&gt;"&amp;D1869,$C$2:$C$2001,C1869)&gt;0,"SIM","NAO"))</f>
        <v/>
      </c>
      <c r="Z1869" s="5" t="str">
        <f aca="false">IF(A1869="","",IF(J1869="","",IFERROR(360/J1869,"")))</f>
        <v/>
      </c>
      <c r="AA1869" s="5" t="str">
        <f aca="false">IF(A1869="","",IF(H1869=0,"Parado (sem venda 90d)",IF(Z1869&gt;12,"Alto (&gt;12x/ano)",IF(Z1869&gt;=4,"Medio (4-12x/ano)","Baixo (&lt;4x/ano)"))))</f>
        <v/>
      </c>
    </row>
    <row r="1870" customFormat="false" ht="15" hidden="false" customHeight="true" outlineLevel="0" collapsed="false">
      <c r="A1870" s="6"/>
      <c r="B1870" s="6"/>
      <c r="C1870" s="6"/>
      <c r="D1870" s="6"/>
      <c r="E1870" s="6"/>
      <c r="F1870" s="6"/>
      <c r="G1870" s="6"/>
      <c r="H1870" s="6"/>
      <c r="I1870" s="6"/>
      <c r="J1870" s="6"/>
      <c r="K1870" s="18"/>
      <c r="L1870" s="19" t="str">
        <f aca="false">IF(A1870="","",G1870*K1870)</f>
        <v/>
      </c>
      <c r="M1870" s="20"/>
      <c r="N1870" s="6"/>
      <c r="O1870" s="6"/>
      <c r="P1870" s="5" t="str">
        <f aca="false">IF(A1870="","",H1870/90)</f>
        <v/>
      </c>
      <c r="Q1870" s="5" t="str">
        <f aca="false">IF(A1870="","",IFERROR(INDEX(Parâmetros!$C$6:$C$10,MATCH(F1870,Parâmetros!$B$6:$B$10,0)),""))</f>
        <v/>
      </c>
      <c r="R1870" s="5" t="str">
        <f aca="false">IF(OR(A1870="",P1870="",Q1870=""),"",P1870*Q1870)</f>
        <v/>
      </c>
      <c r="S1870" s="5" t="str">
        <f aca="false">IF(R1870="","",MAX(0,R1870-G1870))</f>
        <v/>
      </c>
      <c r="T1870" s="21" t="str">
        <f aca="false">IF(S1870="","",S1870*K1870)</f>
        <v/>
      </c>
      <c r="U1870" s="5" t="str">
        <f aca="false">IF(A1870="","",IF(J1870&gt;Parâmetros!$C$14,"SIM","NAO"))</f>
        <v/>
      </c>
      <c r="V1870" s="5" t="str">
        <f aca="false">IF(B1870="","",TRIM(LEFT(B1870,IFERROR(FIND(" ",B1870)-1,LEN(B1870)))))</f>
        <v/>
      </c>
      <c r="W1870" s="22"/>
      <c r="X1870" s="5" t="str">
        <f aca="false">IF(A1870="","",IF(W1870&lt;&gt;"",W1870,V1870))</f>
        <v/>
      </c>
      <c r="Y1870" s="5" t="str">
        <f aca="false">IF(A1870="","",IF(COUNTIFS($X$2:$X$2001,X1870,$D$2:$D$2001,"&lt;&gt;"&amp;D1870,$C$2:$C$2001,C1870)&gt;0,"SIM","NAO"))</f>
        <v/>
      </c>
      <c r="Z1870" s="5" t="str">
        <f aca="false">IF(A1870="","",IF(J1870="","",IFERROR(360/J1870,"")))</f>
        <v/>
      </c>
      <c r="AA1870" s="5" t="str">
        <f aca="false">IF(A1870="","",IF(H1870=0,"Parado (sem venda 90d)",IF(Z1870&gt;12,"Alto (&gt;12x/ano)",IF(Z1870&gt;=4,"Medio (4-12x/ano)","Baixo (&lt;4x/ano)"))))</f>
        <v/>
      </c>
    </row>
    <row r="1871" customFormat="false" ht="15" hidden="false" customHeight="true" outlineLevel="0" collapsed="false">
      <c r="A1871" s="6"/>
      <c r="B1871" s="6"/>
      <c r="C1871" s="6"/>
      <c r="D1871" s="6"/>
      <c r="E1871" s="6"/>
      <c r="F1871" s="6"/>
      <c r="G1871" s="6"/>
      <c r="H1871" s="6"/>
      <c r="I1871" s="6"/>
      <c r="J1871" s="6"/>
      <c r="K1871" s="18"/>
      <c r="L1871" s="19" t="str">
        <f aca="false">IF(A1871="","",G1871*K1871)</f>
        <v/>
      </c>
      <c r="M1871" s="20"/>
      <c r="N1871" s="6"/>
      <c r="O1871" s="6"/>
      <c r="P1871" s="5" t="str">
        <f aca="false">IF(A1871="","",H1871/90)</f>
        <v/>
      </c>
      <c r="Q1871" s="5" t="str">
        <f aca="false">IF(A1871="","",IFERROR(INDEX(Parâmetros!$C$6:$C$10,MATCH(F1871,Parâmetros!$B$6:$B$10,0)),""))</f>
        <v/>
      </c>
      <c r="R1871" s="5" t="str">
        <f aca="false">IF(OR(A1871="",P1871="",Q1871=""),"",P1871*Q1871)</f>
        <v/>
      </c>
      <c r="S1871" s="5" t="str">
        <f aca="false">IF(R1871="","",MAX(0,R1871-G1871))</f>
        <v/>
      </c>
      <c r="T1871" s="21" t="str">
        <f aca="false">IF(S1871="","",S1871*K1871)</f>
        <v/>
      </c>
      <c r="U1871" s="5" t="str">
        <f aca="false">IF(A1871="","",IF(J1871&gt;Parâmetros!$C$14,"SIM","NAO"))</f>
        <v/>
      </c>
      <c r="V1871" s="5" t="str">
        <f aca="false">IF(B1871="","",TRIM(LEFT(B1871,IFERROR(FIND(" ",B1871)-1,LEN(B1871)))))</f>
        <v/>
      </c>
      <c r="W1871" s="22"/>
      <c r="X1871" s="5" t="str">
        <f aca="false">IF(A1871="","",IF(W1871&lt;&gt;"",W1871,V1871))</f>
        <v/>
      </c>
      <c r="Y1871" s="5" t="str">
        <f aca="false">IF(A1871="","",IF(COUNTIFS($X$2:$X$2001,X1871,$D$2:$D$2001,"&lt;&gt;"&amp;D1871,$C$2:$C$2001,C1871)&gt;0,"SIM","NAO"))</f>
        <v/>
      </c>
      <c r="Z1871" s="5" t="str">
        <f aca="false">IF(A1871="","",IF(J1871="","",IFERROR(360/J1871,"")))</f>
        <v/>
      </c>
      <c r="AA1871" s="5" t="str">
        <f aca="false">IF(A1871="","",IF(H1871=0,"Parado (sem venda 90d)",IF(Z1871&gt;12,"Alto (&gt;12x/ano)",IF(Z1871&gt;=4,"Medio (4-12x/ano)","Baixo (&lt;4x/ano)"))))</f>
        <v/>
      </c>
    </row>
    <row r="1872" customFormat="false" ht="15" hidden="false" customHeight="true" outlineLevel="0" collapsed="false">
      <c r="A1872" s="6"/>
      <c r="B1872" s="6"/>
      <c r="C1872" s="6"/>
      <c r="D1872" s="6"/>
      <c r="E1872" s="6"/>
      <c r="F1872" s="6"/>
      <c r="G1872" s="6"/>
      <c r="H1872" s="6"/>
      <c r="I1872" s="6"/>
      <c r="J1872" s="6"/>
      <c r="K1872" s="18"/>
      <c r="L1872" s="19" t="str">
        <f aca="false">IF(A1872="","",G1872*K1872)</f>
        <v/>
      </c>
      <c r="M1872" s="20"/>
      <c r="N1872" s="6"/>
      <c r="O1872" s="6"/>
      <c r="P1872" s="5" t="str">
        <f aca="false">IF(A1872="","",H1872/90)</f>
        <v/>
      </c>
      <c r="Q1872" s="5" t="str">
        <f aca="false">IF(A1872="","",IFERROR(INDEX(Parâmetros!$C$6:$C$10,MATCH(F1872,Parâmetros!$B$6:$B$10,0)),""))</f>
        <v/>
      </c>
      <c r="R1872" s="5" t="str">
        <f aca="false">IF(OR(A1872="",P1872="",Q1872=""),"",P1872*Q1872)</f>
        <v/>
      </c>
      <c r="S1872" s="5" t="str">
        <f aca="false">IF(R1872="","",MAX(0,R1872-G1872))</f>
        <v/>
      </c>
      <c r="T1872" s="21" t="str">
        <f aca="false">IF(S1872="","",S1872*K1872)</f>
        <v/>
      </c>
      <c r="U1872" s="5" t="str">
        <f aca="false">IF(A1872="","",IF(J1872&gt;Parâmetros!$C$14,"SIM","NAO"))</f>
        <v/>
      </c>
      <c r="V1872" s="5" t="str">
        <f aca="false">IF(B1872="","",TRIM(LEFT(B1872,IFERROR(FIND(" ",B1872)-1,LEN(B1872)))))</f>
        <v/>
      </c>
      <c r="W1872" s="22"/>
      <c r="X1872" s="5" t="str">
        <f aca="false">IF(A1872="","",IF(W1872&lt;&gt;"",W1872,V1872))</f>
        <v/>
      </c>
      <c r="Y1872" s="5" t="str">
        <f aca="false">IF(A1872="","",IF(COUNTIFS($X$2:$X$2001,X1872,$D$2:$D$2001,"&lt;&gt;"&amp;D1872,$C$2:$C$2001,C1872)&gt;0,"SIM","NAO"))</f>
        <v/>
      </c>
      <c r="Z1872" s="5" t="str">
        <f aca="false">IF(A1872="","",IF(J1872="","",IFERROR(360/J1872,"")))</f>
        <v/>
      </c>
      <c r="AA1872" s="5" t="str">
        <f aca="false">IF(A1872="","",IF(H1872=0,"Parado (sem venda 90d)",IF(Z1872&gt;12,"Alto (&gt;12x/ano)",IF(Z1872&gt;=4,"Medio (4-12x/ano)","Baixo (&lt;4x/ano)"))))</f>
        <v/>
      </c>
    </row>
    <row r="1873" customFormat="false" ht="15" hidden="false" customHeight="true" outlineLevel="0" collapsed="false">
      <c r="A1873" s="6"/>
      <c r="B1873" s="6"/>
      <c r="C1873" s="6"/>
      <c r="D1873" s="6"/>
      <c r="E1873" s="6"/>
      <c r="F1873" s="6"/>
      <c r="G1873" s="6"/>
      <c r="H1873" s="6"/>
      <c r="I1873" s="6"/>
      <c r="J1873" s="6"/>
      <c r="K1873" s="18"/>
      <c r="L1873" s="19" t="str">
        <f aca="false">IF(A1873="","",G1873*K1873)</f>
        <v/>
      </c>
      <c r="M1873" s="20"/>
      <c r="N1873" s="6"/>
      <c r="O1873" s="6"/>
      <c r="P1873" s="5" t="str">
        <f aca="false">IF(A1873="","",H1873/90)</f>
        <v/>
      </c>
      <c r="Q1873" s="5" t="str">
        <f aca="false">IF(A1873="","",IFERROR(INDEX(Parâmetros!$C$6:$C$10,MATCH(F1873,Parâmetros!$B$6:$B$10,0)),""))</f>
        <v/>
      </c>
      <c r="R1873" s="5" t="str">
        <f aca="false">IF(OR(A1873="",P1873="",Q1873=""),"",P1873*Q1873)</f>
        <v/>
      </c>
      <c r="S1873" s="5" t="str">
        <f aca="false">IF(R1873="","",MAX(0,R1873-G1873))</f>
        <v/>
      </c>
      <c r="T1873" s="21" t="str">
        <f aca="false">IF(S1873="","",S1873*K1873)</f>
        <v/>
      </c>
      <c r="U1873" s="5" t="str">
        <f aca="false">IF(A1873="","",IF(J1873&gt;Parâmetros!$C$14,"SIM","NAO"))</f>
        <v/>
      </c>
      <c r="V1873" s="5" t="str">
        <f aca="false">IF(B1873="","",TRIM(LEFT(B1873,IFERROR(FIND(" ",B1873)-1,LEN(B1873)))))</f>
        <v/>
      </c>
      <c r="W1873" s="22"/>
      <c r="X1873" s="5" t="str">
        <f aca="false">IF(A1873="","",IF(W1873&lt;&gt;"",W1873,V1873))</f>
        <v/>
      </c>
      <c r="Y1873" s="5" t="str">
        <f aca="false">IF(A1873="","",IF(COUNTIFS($X$2:$X$2001,X1873,$D$2:$D$2001,"&lt;&gt;"&amp;D1873,$C$2:$C$2001,C1873)&gt;0,"SIM","NAO"))</f>
        <v/>
      </c>
      <c r="Z1873" s="5" t="str">
        <f aca="false">IF(A1873="","",IF(J1873="","",IFERROR(360/J1873,"")))</f>
        <v/>
      </c>
      <c r="AA1873" s="5" t="str">
        <f aca="false">IF(A1873="","",IF(H1873=0,"Parado (sem venda 90d)",IF(Z1873&gt;12,"Alto (&gt;12x/ano)",IF(Z1873&gt;=4,"Medio (4-12x/ano)","Baixo (&lt;4x/ano)"))))</f>
        <v/>
      </c>
    </row>
    <row r="1874" customFormat="false" ht="15" hidden="false" customHeight="true" outlineLevel="0" collapsed="false">
      <c r="A1874" s="6"/>
      <c r="B1874" s="6"/>
      <c r="C1874" s="6"/>
      <c r="D1874" s="6"/>
      <c r="E1874" s="6"/>
      <c r="F1874" s="6"/>
      <c r="G1874" s="6"/>
      <c r="H1874" s="6"/>
      <c r="I1874" s="6"/>
      <c r="J1874" s="6"/>
      <c r="K1874" s="18"/>
      <c r="L1874" s="19" t="str">
        <f aca="false">IF(A1874="","",G1874*K1874)</f>
        <v/>
      </c>
      <c r="M1874" s="20"/>
      <c r="N1874" s="6"/>
      <c r="O1874" s="6"/>
      <c r="P1874" s="5" t="str">
        <f aca="false">IF(A1874="","",H1874/90)</f>
        <v/>
      </c>
      <c r="Q1874" s="5" t="str">
        <f aca="false">IF(A1874="","",IFERROR(INDEX(Parâmetros!$C$6:$C$10,MATCH(F1874,Parâmetros!$B$6:$B$10,0)),""))</f>
        <v/>
      </c>
      <c r="R1874" s="5" t="str">
        <f aca="false">IF(OR(A1874="",P1874="",Q1874=""),"",P1874*Q1874)</f>
        <v/>
      </c>
      <c r="S1874" s="5" t="str">
        <f aca="false">IF(R1874="","",MAX(0,R1874-G1874))</f>
        <v/>
      </c>
      <c r="T1874" s="21" t="str">
        <f aca="false">IF(S1874="","",S1874*K1874)</f>
        <v/>
      </c>
      <c r="U1874" s="5" t="str">
        <f aca="false">IF(A1874="","",IF(J1874&gt;Parâmetros!$C$14,"SIM","NAO"))</f>
        <v/>
      </c>
      <c r="V1874" s="5" t="str">
        <f aca="false">IF(B1874="","",TRIM(LEFT(B1874,IFERROR(FIND(" ",B1874)-1,LEN(B1874)))))</f>
        <v/>
      </c>
      <c r="W1874" s="22"/>
      <c r="X1874" s="5" t="str">
        <f aca="false">IF(A1874="","",IF(W1874&lt;&gt;"",W1874,V1874))</f>
        <v/>
      </c>
      <c r="Y1874" s="5" t="str">
        <f aca="false">IF(A1874="","",IF(COUNTIFS($X$2:$X$2001,X1874,$D$2:$D$2001,"&lt;&gt;"&amp;D1874,$C$2:$C$2001,C1874)&gt;0,"SIM","NAO"))</f>
        <v/>
      </c>
      <c r="Z1874" s="5" t="str">
        <f aca="false">IF(A1874="","",IF(J1874="","",IFERROR(360/J1874,"")))</f>
        <v/>
      </c>
      <c r="AA1874" s="5" t="str">
        <f aca="false">IF(A1874="","",IF(H1874=0,"Parado (sem venda 90d)",IF(Z1874&gt;12,"Alto (&gt;12x/ano)",IF(Z1874&gt;=4,"Medio (4-12x/ano)","Baixo (&lt;4x/ano)"))))</f>
        <v/>
      </c>
    </row>
    <row r="1875" customFormat="false" ht="15" hidden="false" customHeight="true" outlineLevel="0" collapsed="false">
      <c r="A1875" s="6"/>
      <c r="B1875" s="6"/>
      <c r="C1875" s="6"/>
      <c r="D1875" s="6"/>
      <c r="E1875" s="6"/>
      <c r="F1875" s="6"/>
      <c r="G1875" s="6"/>
      <c r="H1875" s="6"/>
      <c r="I1875" s="6"/>
      <c r="J1875" s="6"/>
      <c r="K1875" s="18"/>
      <c r="L1875" s="19" t="str">
        <f aca="false">IF(A1875="","",G1875*K1875)</f>
        <v/>
      </c>
      <c r="M1875" s="20"/>
      <c r="N1875" s="6"/>
      <c r="O1875" s="6"/>
      <c r="P1875" s="5" t="str">
        <f aca="false">IF(A1875="","",H1875/90)</f>
        <v/>
      </c>
      <c r="Q1875" s="5" t="str">
        <f aca="false">IF(A1875="","",IFERROR(INDEX(Parâmetros!$C$6:$C$10,MATCH(F1875,Parâmetros!$B$6:$B$10,0)),""))</f>
        <v/>
      </c>
      <c r="R1875" s="5" t="str">
        <f aca="false">IF(OR(A1875="",P1875="",Q1875=""),"",P1875*Q1875)</f>
        <v/>
      </c>
      <c r="S1875" s="5" t="str">
        <f aca="false">IF(R1875="","",MAX(0,R1875-G1875))</f>
        <v/>
      </c>
      <c r="T1875" s="21" t="str">
        <f aca="false">IF(S1875="","",S1875*K1875)</f>
        <v/>
      </c>
      <c r="U1875" s="5" t="str">
        <f aca="false">IF(A1875="","",IF(J1875&gt;Parâmetros!$C$14,"SIM","NAO"))</f>
        <v/>
      </c>
      <c r="V1875" s="5" t="str">
        <f aca="false">IF(B1875="","",TRIM(LEFT(B1875,IFERROR(FIND(" ",B1875)-1,LEN(B1875)))))</f>
        <v/>
      </c>
      <c r="W1875" s="22"/>
      <c r="X1875" s="5" t="str">
        <f aca="false">IF(A1875="","",IF(W1875&lt;&gt;"",W1875,V1875))</f>
        <v/>
      </c>
      <c r="Y1875" s="5" t="str">
        <f aca="false">IF(A1875="","",IF(COUNTIFS($X$2:$X$2001,X1875,$D$2:$D$2001,"&lt;&gt;"&amp;D1875,$C$2:$C$2001,C1875)&gt;0,"SIM","NAO"))</f>
        <v/>
      </c>
      <c r="Z1875" s="5" t="str">
        <f aca="false">IF(A1875="","",IF(J1875="","",IFERROR(360/J1875,"")))</f>
        <v/>
      </c>
      <c r="AA1875" s="5" t="str">
        <f aca="false">IF(A1875="","",IF(H1875=0,"Parado (sem venda 90d)",IF(Z1875&gt;12,"Alto (&gt;12x/ano)",IF(Z1875&gt;=4,"Medio (4-12x/ano)","Baixo (&lt;4x/ano)"))))</f>
        <v/>
      </c>
    </row>
    <row r="1876" customFormat="false" ht="15" hidden="false" customHeight="true" outlineLevel="0" collapsed="false">
      <c r="A1876" s="6"/>
      <c r="B1876" s="6"/>
      <c r="C1876" s="6"/>
      <c r="D1876" s="6"/>
      <c r="E1876" s="6"/>
      <c r="F1876" s="6"/>
      <c r="G1876" s="6"/>
      <c r="H1876" s="6"/>
      <c r="I1876" s="6"/>
      <c r="J1876" s="6"/>
      <c r="K1876" s="18"/>
      <c r="L1876" s="19" t="str">
        <f aca="false">IF(A1876="","",G1876*K1876)</f>
        <v/>
      </c>
      <c r="M1876" s="20"/>
      <c r="N1876" s="6"/>
      <c r="O1876" s="6"/>
      <c r="P1876" s="5" t="str">
        <f aca="false">IF(A1876="","",H1876/90)</f>
        <v/>
      </c>
      <c r="Q1876" s="5" t="str">
        <f aca="false">IF(A1876="","",IFERROR(INDEX(Parâmetros!$C$6:$C$10,MATCH(F1876,Parâmetros!$B$6:$B$10,0)),""))</f>
        <v/>
      </c>
      <c r="R1876" s="5" t="str">
        <f aca="false">IF(OR(A1876="",P1876="",Q1876=""),"",P1876*Q1876)</f>
        <v/>
      </c>
      <c r="S1876" s="5" t="str">
        <f aca="false">IF(R1876="","",MAX(0,R1876-G1876))</f>
        <v/>
      </c>
      <c r="T1876" s="21" t="str">
        <f aca="false">IF(S1876="","",S1876*K1876)</f>
        <v/>
      </c>
      <c r="U1876" s="5" t="str">
        <f aca="false">IF(A1876="","",IF(J1876&gt;Parâmetros!$C$14,"SIM","NAO"))</f>
        <v/>
      </c>
      <c r="V1876" s="5" t="str">
        <f aca="false">IF(B1876="","",TRIM(LEFT(B1876,IFERROR(FIND(" ",B1876)-1,LEN(B1876)))))</f>
        <v/>
      </c>
      <c r="W1876" s="22"/>
      <c r="X1876" s="5" t="str">
        <f aca="false">IF(A1876="","",IF(W1876&lt;&gt;"",W1876,V1876))</f>
        <v/>
      </c>
      <c r="Y1876" s="5" t="str">
        <f aca="false">IF(A1876="","",IF(COUNTIFS($X$2:$X$2001,X1876,$D$2:$D$2001,"&lt;&gt;"&amp;D1876,$C$2:$C$2001,C1876)&gt;0,"SIM","NAO"))</f>
        <v/>
      </c>
      <c r="Z1876" s="5" t="str">
        <f aca="false">IF(A1876="","",IF(J1876="","",IFERROR(360/J1876,"")))</f>
        <v/>
      </c>
      <c r="AA1876" s="5" t="str">
        <f aca="false">IF(A1876="","",IF(H1876=0,"Parado (sem venda 90d)",IF(Z1876&gt;12,"Alto (&gt;12x/ano)",IF(Z1876&gt;=4,"Medio (4-12x/ano)","Baixo (&lt;4x/ano)"))))</f>
        <v/>
      </c>
    </row>
    <row r="1877" customFormat="false" ht="15" hidden="false" customHeight="true" outlineLevel="0" collapsed="false">
      <c r="A1877" s="6"/>
      <c r="B1877" s="6"/>
      <c r="C1877" s="6"/>
      <c r="D1877" s="6"/>
      <c r="E1877" s="6"/>
      <c r="F1877" s="6"/>
      <c r="G1877" s="6"/>
      <c r="H1877" s="6"/>
      <c r="I1877" s="6"/>
      <c r="J1877" s="6"/>
      <c r="K1877" s="18"/>
      <c r="L1877" s="19" t="str">
        <f aca="false">IF(A1877="","",G1877*K1877)</f>
        <v/>
      </c>
      <c r="M1877" s="20"/>
      <c r="N1877" s="6"/>
      <c r="O1877" s="6"/>
      <c r="P1877" s="5" t="str">
        <f aca="false">IF(A1877="","",H1877/90)</f>
        <v/>
      </c>
      <c r="Q1877" s="5" t="str">
        <f aca="false">IF(A1877="","",IFERROR(INDEX(Parâmetros!$C$6:$C$10,MATCH(F1877,Parâmetros!$B$6:$B$10,0)),""))</f>
        <v/>
      </c>
      <c r="R1877" s="5" t="str">
        <f aca="false">IF(OR(A1877="",P1877="",Q1877=""),"",P1877*Q1877)</f>
        <v/>
      </c>
      <c r="S1877" s="5" t="str">
        <f aca="false">IF(R1877="","",MAX(0,R1877-G1877))</f>
        <v/>
      </c>
      <c r="T1877" s="21" t="str">
        <f aca="false">IF(S1877="","",S1877*K1877)</f>
        <v/>
      </c>
      <c r="U1877" s="5" t="str">
        <f aca="false">IF(A1877="","",IF(J1877&gt;Parâmetros!$C$14,"SIM","NAO"))</f>
        <v/>
      </c>
      <c r="V1877" s="5" t="str">
        <f aca="false">IF(B1877="","",TRIM(LEFT(B1877,IFERROR(FIND(" ",B1877)-1,LEN(B1877)))))</f>
        <v/>
      </c>
      <c r="W1877" s="22"/>
      <c r="X1877" s="5" t="str">
        <f aca="false">IF(A1877="","",IF(W1877&lt;&gt;"",W1877,V1877))</f>
        <v/>
      </c>
      <c r="Y1877" s="5" t="str">
        <f aca="false">IF(A1877="","",IF(COUNTIFS($X$2:$X$2001,X1877,$D$2:$D$2001,"&lt;&gt;"&amp;D1877,$C$2:$C$2001,C1877)&gt;0,"SIM","NAO"))</f>
        <v/>
      </c>
      <c r="Z1877" s="5" t="str">
        <f aca="false">IF(A1877="","",IF(J1877="","",IFERROR(360/J1877,"")))</f>
        <v/>
      </c>
      <c r="AA1877" s="5" t="str">
        <f aca="false">IF(A1877="","",IF(H1877=0,"Parado (sem venda 90d)",IF(Z1877&gt;12,"Alto (&gt;12x/ano)",IF(Z1877&gt;=4,"Medio (4-12x/ano)","Baixo (&lt;4x/ano)"))))</f>
        <v/>
      </c>
    </row>
    <row r="1878" customFormat="false" ht="15" hidden="false" customHeight="true" outlineLevel="0" collapsed="false">
      <c r="A1878" s="6"/>
      <c r="B1878" s="6"/>
      <c r="C1878" s="6"/>
      <c r="D1878" s="6"/>
      <c r="E1878" s="6"/>
      <c r="F1878" s="6"/>
      <c r="G1878" s="6"/>
      <c r="H1878" s="6"/>
      <c r="I1878" s="6"/>
      <c r="J1878" s="6"/>
      <c r="K1878" s="18"/>
      <c r="L1878" s="19" t="str">
        <f aca="false">IF(A1878="","",G1878*K1878)</f>
        <v/>
      </c>
      <c r="M1878" s="20"/>
      <c r="N1878" s="6"/>
      <c r="O1878" s="6"/>
      <c r="P1878" s="5" t="str">
        <f aca="false">IF(A1878="","",H1878/90)</f>
        <v/>
      </c>
      <c r="Q1878" s="5" t="str">
        <f aca="false">IF(A1878="","",IFERROR(INDEX(Parâmetros!$C$6:$C$10,MATCH(F1878,Parâmetros!$B$6:$B$10,0)),""))</f>
        <v/>
      </c>
      <c r="R1878" s="5" t="str">
        <f aca="false">IF(OR(A1878="",P1878="",Q1878=""),"",P1878*Q1878)</f>
        <v/>
      </c>
      <c r="S1878" s="5" t="str">
        <f aca="false">IF(R1878="","",MAX(0,R1878-G1878))</f>
        <v/>
      </c>
      <c r="T1878" s="21" t="str">
        <f aca="false">IF(S1878="","",S1878*K1878)</f>
        <v/>
      </c>
      <c r="U1878" s="5" t="str">
        <f aca="false">IF(A1878="","",IF(J1878&gt;Parâmetros!$C$14,"SIM","NAO"))</f>
        <v/>
      </c>
      <c r="V1878" s="5" t="str">
        <f aca="false">IF(B1878="","",TRIM(LEFT(B1878,IFERROR(FIND(" ",B1878)-1,LEN(B1878)))))</f>
        <v/>
      </c>
      <c r="W1878" s="22"/>
      <c r="X1878" s="5" t="str">
        <f aca="false">IF(A1878="","",IF(W1878&lt;&gt;"",W1878,V1878))</f>
        <v/>
      </c>
      <c r="Y1878" s="5" t="str">
        <f aca="false">IF(A1878="","",IF(COUNTIFS($X$2:$X$2001,X1878,$D$2:$D$2001,"&lt;&gt;"&amp;D1878,$C$2:$C$2001,C1878)&gt;0,"SIM","NAO"))</f>
        <v/>
      </c>
      <c r="Z1878" s="5" t="str">
        <f aca="false">IF(A1878="","",IF(J1878="","",IFERROR(360/J1878,"")))</f>
        <v/>
      </c>
      <c r="AA1878" s="5" t="str">
        <f aca="false">IF(A1878="","",IF(H1878=0,"Parado (sem venda 90d)",IF(Z1878&gt;12,"Alto (&gt;12x/ano)",IF(Z1878&gt;=4,"Medio (4-12x/ano)","Baixo (&lt;4x/ano)"))))</f>
        <v/>
      </c>
    </row>
    <row r="1879" customFormat="false" ht="15" hidden="false" customHeight="true" outlineLevel="0" collapsed="false">
      <c r="A1879" s="6"/>
      <c r="B1879" s="6"/>
      <c r="C1879" s="6"/>
      <c r="D1879" s="6"/>
      <c r="E1879" s="6"/>
      <c r="F1879" s="6"/>
      <c r="G1879" s="6"/>
      <c r="H1879" s="6"/>
      <c r="I1879" s="6"/>
      <c r="J1879" s="6"/>
      <c r="K1879" s="18"/>
      <c r="L1879" s="19" t="str">
        <f aca="false">IF(A1879="","",G1879*K1879)</f>
        <v/>
      </c>
      <c r="M1879" s="20"/>
      <c r="N1879" s="6"/>
      <c r="O1879" s="6"/>
      <c r="P1879" s="5" t="str">
        <f aca="false">IF(A1879="","",H1879/90)</f>
        <v/>
      </c>
      <c r="Q1879" s="5" t="str">
        <f aca="false">IF(A1879="","",IFERROR(INDEX(Parâmetros!$C$6:$C$10,MATCH(F1879,Parâmetros!$B$6:$B$10,0)),""))</f>
        <v/>
      </c>
      <c r="R1879" s="5" t="str">
        <f aca="false">IF(OR(A1879="",P1879="",Q1879=""),"",P1879*Q1879)</f>
        <v/>
      </c>
      <c r="S1879" s="5" t="str">
        <f aca="false">IF(R1879="","",MAX(0,R1879-G1879))</f>
        <v/>
      </c>
      <c r="T1879" s="21" t="str">
        <f aca="false">IF(S1879="","",S1879*K1879)</f>
        <v/>
      </c>
      <c r="U1879" s="5" t="str">
        <f aca="false">IF(A1879="","",IF(J1879&gt;Parâmetros!$C$14,"SIM","NAO"))</f>
        <v/>
      </c>
      <c r="V1879" s="5" t="str">
        <f aca="false">IF(B1879="","",TRIM(LEFT(B1879,IFERROR(FIND(" ",B1879)-1,LEN(B1879)))))</f>
        <v/>
      </c>
      <c r="W1879" s="22"/>
      <c r="X1879" s="5" t="str">
        <f aca="false">IF(A1879="","",IF(W1879&lt;&gt;"",W1879,V1879))</f>
        <v/>
      </c>
      <c r="Y1879" s="5" t="str">
        <f aca="false">IF(A1879="","",IF(COUNTIFS($X$2:$X$2001,X1879,$D$2:$D$2001,"&lt;&gt;"&amp;D1879,$C$2:$C$2001,C1879)&gt;0,"SIM","NAO"))</f>
        <v/>
      </c>
      <c r="Z1879" s="5" t="str">
        <f aca="false">IF(A1879="","",IF(J1879="","",IFERROR(360/J1879,"")))</f>
        <v/>
      </c>
      <c r="AA1879" s="5" t="str">
        <f aca="false">IF(A1879="","",IF(H1879=0,"Parado (sem venda 90d)",IF(Z1879&gt;12,"Alto (&gt;12x/ano)",IF(Z1879&gt;=4,"Medio (4-12x/ano)","Baixo (&lt;4x/ano)"))))</f>
        <v/>
      </c>
    </row>
    <row r="1880" customFormat="false" ht="15" hidden="false" customHeight="true" outlineLevel="0" collapsed="false">
      <c r="A1880" s="6"/>
      <c r="B1880" s="6"/>
      <c r="C1880" s="6"/>
      <c r="D1880" s="6"/>
      <c r="E1880" s="6"/>
      <c r="F1880" s="6"/>
      <c r="G1880" s="6"/>
      <c r="H1880" s="6"/>
      <c r="I1880" s="6"/>
      <c r="J1880" s="6"/>
      <c r="K1880" s="18"/>
      <c r="L1880" s="19" t="str">
        <f aca="false">IF(A1880="","",G1880*K1880)</f>
        <v/>
      </c>
      <c r="M1880" s="20"/>
      <c r="N1880" s="6"/>
      <c r="O1880" s="6"/>
      <c r="P1880" s="5" t="str">
        <f aca="false">IF(A1880="","",H1880/90)</f>
        <v/>
      </c>
      <c r="Q1880" s="5" t="str">
        <f aca="false">IF(A1880="","",IFERROR(INDEX(Parâmetros!$C$6:$C$10,MATCH(F1880,Parâmetros!$B$6:$B$10,0)),""))</f>
        <v/>
      </c>
      <c r="R1880" s="5" t="str">
        <f aca="false">IF(OR(A1880="",P1880="",Q1880=""),"",P1880*Q1880)</f>
        <v/>
      </c>
      <c r="S1880" s="5" t="str">
        <f aca="false">IF(R1880="","",MAX(0,R1880-G1880))</f>
        <v/>
      </c>
      <c r="T1880" s="21" t="str">
        <f aca="false">IF(S1880="","",S1880*K1880)</f>
        <v/>
      </c>
      <c r="U1880" s="5" t="str">
        <f aca="false">IF(A1880="","",IF(J1880&gt;Parâmetros!$C$14,"SIM","NAO"))</f>
        <v/>
      </c>
      <c r="V1880" s="5" t="str">
        <f aca="false">IF(B1880="","",TRIM(LEFT(B1880,IFERROR(FIND(" ",B1880)-1,LEN(B1880)))))</f>
        <v/>
      </c>
      <c r="W1880" s="22"/>
      <c r="X1880" s="5" t="str">
        <f aca="false">IF(A1880="","",IF(W1880&lt;&gt;"",W1880,V1880))</f>
        <v/>
      </c>
      <c r="Y1880" s="5" t="str">
        <f aca="false">IF(A1880="","",IF(COUNTIFS($X$2:$X$2001,X1880,$D$2:$D$2001,"&lt;&gt;"&amp;D1880,$C$2:$C$2001,C1880)&gt;0,"SIM","NAO"))</f>
        <v/>
      </c>
      <c r="Z1880" s="5" t="str">
        <f aca="false">IF(A1880="","",IF(J1880="","",IFERROR(360/J1880,"")))</f>
        <v/>
      </c>
      <c r="AA1880" s="5" t="str">
        <f aca="false">IF(A1880="","",IF(H1880=0,"Parado (sem venda 90d)",IF(Z1880&gt;12,"Alto (&gt;12x/ano)",IF(Z1880&gt;=4,"Medio (4-12x/ano)","Baixo (&lt;4x/ano)"))))</f>
        <v/>
      </c>
    </row>
    <row r="1881" customFormat="false" ht="15" hidden="false" customHeight="true" outlineLevel="0" collapsed="false">
      <c r="A1881" s="6"/>
      <c r="B1881" s="6"/>
      <c r="C1881" s="6"/>
      <c r="D1881" s="6"/>
      <c r="E1881" s="6"/>
      <c r="F1881" s="6"/>
      <c r="G1881" s="6"/>
      <c r="H1881" s="6"/>
      <c r="I1881" s="6"/>
      <c r="J1881" s="6"/>
      <c r="K1881" s="18"/>
      <c r="L1881" s="19" t="str">
        <f aca="false">IF(A1881="","",G1881*K1881)</f>
        <v/>
      </c>
      <c r="M1881" s="20"/>
      <c r="N1881" s="6"/>
      <c r="O1881" s="6"/>
      <c r="P1881" s="5" t="str">
        <f aca="false">IF(A1881="","",H1881/90)</f>
        <v/>
      </c>
      <c r="Q1881" s="5" t="str">
        <f aca="false">IF(A1881="","",IFERROR(INDEX(Parâmetros!$C$6:$C$10,MATCH(F1881,Parâmetros!$B$6:$B$10,0)),""))</f>
        <v/>
      </c>
      <c r="R1881" s="5" t="str">
        <f aca="false">IF(OR(A1881="",P1881="",Q1881=""),"",P1881*Q1881)</f>
        <v/>
      </c>
      <c r="S1881" s="5" t="str">
        <f aca="false">IF(R1881="","",MAX(0,R1881-G1881))</f>
        <v/>
      </c>
      <c r="T1881" s="21" t="str">
        <f aca="false">IF(S1881="","",S1881*K1881)</f>
        <v/>
      </c>
      <c r="U1881" s="5" t="str">
        <f aca="false">IF(A1881="","",IF(J1881&gt;Parâmetros!$C$14,"SIM","NAO"))</f>
        <v/>
      </c>
      <c r="V1881" s="5" t="str">
        <f aca="false">IF(B1881="","",TRIM(LEFT(B1881,IFERROR(FIND(" ",B1881)-1,LEN(B1881)))))</f>
        <v/>
      </c>
      <c r="W1881" s="22"/>
      <c r="X1881" s="5" t="str">
        <f aca="false">IF(A1881="","",IF(W1881&lt;&gt;"",W1881,V1881))</f>
        <v/>
      </c>
      <c r="Y1881" s="5" t="str">
        <f aca="false">IF(A1881="","",IF(COUNTIFS($X$2:$X$2001,X1881,$D$2:$D$2001,"&lt;&gt;"&amp;D1881,$C$2:$C$2001,C1881)&gt;0,"SIM","NAO"))</f>
        <v/>
      </c>
      <c r="Z1881" s="5" t="str">
        <f aca="false">IF(A1881="","",IF(J1881="","",IFERROR(360/J1881,"")))</f>
        <v/>
      </c>
      <c r="AA1881" s="5" t="str">
        <f aca="false">IF(A1881="","",IF(H1881=0,"Parado (sem venda 90d)",IF(Z1881&gt;12,"Alto (&gt;12x/ano)",IF(Z1881&gt;=4,"Medio (4-12x/ano)","Baixo (&lt;4x/ano)"))))</f>
        <v/>
      </c>
    </row>
    <row r="1882" customFormat="false" ht="15" hidden="false" customHeight="true" outlineLevel="0" collapsed="false">
      <c r="A1882" s="6"/>
      <c r="B1882" s="6"/>
      <c r="C1882" s="6"/>
      <c r="D1882" s="6"/>
      <c r="E1882" s="6"/>
      <c r="F1882" s="6"/>
      <c r="G1882" s="6"/>
      <c r="H1882" s="6"/>
      <c r="I1882" s="6"/>
      <c r="J1882" s="6"/>
      <c r="K1882" s="18"/>
      <c r="L1882" s="19" t="str">
        <f aca="false">IF(A1882="","",G1882*K1882)</f>
        <v/>
      </c>
      <c r="M1882" s="20"/>
      <c r="N1882" s="6"/>
      <c r="O1882" s="6"/>
      <c r="P1882" s="5" t="str">
        <f aca="false">IF(A1882="","",H1882/90)</f>
        <v/>
      </c>
      <c r="Q1882" s="5" t="str">
        <f aca="false">IF(A1882="","",IFERROR(INDEX(Parâmetros!$C$6:$C$10,MATCH(F1882,Parâmetros!$B$6:$B$10,0)),""))</f>
        <v/>
      </c>
      <c r="R1882" s="5" t="str">
        <f aca="false">IF(OR(A1882="",P1882="",Q1882=""),"",P1882*Q1882)</f>
        <v/>
      </c>
      <c r="S1882" s="5" t="str">
        <f aca="false">IF(R1882="","",MAX(0,R1882-G1882))</f>
        <v/>
      </c>
      <c r="T1882" s="21" t="str">
        <f aca="false">IF(S1882="","",S1882*K1882)</f>
        <v/>
      </c>
      <c r="U1882" s="5" t="str">
        <f aca="false">IF(A1882="","",IF(J1882&gt;Parâmetros!$C$14,"SIM","NAO"))</f>
        <v/>
      </c>
      <c r="V1882" s="5" t="str">
        <f aca="false">IF(B1882="","",TRIM(LEFT(B1882,IFERROR(FIND(" ",B1882)-1,LEN(B1882)))))</f>
        <v/>
      </c>
      <c r="W1882" s="22"/>
      <c r="X1882" s="5" t="str">
        <f aca="false">IF(A1882="","",IF(W1882&lt;&gt;"",W1882,V1882))</f>
        <v/>
      </c>
      <c r="Y1882" s="5" t="str">
        <f aca="false">IF(A1882="","",IF(COUNTIFS($X$2:$X$2001,X1882,$D$2:$D$2001,"&lt;&gt;"&amp;D1882,$C$2:$C$2001,C1882)&gt;0,"SIM","NAO"))</f>
        <v/>
      </c>
      <c r="Z1882" s="5" t="str">
        <f aca="false">IF(A1882="","",IF(J1882="","",IFERROR(360/J1882,"")))</f>
        <v/>
      </c>
      <c r="AA1882" s="5" t="str">
        <f aca="false">IF(A1882="","",IF(H1882=0,"Parado (sem venda 90d)",IF(Z1882&gt;12,"Alto (&gt;12x/ano)",IF(Z1882&gt;=4,"Medio (4-12x/ano)","Baixo (&lt;4x/ano)"))))</f>
        <v/>
      </c>
    </row>
    <row r="1883" customFormat="false" ht="15" hidden="false" customHeight="true" outlineLevel="0" collapsed="false">
      <c r="A1883" s="6"/>
      <c r="B1883" s="6"/>
      <c r="C1883" s="6"/>
      <c r="D1883" s="6"/>
      <c r="E1883" s="6"/>
      <c r="F1883" s="6"/>
      <c r="G1883" s="6"/>
      <c r="H1883" s="6"/>
      <c r="I1883" s="6"/>
      <c r="J1883" s="6"/>
      <c r="K1883" s="18"/>
      <c r="L1883" s="19" t="str">
        <f aca="false">IF(A1883="","",G1883*K1883)</f>
        <v/>
      </c>
      <c r="M1883" s="20"/>
      <c r="N1883" s="6"/>
      <c r="O1883" s="6"/>
      <c r="P1883" s="5" t="str">
        <f aca="false">IF(A1883="","",H1883/90)</f>
        <v/>
      </c>
      <c r="Q1883" s="5" t="str">
        <f aca="false">IF(A1883="","",IFERROR(INDEX(Parâmetros!$C$6:$C$10,MATCH(F1883,Parâmetros!$B$6:$B$10,0)),""))</f>
        <v/>
      </c>
      <c r="R1883" s="5" t="str">
        <f aca="false">IF(OR(A1883="",P1883="",Q1883=""),"",P1883*Q1883)</f>
        <v/>
      </c>
      <c r="S1883" s="5" t="str">
        <f aca="false">IF(R1883="","",MAX(0,R1883-G1883))</f>
        <v/>
      </c>
      <c r="T1883" s="21" t="str">
        <f aca="false">IF(S1883="","",S1883*K1883)</f>
        <v/>
      </c>
      <c r="U1883" s="5" t="str">
        <f aca="false">IF(A1883="","",IF(J1883&gt;Parâmetros!$C$14,"SIM","NAO"))</f>
        <v/>
      </c>
      <c r="V1883" s="5" t="str">
        <f aca="false">IF(B1883="","",TRIM(LEFT(B1883,IFERROR(FIND(" ",B1883)-1,LEN(B1883)))))</f>
        <v/>
      </c>
      <c r="W1883" s="22"/>
      <c r="X1883" s="5" t="str">
        <f aca="false">IF(A1883="","",IF(W1883&lt;&gt;"",W1883,V1883))</f>
        <v/>
      </c>
      <c r="Y1883" s="5" t="str">
        <f aca="false">IF(A1883="","",IF(COUNTIFS($X$2:$X$2001,X1883,$D$2:$D$2001,"&lt;&gt;"&amp;D1883,$C$2:$C$2001,C1883)&gt;0,"SIM","NAO"))</f>
        <v/>
      </c>
      <c r="Z1883" s="5" t="str">
        <f aca="false">IF(A1883="","",IF(J1883="","",IFERROR(360/J1883,"")))</f>
        <v/>
      </c>
      <c r="AA1883" s="5" t="str">
        <f aca="false">IF(A1883="","",IF(H1883=0,"Parado (sem venda 90d)",IF(Z1883&gt;12,"Alto (&gt;12x/ano)",IF(Z1883&gt;=4,"Medio (4-12x/ano)","Baixo (&lt;4x/ano)"))))</f>
        <v/>
      </c>
    </row>
    <row r="1884" customFormat="false" ht="15" hidden="false" customHeight="true" outlineLevel="0" collapsed="false">
      <c r="A1884" s="6"/>
      <c r="B1884" s="6"/>
      <c r="C1884" s="6"/>
      <c r="D1884" s="6"/>
      <c r="E1884" s="6"/>
      <c r="F1884" s="6"/>
      <c r="G1884" s="6"/>
      <c r="H1884" s="6"/>
      <c r="I1884" s="6"/>
      <c r="J1884" s="6"/>
      <c r="K1884" s="18"/>
      <c r="L1884" s="19" t="str">
        <f aca="false">IF(A1884="","",G1884*K1884)</f>
        <v/>
      </c>
      <c r="M1884" s="20"/>
      <c r="N1884" s="6"/>
      <c r="O1884" s="6"/>
      <c r="P1884" s="5" t="str">
        <f aca="false">IF(A1884="","",H1884/90)</f>
        <v/>
      </c>
      <c r="Q1884" s="5" t="str">
        <f aca="false">IF(A1884="","",IFERROR(INDEX(Parâmetros!$C$6:$C$10,MATCH(F1884,Parâmetros!$B$6:$B$10,0)),""))</f>
        <v/>
      </c>
      <c r="R1884" s="5" t="str">
        <f aca="false">IF(OR(A1884="",P1884="",Q1884=""),"",P1884*Q1884)</f>
        <v/>
      </c>
      <c r="S1884" s="5" t="str">
        <f aca="false">IF(R1884="","",MAX(0,R1884-G1884))</f>
        <v/>
      </c>
      <c r="T1884" s="21" t="str">
        <f aca="false">IF(S1884="","",S1884*K1884)</f>
        <v/>
      </c>
      <c r="U1884" s="5" t="str">
        <f aca="false">IF(A1884="","",IF(J1884&gt;Parâmetros!$C$14,"SIM","NAO"))</f>
        <v/>
      </c>
      <c r="V1884" s="5" t="str">
        <f aca="false">IF(B1884="","",TRIM(LEFT(B1884,IFERROR(FIND(" ",B1884)-1,LEN(B1884)))))</f>
        <v/>
      </c>
      <c r="W1884" s="22"/>
      <c r="X1884" s="5" t="str">
        <f aca="false">IF(A1884="","",IF(W1884&lt;&gt;"",W1884,V1884))</f>
        <v/>
      </c>
      <c r="Y1884" s="5" t="str">
        <f aca="false">IF(A1884="","",IF(COUNTIFS($X$2:$X$2001,X1884,$D$2:$D$2001,"&lt;&gt;"&amp;D1884,$C$2:$C$2001,C1884)&gt;0,"SIM","NAO"))</f>
        <v/>
      </c>
      <c r="Z1884" s="5" t="str">
        <f aca="false">IF(A1884="","",IF(J1884="","",IFERROR(360/J1884,"")))</f>
        <v/>
      </c>
      <c r="AA1884" s="5" t="str">
        <f aca="false">IF(A1884="","",IF(H1884=0,"Parado (sem venda 90d)",IF(Z1884&gt;12,"Alto (&gt;12x/ano)",IF(Z1884&gt;=4,"Medio (4-12x/ano)","Baixo (&lt;4x/ano)"))))</f>
        <v/>
      </c>
    </row>
    <row r="1885" customFormat="false" ht="15" hidden="false" customHeight="true" outlineLevel="0" collapsed="false">
      <c r="A1885" s="6"/>
      <c r="B1885" s="6"/>
      <c r="C1885" s="6"/>
      <c r="D1885" s="6"/>
      <c r="E1885" s="6"/>
      <c r="F1885" s="6"/>
      <c r="G1885" s="6"/>
      <c r="H1885" s="6"/>
      <c r="I1885" s="6"/>
      <c r="J1885" s="6"/>
      <c r="K1885" s="18"/>
      <c r="L1885" s="19" t="str">
        <f aca="false">IF(A1885="","",G1885*K1885)</f>
        <v/>
      </c>
      <c r="M1885" s="20"/>
      <c r="N1885" s="6"/>
      <c r="O1885" s="6"/>
      <c r="P1885" s="5" t="str">
        <f aca="false">IF(A1885="","",H1885/90)</f>
        <v/>
      </c>
      <c r="Q1885" s="5" t="str">
        <f aca="false">IF(A1885="","",IFERROR(INDEX(Parâmetros!$C$6:$C$10,MATCH(F1885,Parâmetros!$B$6:$B$10,0)),""))</f>
        <v/>
      </c>
      <c r="R1885" s="5" t="str">
        <f aca="false">IF(OR(A1885="",P1885="",Q1885=""),"",P1885*Q1885)</f>
        <v/>
      </c>
      <c r="S1885" s="5" t="str">
        <f aca="false">IF(R1885="","",MAX(0,R1885-G1885))</f>
        <v/>
      </c>
      <c r="T1885" s="21" t="str">
        <f aca="false">IF(S1885="","",S1885*K1885)</f>
        <v/>
      </c>
      <c r="U1885" s="5" t="str">
        <f aca="false">IF(A1885="","",IF(J1885&gt;Parâmetros!$C$14,"SIM","NAO"))</f>
        <v/>
      </c>
      <c r="V1885" s="5" t="str">
        <f aca="false">IF(B1885="","",TRIM(LEFT(B1885,IFERROR(FIND(" ",B1885)-1,LEN(B1885)))))</f>
        <v/>
      </c>
      <c r="W1885" s="22"/>
      <c r="X1885" s="5" t="str">
        <f aca="false">IF(A1885="","",IF(W1885&lt;&gt;"",W1885,V1885))</f>
        <v/>
      </c>
      <c r="Y1885" s="5" t="str">
        <f aca="false">IF(A1885="","",IF(COUNTIFS($X$2:$X$2001,X1885,$D$2:$D$2001,"&lt;&gt;"&amp;D1885,$C$2:$C$2001,C1885)&gt;0,"SIM","NAO"))</f>
        <v/>
      </c>
      <c r="Z1885" s="5" t="str">
        <f aca="false">IF(A1885="","",IF(J1885="","",IFERROR(360/J1885,"")))</f>
        <v/>
      </c>
      <c r="AA1885" s="5" t="str">
        <f aca="false">IF(A1885="","",IF(H1885=0,"Parado (sem venda 90d)",IF(Z1885&gt;12,"Alto (&gt;12x/ano)",IF(Z1885&gt;=4,"Medio (4-12x/ano)","Baixo (&lt;4x/ano)"))))</f>
        <v/>
      </c>
    </row>
    <row r="1886" customFormat="false" ht="15" hidden="false" customHeight="true" outlineLevel="0" collapsed="false">
      <c r="A1886" s="6"/>
      <c r="B1886" s="6"/>
      <c r="C1886" s="6"/>
      <c r="D1886" s="6"/>
      <c r="E1886" s="6"/>
      <c r="F1886" s="6"/>
      <c r="G1886" s="6"/>
      <c r="H1886" s="6"/>
      <c r="I1886" s="6"/>
      <c r="J1886" s="6"/>
      <c r="K1886" s="18"/>
      <c r="L1886" s="19" t="str">
        <f aca="false">IF(A1886="","",G1886*K1886)</f>
        <v/>
      </c>
      <c r="M1886" s="20"/>
      <c r="N1886" s="6"/>
      <c r="O1886" s="6"/>
      <c r="P1886" s="5" t="str">
        <f aca="false">IF(A1886="","",H1886/90)</f>
        <v/>
      </c>
      <c r="Q1886" s="5" t="str">
        <f aca="false">IF(A1886="","",IFERROR(INDEX(Parâmetros!$C$6:$C$10,MATCH(F1886,Parâmetros!$B$6:$B$10,0)),""))</f>
        <v/>
      </c>
      <c r="R1886" s="5" t="str">
        <f aca="false">IF(OR(A1886="",P1886="",Q1886=""),"",P1886*Q1886)</f>
        <v/>
      </c>
      <c r="S1886" s="5" t="str">
        <f aca="false">IF(R1886="","",MAX(0,R1886-G1886))</f>
        <v/>
      </c>
      <c r="T1886" s="21" t="str">
        <f aca="false">IF(S1886="","",S1886*K1886)</f>
        <v/>
      </c>
      <c r="U1886" s="5" t="str">
        <f aca="false">IF(A1886="","",IF(J1886&gt;Parâmetros!$C$14,"SIM","NAO"))</f>
        <v/>
      </c>
      <c r="V1886" s="5" t="str">
        <f aca="false">IF(B1886="","",TRIM(LEFT(B1886,IFERROR(FIND(" ",B1886)-1,LEN(B1886)))))</f>
        <v/>
      </c>
      <c r="W1886" s="22"/>
      <c r="X1886" s="5" t="str">
        <f aca="false">IF(A1886="","",IF(W1886&lt;&gt;"",W1886,V1886))</f>
        <v/>
      </c>
      <c r="Y1886" s="5" t="str">
        <f aca="false">IF(A1886="","",IF(COUNTIFS($X$2:$X$2001,X1886,$D$2:$D$2001,"&lt;&gt;"&amp;D1886,$C$2:$C$2001,C1886)&gt;0,"SIM","NAO"))</f>
        <v/>
      </c>
      <c r="Z1886" s="5" t="str">
        <f aca="false">IF(A1886="","",IF(J1886="","",IFERROR(360/J1886,"")))</f>
        <v/>
      </c>
      <c r="AA1886" s="5" t="str">
        <f aca="false">IF(A1886="","",IF(H1886=0,"Parado (sem venda 90d)",IF(Z1886&gt;12,"Alto (&gt;12x/ano)",IF(Z1886&gt;=4,"Medio (4-12x/ano)","Baixo (&lt;4x/ano)"))))</f>
        <v/>
      </c>
    </row>
    <row r="1887" customFormat="false" ht="15" hidden="false" customHeight="true" outlineLevel="0" collapsed="false">
      <c r="A1887" s="6"/>
      <c r="B1887" s="6"/>
      <c r="C1887" s="6"/>
      <c r="D1887" s="6"/>
      <c r="E1887" s="6"/>
      <c r="F1887" s="6"/>
      <c r="G1887" s="6"/>
      <c r="H1887" s="6"/>
      <c r="I1887" s="6"/>
      <c r="J1887" s="6"/>
      <c r="K1887" s="18"/>
      <c r="L1887" s="19" t="str">
        <f aca="false">IF(A1887="","",G1887*K1887)</f>
        <v/>
      </c>
      <c r="M1887" s="20"/>
      <c r="N1887" s="6"/>
      <c r="O1887" s="6"/>
      <c r="P1887" s="5" t="str">
        <f aca="false">IF(A1887="","",H1887/90)</f>
        <v/>
      </c>
      <c r="Q1887" s="5" t="str">
        <f aca="false">IF(A1887="","",IFERROR(INDEX(Parâmetros!$C$6:$C$10,MATCH(F1887,Parâmetros!$B$6:$B$10,0)),""))</f>
        <v/>
      </c>
      <c r="R1887" s="5" t="str">
        <f aca="false">IF(OR(A1887="",P1887="",Q1887=""),"",P1887*Q1887)</f>
        <v/>
      </c>
      <c r="S1887" s="5" t="str">
        <f aca="false">IF(R1887="","",MAX(0,R1887-G1887))</f>
        <v/>
      </c>
      <c r="T1887" s="21" t="str">
        <f aca="false">IF(S1887="","",S1887*K1887)</f>
        <v/>
      </c>
      <c r="U1887" s="5" t="str">
        <f aca="false">IF(A1887="","",IF(J1887&gt;Parâmetros!$C$14,"SIM","NAO"))</f>
        <v/>
      </c>
      <c r="V1887" s="5" t="str">
        <f aca="false">IF(B1887="","",TRIM(LEFT(B1887,IFERROR(FIND(" ",B1887)-1,LEN(B1887)))))</f>
        <v/>
      </c>
      <c r="W1887" s="22"/>
      <c r="X1887" s="5" t="str">
        <f aca="false">IF(A1887="","",IF(W1887&lt;&gt;"",W1887,V1887))</f>
        <v/>
      </c>
      <c r="Y1887" s="5" t="str">
        <f aca="false">IF(A1887="","",IF(COUNTIFS($X$2:$X$2001,X1887,$D$2:$D$2001,"&lt;&gt;"&amp;D1887,$C$2:$C$2001,C1887)&gt;0,"SIM","NAO"))</f>
        <v/>
      </c>
      <c r="Z1887" s="5" t="str">
        <f aca="false">IF(A1887="","",IF(J1887="","",IFERROR(360/J1887,"")))</f>
        <v/>
      </c>
      <c r="AA1887" s="5" t="str">
        <f aca="false">IF(A1887="","",IF(H1887=0,"Parado (sem venda 90d)",IF(Z1887&gt;12,"Alto (&gt;12x/ano)",IF(Z1887&gt;=4,"Medio (4-12x/ano)","Baixo (&lt;4x/ano)"))))</f>
        <v/>
      </c>
    </row>
    <row r="1888" customFormat="false" ht="15" hidden="false" customHeight="true" outlineLevel="0" collapsed="false">
      <c r="A1888" s="6"/>
      <c r="B1888" s="6"/>
      <c r="C1888" s="6"/>
      <c r="D1888" s="6"/>
      <c r="E1888" s="6"/>
      <c r="F1888" s="6"/>
      <c r="G1888" s="6"/>
      <c r="H1888" s="6"/>
      <c r="I1888" s="6"/>
      <c r="J1888" s="6"/>
      <c r="K1888" s="18"/>
      <c r="L1888" s="19" t="str">
        <f aca="false">IF(A1888="","",G1888*K1888)</f>
        <v/>
      </c>
      <c r="M1888" s="20"/>
      <c r="N1888" s="6"/>
      <c r="O1888" s="6"/>
      <c r="P1888" s="5" t="str">
        <f aca="false">IF(A1888="","",H1888/90)</f>
        <v/>
      </c>
      <c r="Q1888" s="5" t="str">
        <f aca="false">IF(A1888="","",IFERROR(INDEX(Parâmetros!$C$6:$C$10,MATCH(F1888,Parâmetros!$B$6:$B$10,0)),""))</f>
        <v/>
      </c>
      <c r="R1888" s="5" t="str">
        <f aca="false">IF(OR(A1888="",P1888="",Q1888=""),"",P1888*Q1888)</f>
        <v/>
      </c>
      <c r="S1888" s="5" t="str">
        <f aca="false">IF(R1888="","",MAX(0,R1888-G1888))</f>
        <v/>
      </c>
      <c r="T1888" s="21" t="str">
        <f aca="false">IF(S1888="","",S1888*K1888)</f>
        <v/>
      </c>
      <c r="U1888" s="5" t="str">
        <f aca="false">IF(A1888="","",IF(J1888&gt;Parâmetros!$C$14,"SIM","NAO"))</f>
        <v/>
      </c>
      <c r="V1888" s="5" t="str">
        <f aca="false">IF(B1888="","",TRIM(LEFT(B1888,IFERROR(FIND(" ",B1888)-1,LEN(B1888)))))</f>
        <v/>
      </c>
      <c r="W1888" s="22"/>
      <c r="X1888" s="5" t="str">
        <f aca="false">IF(A1888="","",IF(W1888&lt;&gt;"",W1888,V1888))</f>
        <v/>
      </c>
      <c r="Y1888" s="5" t="str">
        <f aca="false">IF(A1888="","",IF(COUNTIFS($X$2:$X$2001,X1888,$D$2:$D$2001,"&lt;&gt;"&amp;D1888,$C$2:$C$2001,C1888)&gt;0,"SIM","NAO"))</f>
        <v/>
      </c>
      <c r="Z1888" s="5" t="str">
        <f aca="false">IF(A1888="","",IF(J1888="","",IFERROR(360/J1888,"")))</f>
        <v/>
      </c>
      <c r="AA1888" s="5" t="str">
        <f aca="false">IF(A1888="","",IF(H1888=0,"Parado (sem venda 90d)",IF(Z1888&gt;12,"Alto (&gt;12x/ano)",IF(Z1888&gt;=4,"Medio (4-12x/ano)","Baixo (&lt;4x/ano)"))))</f>
        <v/>
      </c>
    </row>
    <row r="1889" customFormat="false" ht="15" hidden="false" customHeight="true" outlineLevel="0" collapsed="false">
      <c r="A1889" s="6"/>
      <c r="B1889" s="6"/>
      <c r="C1889" s="6"/>
      <c r="D1889" s="6"/>
      <c r="E1889" s="6"/>
      <c r="F1889" s="6"/>
      <c r="G1889" s="6"/>
      <c r="H1889" s="6"/>
      <c r="I1889" s="6"/>
      <c r="J1889" s="6"/>
      <c r="K1889" s="18"/>
      <c r="L1889" s="19" t="str">
        <f aca="false">IF(A1889="","",G1889*K1889)</f>
        <v/>
      </c>
      <c r="M1889" s="20"/>
      <c r="N1889" s="6"/>
      <c r="O1889" s="6"/>
      <c r="P1889" s="5" t="str">
        <f aca="false">IF(A1889="","",H1889/90)</f>
        <v/>
      </c>
      <c r="Q1889" s="5" t="str">
        <f aca="false">IF(A1889="","",IFERROR(INDEX(Parâmetros!$C$6:$C$10,MATCH(F1889,Parâmetros!$B$6:$B$10,0)),""))</f>
        <v/>
      </c>
      <c r="R1889" s="5" t="str">
        <f aca="false">IF(OR(A1889="",P1889="",Q1889=""),"",P1889*Q1889)</f>
        <v/>
      </c>
      <c r="S1889" s="5" t="str">
        <f aca="false">IF(R1889="","",MAX(0,R1889-G1889))</f>
        <v/>
      </c>
      <c r="T1889" s="21" t="str">
        <f aca="false">IF(S1889="","",S1889*K1889)</f>
        <v/>
      </c>
      <c r="U1889" s="5" t="str">
        <f aca="false">IF(A1889="","",IF(J1889&gt;Parâmetros!$C$14,"SIM","NAO"))</f>
        <v/>
      </c>
      <c r="V1889" s="5" t="str">
        <f aca="false">IF(B1889="","",TRIM(LEFT(B1889,IFERROR(FIND(" ",B1889)-1,LEN(B1889)))))</f>
        <v/>
      </c>
      <c r="W1889" s="22"/>
      <c r="X1889" s="5" t="str">
        <f aca="false">IF(A1889="","",IF(W1889&lt;&gt;"",W1889,V1889))</f>
        <v/>
      </c>
      <c r="Y1889" s="5" t="str">
        <f aca="false">IF(A1889="","",IF(COUNTIFS($X$2:$X$2001,X1889,$D$2:$D$2001,"&lt;&gt;"&amp;D1889,$C$2:$C$2001,C1889)&gt;0,"SIM","NAO"))</f>
        <v/>
      </c>
      <c r="Z1889" s="5" t="str">
        <f aca="false">IF(A1889="","",IF(J1889="","",IFERROR(360/J1889,"")))</f>
        <v/>
      </c>
      <c r="AA1889" s="5" t="str">
        <f aca="false">IF(A1889="","",IF(H1889=0,"Parado (sem venda 90d)",IF(Z1889&gt;12,"Alto (&gt;12x/ano)",IF(Z1889&gt;=4,"Medio (4-12x/ano)","Baixo (&lt;4x/ano)"))))</f>
        <v/>
      </c>
    </row>
    <row r="1890" customFormat="false" ht="15" hidden="false" customHeight="true" outlineLevel="0" collapsed="false">
      <c r="A1890" s="6"/>
      <c r="B1890" s="6"/>
      <c r="C1890" s="6"/>
      <c r="D1890" s="6"/>
      <c r="E1890" s="6"/>
      <c r="F1890" s="6"/>
      <c r="G1890" s="6"/>
      <c r="H1890" s="6"/>
      <c r="I1890" s="6"/>
      <c r="J1890" s="6"/>
      <c r="K1890" s="18"/>
      <c r="L1890" s="19" t="str">
        <f aca="false">IF(A1890="","",G1890*K1890)</f>
        <v/>
      </c>
      <c r="M1890" s="20"/>
      <c r="N1890" s="6"/>
      <c r="O1890" s="6"/>
      <c r="P1890" s="5" t="str">
        <f aca="false">IF(A1890="","",H1890/90)</f>
        <v/>
      </c>
      <c r="Q1890" s="5" t="str">
        <f aca="false">IF(A1890="","",IFERROR(INDEX(Parâmetros!$C$6:$C$10,MATCH(F1890,Parâmetros!$B$6:$B$10,0)),""))</f>
        <v/>
      </c>
      <c r="R1890" s="5" t="str">
        <f aca="false">IF(OR(A1890="",P1890="",Q1890=""),"",P1890*Q1890)</f>
        <v/>
      </c>
      <c r="S1890" s="5" t="str">
        <f aca="false">IF(R1890="","",MAX(0,R1890-G1890))</f>
        <v/>
      </c>
      <c r="T1890" s="21" t="str">
        <f aca="false">IF(S1890="","",S1890*K1890)</f>
        <v/>
      </c>
      <c r="U1890" s="5" t="str">
        <f aca="false">IF(A1890="","",IF(J1890&gt;Parâmetros!$C$14,"SIM","NAO"))</f>
        <v/>
      </c>
      <c r="V1890" s="5" t="str">
        <f aca="false">IF(B1890="","",TRIM(LEFT(B1890,IFERROR(FIND(" ",B1890)-1,LEN(B1890)))))</f>
        <v/>
      </c>
      <c r="W1890" s="22"/>
      <c r="X1890" s="5" t="str">
        <f aca="false">IF(A1890="","",IF(W1890&lt;&gt;"",W1890,V1890))</f>
        <v/>
      </c>
      <c r="Y1890" s="5" t="str">
        <f aca="false">IF(A1890="","",IF(COUNTIFS($X$2:$X$2001,X1890,$D$2:$D$2001,"&lt;&gt;"&amp;D1890,$C$2:$C$2001,C1890)&gt;0,"SIM","NAO"))</f>
        <v/>
      </c>
      <c r="Z1890" s="5" t="str">
        <f aca="false">IF(A1890="","",IF(J1890="","",IFERROR(360/J1890,"")))</f>
        <v/>
      </c>
      <c r="AA1890" s="5" t="str">
        <f aca="false">IF(A1890="","",IF(H1890=0,"Parado (sem venda 90d)",IF(Z1890&gt;12,"Alto (&gt;12x/ano)",IF(Z1890&gt;=4,"Medio (4-12x/ano)","Baixo (&lt;4x/ano)"))))</f>
        <v/>
      </c>
    </row>
    <row r="1891" customFormat="false" ht="15" hidden="false" customHeight="true" outlineLevel="0" collapsed="false">
      <c r="A1891" s="6"/>
      <c r="B1891" s="6"/>
      <c r="C1891" s="6"/>
      <c r="D1891" s="6"/>
      <c r="E1891" s="6"/>
      <c r="F1891" s="6"/>
      <c r="G1891" s="6"/>
      <c r="H1891" s="6"/>
      <c r="I1891" s="6"/>
      <c r="J1891" s="6"/>
      <c r="K1891" s="18"/>
      <c r="L1891" s="19" t="str">
        <f aca="false">IF(A1891="","",G1891*K1891)</f>
        <v/>
      </c>
      <c r="M1891" s="20"/>
      <c r="N1891" s="6"/>
      <c r="O1891" s="6"/>
      <c r="P1891" s="5" t="str">
        <f aca="false">IF(A1891="","",H1891/90)</f>
        <v/>
      </c>
      <c r="Q1891" s="5" t="str">
        <f aca="false">IF(A1891="","",IFERROR(INDEX(Parâmetros!$C$6:$C$10,MATCH(F1891,Parâmetros!$B$6:$B$10,0)),""))</f>
        <v/>
      </c>
      <c r="R1891" s="5" t="str">
        <f aca="false">IF(OR(A1891="",P1891="",Q1891=""),"",P1891*Q1891)</f>
        <v/>
      </c>
      <c r="S1891" s="5" t="str">
        <f aca="false">IF(R1891="","",MAX(0,R1891-G1891))</f>
        <v/>
      </c>
      <c r="T1891" s="21" t="str">
        <f aca="false">IF(S1891="","",S1891*K1891)</f>
        <v/>
      </c>
      <c r="U1891" s="5" t="str">
        <f aca="false">IF(A1891="","",IF(J1891&gt;Parâmetros!$C$14,"SIM","NAO"))</f>
        <v/>
      </c>
      <c r="V1891" s="5" t="str">
        <f aca="false">IF(B1891="","",TRIM(LEFT(B1891,IFERROR(FIND(" ",B1891)-1,LEN(B1891)))))</f>
        <v/>
      </c>
      <c r="W1891" s="22"/>
      <c r="X1891" s="5" t="str">
        <f aca="false">IF(A1891="","",IF(W1891&lt;&gt;"",W1891,V1891))</f>
        <v/>
      </c>
      <c r="Y1891" s="5" t="str">
        <f aca="false">IF(A1891="","",IF(COUNTIFS($X$2:$X$2001,X1891,$D$2:$D$2001,"&lt;&gt;"&amp;D1891,$C$2:$C$2001,C1891)&gt;0,"SIM","NAO"))</f>
        <v/>
      </c>
      <c r="Z1891" s="5" t="str">
        <f aca="false">IF(A1891="","",IF(J1891="","",IFERROR(360/J1891,"")))</f>
        <v/>
      </c>
      <c r="AA1891" s="5" t="str">
        <f aca="false">IF(A1891="","",IF(H1891=0,"Parado (sem venda 90d)",IF(Z1891&gt;12,"Alto (&gt;12x/ano)",IF(Z1891&gt;=4,"Medio (4-12x/ano)","Baixo (&lt;4x/ano)"))))</f>
        <v/>
      </c>
    </row>
    <row r="1892" customFormat="false" ht="15" hidden="false" customHeight="true" outlineLevel="0" collapsed="false">
      <c r="A1892" s="6"/>
      <c r="B1892" s="6"/>
      <c r="C1892" s="6"/>
      <c r="D1892" s="6"/>
      <c r="E1892" s="6"/>
      <c r="F1892" s="6"/>
      <c r="G1892" s="6"/>
      <c r="H1892" s="6"/>
      <c r="I1892" s="6"/>
      <c r="J1892" s="6"/>
      <c r="K1892" s="18"/>
      <c r="L1892" s="19" t="str">
        <f aca="false">IF(A1892="","",G1892*K1892)</f>
        <v/>
      </c>
      <c r="M1892" s="20"/>
      <c r="N1892" s="6"/>
      <c r="O1892" s="6"/>
      <c r="P1892" s="5" t="str">
        <f aca="false">IF(A1892="","",H1892/90)</f>
        <v/>
      </c>
      <c r="Q1892" s="5" t="str">
        <f aca="false">IF(A1892="","",IFERROR(INDEX(Parâmetros!$C$6:$C$10,MATCH(F1892,Parâmetros!$B$6:$B$10,0)),""))</f>
        <v/>
      </c>
      <c r="R1892" s="5" t="str">
        <f aca="false">IF(OR(A1892="",P1892="",Q1892=""),"",P1892*Q1892)</f>
        <v/>
      </c>
      <c r="S1892" s="5" t="str">
        <f aca="false">IF(R1892="","",MAX(0,R1892-G1892))</f>
        <v/>
      </c>
      <c r="T1892" s="21" t="str">
        <f aca="false">IF(S1892="","",S1892*K1892)</f>
        <v/>
      </c>
      <c r="U1892" s="5" t="str">
        <f aca="false">IF(A1892="","",IF(J1892&gt;Parâmetros!$C$14,"SIM","NAO"))</f>
        <v/>
      </c>
      <c r="V1892" s="5" t="str">
        <f aca="false">IF(B1892="","",TRIM(LEFT(B1892,IFERROR(FIND(" ",B1892)-1,LEN(B1892)))))</f>
        <v/>
      </c>
      <c r="W1892" s="22"/>
      <c r="X1892" s="5" t="str">
        <f aca="false">IF(A1892="","",IF(W1892&lt;&gt;"",W1892,V1892))</f>
        <v/>
      </c>
      <c r="Y1892" s="5" t="str">
        <f aca="false">IF(A1892="","",IF(COUNTIFS($X$2:$X$2001,X1892,$D$2:$D$2001,"&lt;&gt;"&amp;D1892,$C$2:$C$2001,C1892)&gt;0,"SIM","NAO"))</f>
        <v/>
      </c>
      <c r="Z1892" s="5" t="str">
        <f aca="false">IF(A1892="","",IF(J1892="","",IFERROR(360/J1892,"")))</f>
        <v/>
      </c>
      <c r="AA1892" s="5" t="str">
        <f aca="false">IF(A1892="","",IF(H1892=0,"Parado (sem venda 90d)",IF(Z1892&gt;12,"Alto (&gt;12x/ano)",IF(Z1892&gt;=4,"Medio (4-12x/ano)","Baixo (&lt;4x/ano)"))))</f>
        <v/>
      </c>
    </row>
    <row r="1893" customFormat="false" ht="15" hidden="false" customHeight="true" outlineLevel="0" collapsed="false">
      <c r="A1893" s="6"/>
      <c r="B1893" s="6"/>
      <c r="C1893" s="6"/>
      <c r="D1893" s="6"/>
      <c r="E1893" s="6"/>
      <c r="F1893" s="6"/>
      <c r="G1893" s="6"/>
      <c r="H1893" s="6"/>
      <c r="I1893" s="6"/>
      <c r="J1893" s="6"/>
      <c r="K1893" s="18"/>
      <c r="L1893" s="19" t="str">
        <f aca="false">IF(A1893="","",G1893*K1893)</f>
        <v/>
      </c>
      <c r="M1893" s="20"/>
      <c r="N1893" s="6"/>
      <c r="O1893" s="6"/>
      <c r="P1893" s="5" t="str">
        <f aca="false">IF(A1893="","",H1893/90)</f>
        <v/>
      </c>
      <c r="Q1893" s="5" t="str">
        <f aca="false">IF(A1893="","",IFERROR(INDEX(Parâmetros!$C$6:$C$10,MATCH(F1893,Parâmetros!$B$6:$B$10,0)),""))</f>
        <v/>
      </c>
      <c r="R1893" s="5" t="str">
        <f aca="false">IF(OR(A1893="",P1893="",Q1893=""),"",P1893*Q1893)</f>
        <v/>
      </c>
      <c r="S1893" s="5" t="str">
        <f aca="false">IF(R1893="","",MAX(0,R1893-G1893))</f>
        <v/>
      </c>
      <c r="T1893" s="21" t="str">
        <f aca="false">IF(S1893="","",S1893*K1893)</f>
        <v/>
      </c>
      <c r="U1893" s="5" t="str">
        <f aca="false">IF(A1893="","",IF(J1893&gt;Parâmetros!$C$14,"SIM","NAO"))</f>
        <v/>
      </c>
      <c r="V1893" s="5" t="str">
        <f aca="false">IF(B1893="","",TRIM(LEFT(B1893,IFERROR(FIND(" ",B1893)-1,LEN(B1893)))))</f>
        <v/>
      </c>
      <c r="W1893" s="22"/>
      <c r="X1893" s="5" t="str">
        <f aca="false">IF(A1893="","",IF(W1893&lt;&gt;"",W1893,V1893))</f>
        <v/>
      </c>
      <c r="Y1893" s="5" t="str">
        <f aca="false">IF(A1893="","",IF(COUNTIFS($X$2:$X$2001,X1893,$D$2:$D$2001,"&lt;&gt;"&amp;D1893,$C$2:$C$2001,C1893)&gt;0,"SIM","NAO"))</f>
        <v/>
      </c>
      <c r="Z1893" s="5" t="str">
        <f aca="false">IF(A1893="","",IF(J1893="","",IFERROR(360/J1893,"")))</f>
        <v/>
      </c>
      <c r="AA1893" s="5" t="str">
        <f aca="false">IF(A1893="","",IF(H1893=0,"Parado (sem venda 90d)",IF(Z1893&gt;12,"Alto (&gt;12x/ano)",IF(Z1893&gt;=4,"Medio (4-12x/ano)","Baixo (&lt;4x/ano)"))))</f>
        <v/>
      </c>
    </row>
    <row r="1894" customFormat="false" ht="15" hidden="false" customHeight="true" outlineLevel="0" collapsed="false">
      <c r="A1894" s="6"/>
      <c r="B1894" s="6"/>
      <c r="C1894" s="6"/>
      <c r="D1894" s="6"/>
      <c r="E1894" s="6"/>
      <c r="F1894" s="6"/>
      <c r="G1894" s="6"/>
      <c r="H1894" s="6"/>
      <c r="I1894" s="6"/>
      <c r="J1894" s="6"/>
      <c r="K1894" s="18"/>
      <c r="L1894" s="19" t="str">
        <f aca="false">IF(A1894="","",G1894*K1894)</f>
        <v/>
      </c>
      <c r="M1894" s="20"/>
      <c r="N1894" s="6"/>
      <c r="O1894" s="6"/>
      <c r="P1894" s="5" t="str">
        <f aca="false">IF(A1894="","",H1894/90)</f>
        <v/>
      </c>
      <c r="Q1894" s="5" t="str">
        <f aca="false">IF(A1894="","",IFERROR(INDEX(Parâmetros!$C$6:$C$10,MATCH(F1894,Parâmetros!$B$6:$B$10,0)),""))</f>
        <v/>
      </c>
      <c r="R1894" s="5" t="str">
        <f aca="false">IF(OR(A1894="",P1894="",Q1894=""),"",P1894*Q1894)</f>
        <v/>
      </c>
      <c r="S1894" s="5" t="str">
        <f aca="false">IF(R1894="","",MAX(0,R1894-G1894))</f>
        <v/>
      </c>
      <c r="T1894" s="21" t="str">
        <f aca="false">IF(S1894="","",S1894*K1894)</f>
        <v/>
      </c>
      <c r="U1894" s="5" t="str">
        <f aca="false">IF(A1894="","",IF(J1894&gt;Parâmetros!$C$14,"SIM","NAO"))</f>
        <v/>
      </c>
      <c r="V1894" s="5" t="str">
        <f aca="false">IF(B1894="","",TRIM(LEFT(B1894,IFERROR(FIND(" ",B1894)-1,LEN(B1894)))))</f>
        <v/>
      </c>
      <c r="W1894" s="22"/>
      <c r="X1894" s="5" t="str">
        <f aca="false">IF(A1894="","",IF(W1894&lt;&gt;"",W1894,V1894))</f>
        <v/>
      </c>
      <c r="Y1894" s="5" t="str">
        <f aca="false">IF(A1894="","",IF(COUNTIFS($X$2:$X$2001,X1894,$D$2:$D$2001,"&lt;&gt;"&amp;D1894,$C$2:$C$2001,C1894)&gt;0,"SIM","NAO"))</f>
        <v/>
      </c>
      <c r="Z1894" s="5" t="str">
        <f aca="false">IF(A1894="","",IF(J1894="","",IFERROR(360/J1894,"")))</f>
        <v/>
      </c>
      <c r="AA1894" s="5" t="str">
        <f aca="false">IF(A1894="","",IF(H1894=0,"Parado (sem venda 90d)",IF(Z1894&gt;12,"Alto (&gt;12x/ano)",IF(Z1894&gt;=4,"Medio (4-12x/ano)","Baixo (&lt;4x/ano)"))))</f>
        <v/>
      </c>
    </row>
    <row r="1895" customFormat="false" ht="15" hidden="false" customHeight="true" outlineLevel="0" collapsed="false">
      <c r="A1895" s="6"/>
      <c r="B1895" s="6"/>
      <c r="C1895" s="6"/>
      <c r="D1895" s="6"/>
      <c r="E1895" s="6"/>
      <c r="F1895" s="6"/>
      <c r="G1895" s="6"/>
      <c r="H1895" s="6"/>
      <c r="I1895" s="6"/>
      <c r="J1895" s="6"/>
      <c r="K1895" s="18"/>
      <c r="L1895" s="19" t="str">
        <f aca="false">IF(A1895="","",G1895*K1895)</f>
        <v/>
      </c>
      <c r="M1895" s="20"/>
      <c r="N1895" s="6"/>
      <c r="O1895" s="6"/>
      <c r="P1895" s="5" t="str">
        <f aca="false">IF(A1895="","",H1895/90)</f>
        <v/>
      </c>
      <c r="Q1895" s="5" t="str">
        <f aca="false">IF(A1895="","",IFERROR(INDEX(Parâmetros!$C$6:$C$10,MATCH(F1895,Parâmetros!$B$6:$B$10,0)),""))</f>
        <v/>
      </c>
      <c r="R1895" s="5" t="str">
        <f aca="false">IF(OR(A1895="",P1895="",Q1895=""),"",P1895*Q1895)</f>
        <v/>
      </c>
      <c r="S1895" s="5" t="str">
        <f aca="false">IF(R1895="","",MAX(0,R1895-G1895))</f>
        <v/>
      </c>
      <c r="T1895" s="21" t="str">
        <f aca="false">IF(S1895="","",S1895*K1895)</f>
        <v/>
      </c>
      <c r="U1895" s="5" t="str">
        <f aca="false">IF(A1895="","",IF(J1895&gt;Parâmetros!$C$14,"SIM","NAO"))</f>
        <v/>
      </c>
      <c r="V1895" s="5" t="str">
        <f aca="false">IF(B1895="","",TRIM(LEFT(B1895,IFERROR(FIND(" ",B1895)-1,LEN(B1895)))))</f>
        <v/>
      </c>
      <c r="W1895" s="22"/>
      <c r="X1895" s="5" t="str">
        <f aca="false">IF(A1895="","",IF(W1895&lt;&gt;"",W1895,V1895))</f>
        <v/>
      </c>
      <c r="Y1895" s="5" t="str">
        <f aca="false">IF(A1895="","",IF(COUNTIFS($X$2:$X$2001,X1895,$D$2:$D$2001,"&lt;&gt;"&amp;D1895,$C$2:$C$2001,C1895)&gt;0,"SIM","NAO"))</f>
        <v/>
      </c>
      <c r="Z1895" s="5" t="str">
        <f aca="false">IF(A1895="","",IF(J1895="","",IFERROR(360/J1895,"")))</f>
        <v/>
      </c>
      <c r="AA1895" s="5" t="str">
        <f aca="false">IF(A1895="","",IF(H1895=0,"Parado (sem venda 90d)",IF(Z1895&gt;12,"Alto (&gt;12x/ano)",IF(Z1895&gt;=4,"Medio (4-12x/ano)","Baixo (&lt;4x/ano)"))))</f>
        <v/>
      </c>
    </row>
    <row r="1896" customFormat="false" ht="15" hidden="false" customHeight="true" outlineLevel="0" collapsed="false">
      <c r="A1896" s="6"/>
      <c r="B1896" s="6"/>
      <c r="C1896" s="6"/>
      <c r="D1896" s="6"/>
      <c r="E1896" s="6"/>
      <c r="F1896" s="6"/>
      <c r="G1896" s="6"/>
      <c r="H1896" s="6"/>
      <c r="I1896" s="6"/>
      <c r="J1896" s="6"/>
      <c r="K1896" s="18"/>
      <c r="L1896" s="19" t="str">
        <f aca="false">IF(A1896="","",G1896*K1896)</f>
        <v/>
      </c>
      <c r="M1896" s="20"/>
      <c r="N1896" s="6"/>
      <c r="O1896" s="6"/>
      <c r="P1896" s="5" t="str">
        <f aca="false">IF(A1896="","",H1896/90)</f>
        <v/>
      </c>
      <c r="Q1896" s="5" t="str">
        <f aca="false">IF(A1896="","",IFERROR(INDEX(Parâmetros!$C$6:$C$10,MATCH(F1896,Parâmetros!$B$6:$B$10,0)),""))</f>
        <v/>
      </c>
      <c r="R1896" s="5" t="str">
        <f aca="false">IF(OR(A1896="",P1896="",Q1896=""),"",P1896*Q1896)</f>
        <v/>
      </c>
      <c r="S1896" s="5" t="str">
        <f aca="false">IF(R1896="","",MAX(0,R1896-G1896))</f>
        <v/>
      </c>
      <c r="T1896" s="21" t="str">
        <f aca="false">IF(S1896="","",S1896*K1896)</f>
        <v/>
      </c>
      <c r="U1896" s="5" t="str">
        <f aca="false">IF(A1896="","",IF(J1896&gt;Parâmetros!$C$14,"SIM","NAO"))</f>
        <v/>
      </c>
      <c r="V1896" s="5" t="str">
        <f aca="false">IF(B1896="","",TRIM(LEFT(B1896,IFERROR(FIND(" ",B1896)-1,LEN(B1896)))))</f>
        <v/>
      </c>
      <c r="W1896" s="22"/>
      <c r="X1896" s="5" t="str">
        <f aca="false">IF(A1896="","",IF(W1896&lt;&gt;"",W1896,V1896))</f>
        <v/>
      </c>
      <c r="Y1896" s="5" t="str">
        <f aca="false">IF(A1896="","",IF(COUNTIFS($X$2:$X$2001,X1896,$D$2:$D$2001,"&lt;&gt;"&amp;D1896,$C$2:$C$2001,C1896)&gt;0,"SIM","NAO"))</f>
        <v/>
      </c>
      <c r="Z1896" s="5" t="str">
        <f aca="false">IF(A1896="","",IF(J1896="","",IFERROR(360/J1896,"")))</f>
        <v/>
      </c>
      <c r="AA1896" s="5" t="str">
        <f aca="false">IF(A1896="","",IF(H1896=0,"Parado (sem venda 90d)",IF(Z1896&gt;12,"Alto (&gt;12x/ano)",IF(Z1896&gt;=4,"Medio (4-12x/ano)","Baixo (&lt;4x/ano)"))))</f>
        <v/>
      </c>
    </row>
    <row r="1897" customFormat="false" ht="15" hidden="false" customHeight="true" outlineLevel="0" collapsed="false">
      <c r="A1897" s="6"/>
      <c r="B1897" s="6"/>
      <c r="C1897" s="6"/>
      <c r="D1897" s="6"/>
      <c r="E1897" s="6"/>
      <c r="F1897" s="6"/>
      <c r="G1897" s="6"/>
      <c r="H1897" s="6"/>
      <c r="I1897" s="6"/>
      <c r="J1897" s="6"/>
      <c r="K1897" s="18"/>
      <c r="L1897" s="19" t="str">
        <f aca="false">IF(A1897="","",G1897*K1897)</f>
        <v/>
      </c>
      <c r="M1897" s="20"/>
      <c r="N1897" s="6"/>
      <c r="O1897" s="6"/>
      <c r="P1897" s="5" t="str">
        <f aca="false">IF(A1897="","",H1897/90)</f>
        <v/>
      </c>
      <c r="Q1897" s="5" t="str">
        <f aca="false">IF(A1897="","",IFERROR(INDEX(Parâmetros!$C$6:$C$10,MATCH(F1897,Parâmetros!$B$6:$B$10,0)),""))</f>
        <v/>
      </c>
      <c r="R1897" s="5" t="str">
        <f aca="false">IF(OR(A1897="",P1897="",Q1897=""),"",P1897*Q1897)</f>
        <v/>
      </c>
      <c r="S1897" s="5" t="str">
        <f aca="false">IF(R1897="","",MAX(0,R1897-G1897))</f>
        <v/>
      </c>
      <c r="T1897" s="21" t="str">
        <f aca="false">IF(S1897="","",S1897*K1897)</f>
        <v/>
      </c>
      <c r="U1897" s="5" t="str">
        <f aca="false">IF(A1897="","",IF(J1897&gt;Parâmetros!$C$14,"SIM","NAO"))</f>
        <v/>
      </c>
      <c r="V1897" s="5" t="str">
        <f aca="false">IF(B1897="","",TRIM(LEFT(B1897,IFERROR(FIND(" ",B1897)-1,LEN(B1897)))))</f>
        <v/>
      </c>
      <c r="W1897" s="22"/>
      <c r="X1897" s="5" t="str">
        <f aca="false">IF(A1897="","",IF(W1897&lt;&gt;"",W1897,V1897))</f>
        <v/>
      </c>
      <c r="Y1897" s="5" t="str">
        <f aca="false">IF(A1897="","",IF(COUNTIFS($X$2:$X$2001,X1897,$D$2:$D$2001,"&lt;&gt;"&amp;D1897,$C$2:$C$2001,C1897)&gt;0,"SIM","NAO"))</f>
        <v/>
      </c>
      <c r="Z1897" s="5" t="str">
        <f aca="false">IF(A1897="","",IF(J1897="","",IFERROR(360/J1897,"")))</f>
        <v/>
      </c>
      <c r="AA1897" s="5" t="str">
        <f aca="false">IF(A1897="","",IF(H1897=0,"Parado (sem venda 90d)",IF(Z1897&gt;12,"Alto (&gt;12x/ano)",IF(Z1897&gt;=4,"Medio (4-12x/ano)","Baixo (&lt;4x/ano)"))))</f>
        <v/>
      </c>
    </row>
    <row r="1898" customFormat="false" ht="15" hidden="false" customHeight="true" outlineLevel="0" collapsed="false">
      <c r="A1898" s="6"/>
      <c r="B1898" s="6"/>
      <c r="C1898" s="6"/>
      <c r="D1898" s="6"/>
      <c r="E1898" s="6"/>
      <c r="F1898" s="6"/>
      <c r="G1898" s="6"/>
      <c r="H1898" s="6"/>
      <c r="I1898" s="6"/>
      <c r="J1898" s="6"/>
      <c r="K1898" s="18"/>
      <c r="L1898" s="19" t="str">
        <f aca="false">IF(A1898="","",G1898*K1898)</f>
        <v/>
      </c>
      <c r="M1898" s="20"/>
      <c r="N1898" s="6"/>
      <c r="O1898" s="6"/>
      <c r="P1898" s="5" t="str">
        <f aca="false">IF(A1898="","",H1898/90)</f>
        <v/>
      </c>
      <c r="Q1898" s="5" t="str">
        <f aca="false">IF(A1898="","",IFERROR(INDEX(Parâmetros!$C$6:$C$10,MATCH(F1898,Parâmetros!$B$6:$B$10,0)),""))</f>
        <v/>
      </c>
      <c r="R1898" s="5" t="str">
        <f aca="false">IF(OR(A1898="",P1898="",Q1898=""),"",P1898*Q1898)</f>
        <v/>
      </c>
      <c r="S1898" s="5" t="str">
        <f aca="false">IF(R1898="","",MAX(0,R1898-G1898))</f>
        <v/>
      </c>
      <c r="T1898" s="21" t="str">
        <f aca="false">IF(S1898="","",S1898*K1898)</f>
        <v/>
      </c>
      <c r="U1898" s="5" t="str">
        <f aca="false">IF(A1898="","",IF(J1898&gt;Parâmetros!$C$14,"SIM","NAO"))</f>
        <v/>
      </c>
      <c r="V1898" s="5" t="str">
        <f aca="false">IF(B1898="","",TRIM(LEFT(B1898,IFERROR(FIND(" ",B1898)-1,LEN(B1898)))))</f>
        <v/>
      </c>
      <c r="W1898" s="22"/>
      <c r="X1898" s="5" t="str">
        <f aca="false">IF(A1898="","",IF(W1898&lt;&gt;"",W1898,V1898))</f>
        <v/>
      </c>
      <c r="Y1898" s="5" t="str">
        <f aca="false">IF(A1898="","",IF(COUNTIFS($X$2:$X$2001,X1898,$D$2:$D$2001,"&lt;&gt;"&amp;D1898,$C$2:$C$2001,C1898)&gt;0,"SIM","NAO"))</f>
        <v/>
      </c>
      <c r="Z1898" s="5" t="str">
        <f aca="false">IF(A1898="","",IF(J1898="","",IFERROR(360/J1898,"")))</f>
        <v/>
      </c>
      <c r="AA1898" s="5" t="str">
        <f aca="false">IF(A1898="","",IF(H1898=0,"Parado (sem venda 90d)",IF(Z1898&gt;12,"Alto (&gt;12x/ano)",IF(Z1898&gt;=4,"Medio (4-12x/ano)","Baixo (&lt;4x/ano)"))))</f>
        <v/>
      </c>
    </row>
    <row r="1899" customFormat="false" ht="15" hidden="false" customHeight="true" outlineLevel="0" collapsed="false">
      <c r="A1899" s="6"/>
      <c r="B1899" s="6"/>
      <c r="C1899" s="6"/>
      <c r="D1899" s="6"/>
      <c r="E1899" s="6"/>
      <c r="F1899" s="6"/>
      <c r="G1899" s="6"/>
      <c r="H1899" s="6"/>
      <c r="I1899" s="6"/>
      <c r="J1899" s="6"/>
      <c r="K1899" s="18"/>
      <c r="L1899" s="19" t="str">
        <f aca="false">IF(A1899="","",G1899*K1899)</f>
        <v/>
      </c>
      <c r="M1899" s="20"/>
      <c r="N1899" s="6"/>
      <c r="O1899" s="6"/>
      <c r="P1899" s="5" t="str">
        <f aca="false">IF(A1899="","",H1899/90)</f>
        <v/>
      </c>
      <c r="Q1899" s="5" t="str">
        <f aca="false">IF(A1899="","",IFERROR(INDEX(Parâmetros!$C$6:$C$10,MATCH(F1899,Parâmetros!$B$6:$B$10,0)),""))</f>
        <v/>
      </c>
      <c r="R1899" s="5" t="str">
        <f aca="false">IF(OR(A1899="",P1899="",Q1899=""),"",P1899*Q1899)</f>
        <v/>
      </c>
      <c r="S1899" s="5" t="str">
        <f aca="false">IF(R1899="","",MAX(0,R1899-G1899))</f>
        <v/>
      </c>
      <c r="T1899" s="21" t="str">
        <f aca="false">IF(S1899="","",S1899*K1899)</f>
        <v/>
      </c>
      <c r="U1899" s="5" t="str">
        <f aca="false">IF(A1899="","",IF(J1899&gt;Parâmetros!$C$14,"SIM","NAO"))</f>
        <v/>
      </c>
      <c r="V1899" s="5" t="str">
        <f aca="false">IF(B1899="","",TRIM(LEFT(B1899,IFERROR(FIND(" ",B1899)-1,LEN(B1899)))))</f>
        <v/>
      </c>
      <c r="W1899" s="22"/>
      <c r="X1899" s="5" t="str">
        <f aca="false">IF(A1899="","",IF(W1899&lt;&gt;"",W1899,V1899))</f>
        <v/>
      </c>
      <c r="Y1899" s="5" t="str">
        <f aca="false">IF(A1899="","",IF(COUNTIFS($X$2:$X$2001,X1899,$D$2:$D$2001,"&lt;&gt;"&amp;D1899,$C$2:$C$2001,C1899)&gt;0,"SIM","NAO"))</f>
        <v/>
      </c>
      <c r="Z1899" s="5" t="str">
        <f aca="false">IF(A1899="","",IF(J1899="","",IFERROR(360/J1899,"")))</f>
        <v/>
      </c>
      <c r="AA1899" s="5" t="str">
        <f aca="false">IF(A1899="","",IF(H1899=0,"Parado (sem venda 90d)",IF(Z1899&gt;12,"Alto (&gt;12x/ano)",IF(Z1899&gt;=4,"Medio (4-12x/ano)","Baixo (&lt;4x/ano)"))))</f>
        <v/>
      </c>
    </row>
    <row r="1900" customFormat="false" ht="15" hidden="false" customHeight="true" outlineLevel="0" collapsed="false">
      <c r="A1900" s="6"/>
      <c r="B1900" s="6"/>
      <c r="C1900" s="6"/>
      <c r="D1900" s="6"/>
      <c r="E1900" s="6"/>
      <c r="F1900" s="6"/>
      <c r="G1900" s="6"/>
      <c r="H1900" s="6"/>
      <c r="I1900" s="6"/>
      <c r="J1900" s="6"/>
      <c r="K1900" s="18"/>
      <c r="L1900" s="19" t="str">
        <f aca="false">IF(A1900="","",G1900*K1900)</f>
        <v/>
      </c>
      <c r="M1900" s="20"/>
      <c r="N1900" s="6"/>
      <c r="O1900" s="6"/>
      <c r="P1900" s="5" t="str">
        <f aca="false">IF(A1900="","",H1900/90)</f>
        <v/>
      </c>
      <c r="Q1900" s="5" t="str">
        <f aca="false">IF(A1900="","",IFERROR(INDEX(Parâmetros!$C$6:$C$10,MATCH(F1900,Parâmetros!$B$6:$B$10,0)),""))</f>
        <v/>
      </c>
      <c r="R1900" s="5" t="str">
        <f aca="false">IF(OR(A1900="",P1900="",Q1900=""),"",P1900*Q1900)</f>
        <v/>
      </c>
      <c r="S1900" s="5" t="str">
        <f aca="false">IF(R1900="","",MAX(0,R1900-G1900))</f>
        <v/>
      </c>
      <c r="T1900" s="21" t="str">
        <f aca="false">IF(S1900="","",S1900*K1900)</f>
        <v/>
      </c>
      <c r="U1900" s="5" t="str">
        <f aca="false">IF(A1900="","",IF(J1900&gt;Parâmetros!$C$14,"SIM","NAO"))</f>
        <v/>
      </c>
      <c r="V1900" s="5" t="str">
        <f aca="false">IF(B1900="","",TRIM(LEFT(B1900,IFERROR(FIND(" ",B1900)-1,LEN(B1900)))))</f>
        <v/>
      </c>
      <c r="W1900" s="22"/>
      <c r="X1900" s="5" t="str">
        <f aca="false">IF(A1900="","",IF(W1900&lt;&gt;"",W1900,V1900))</f>
        <v/>
      </c>
      <c r="Y1900" s="5" t="str">
        <f aca="false">IF(A1900="","",IF(COUNTIFS($X$2:$X$2001,X1900,$D$2:$D$2001,"&lt;&gt;"&amp;D1900,$C$2:$C$2001,C1900)&gt;0,"SIM","NAO"))</f>
        <v/>
      </c>
      <c r="Z1900" s="5" t="str">
        <f aca="false">IF(A1900="","",IF(J1900="","",IFERROR(360/J1900,"")))</f>
        <v/>
      </c>
      <c r="AA1900" s="5" t="str">
        <f aca="false">IF(A1900="","",IF(H1900=0,"Parado (sem venda 90d)",IF(Z1900&gt;12,"Alto (&gt;12x/ano)",IF(Z1900&gt;=4,"Medio (4-12x/ano)","Baixo (&lt;4x/ano)"))))</f>
        <v/>
      </c>
    </row>
    <row r="1901" customFormat="false" ht="15" hidden="false" customHeight="true" outlineLevel="0" collapsed="false">
      <c r="A1901" s="6"/>
      <c r="B1901" s="6"/>
      <c r="C1901" s="6"/>
      <c r="D1901" s="6"/>
      <c r="E1901" s="6"/>
      <c r="F1901" s="6"/>
      <c r="G1901" s="6"/>
      <c r="H1901" s="6"/>
      <c r="I1901" s="6"/>
      <c r="J1901" s="6"/>
      <c r="K1901" s="18"/>
      <c r="L1901" s="19" t="str">
        <f aca="false">IF(A1901="","",G1901*K1901)</f>
        <v/>
      </c>
      <c r="M1901" s="20"/>
      <c r="N1901" s="6"/>
      <c r="O1901" s="6"/>
      <c r="P1901" s="5" t="str">
        <f aca="false">IF(A1901="","",H1901/90)</f>
        <v/>
      </c>
      <c r="Q1901" s="5" t="str">
        <f aca="false">IF(A1901="","",IFERROR(INDEX(Parâmetros!$C$6:$C$10,MATCH(F1901,Parâmetros!$B$6:$B$10,0)),""))</f>
        <v/>
      </c>
      <c r="R1901" s="5" t="str">
        <f aca="false">IF(OR(A1901="",P1901="",Q1901=""),"",P1901*Q1901)</f>
        <v/>
      </c>
      <c r="S1901" s="5" t="str">
        <f aca="false">IF(R1901="","",MAX(0,R1901-G1901))</f>
        <v/>
      </c>
      <c r="T1901" s="21" t="str">
        <f aca="false">IF(S1901="","",S1901*K1901)</f>
        <v/>
      </c>
      <c r="U1901" s="5" t="str">
        <f aca="false">IF(A1901="","",IF(J1901&gt;Parâmetros!$C$14,"SIM","NAO"))</f>
        <v/>
      </c>
      <c r="V1901" s="5" t="str">
        <f aca="false">IF(B1901="","",TRIM(LEFT(B1901,IFERROR(FIND(" ",B1901)-1,LEN(B1901)))))</f>
        <v/>
      </c>
      <c r="W1901" s="22"/>
      <c r="X1901" s="5" t="str">
        <f aca="false">IF(A1901="","",IF(W1901&lt;&gt;"",W1901,V1901))</f>
        <v/>
      </c>
      <c r="Y1901" s="5" t="str">
        <f aca="false">IF(A1901="","",IF(COUNTIFS($X$2:$X$2001,X1901,$D$2:$D$2001,"&lt;&gt;"&amp;D1901,$C$2:$C$2001,C1901)&gt;0,"SIM","NAO"))</f>
        <v/>
      </c>
      <c r="Z1901" s="5" t="str">
        <f aca="false">IF(A1901="","",IF(J1901="","",IFERROR(360/J1901,"")))</f>
        <v/>
      </c>
      <c r="AA1901" s="5" t="str">
        <f aca="false">IF(A1901="","",IF(H1901=0,"Parado (sem venda 90d)",IF(Z1901&gt;12,"Alto (&gt;12x/ano)",IF(Z1901&gt;=4,"Medio (4-12x/ano)","Baixo (&lt;4x/ano)"))))</f>
        <v/>
      </c>
    </row>
    <row r="1902" customFormat="false" ht="15" hidden="false" customHeight="true" outlineLevel="0" collapsed="false">
      <c r="A1902" s="6"/>
      <c r="B1902" s="6"/>
      <c r="C1902" s="6"/>
      <c r="D1902" s="6"/>
      <c r="E1902" s="6"/>
      <c r="F1902" s="6"/>
      <c r="G1902" s="6"/>
      <c r="H1902" s="6"/>
      <c r="I1902" s="6"/>
      <c r="J1902" s="6"/>
      <c r="K1902" s="18"/>
      <c r="L1902" s="19" t="str">
        <f aca="false">IF(A1902="","",G1902*K1902)</f>
        <v/>
      </c>
      <c r="M1902" s="20"/>
      <c r="N1902" s="6"/>
      <c r="O1902" s="6"/>
      <c r="P1902" s="5" t="str">
        <f aca="false">IF(A1902="","",H1902/90)</f>
        <v/>
      </c>
      <c r="Q1902" s="5" t="str">
        <f aca="false">IF(A1902="","",IFERROR(INDEX(Parâmetros!$C$6:$C$10,MATCH(F1902,Parâmetros!$B$6:$B$10,0)),""))</f>
        <v/>
      </c>
      <c r="R1902" s="5" t="str">
        <f aca="false">IF(OR(A1902="",P1902="",Q1902=""),"",P1902*Q1902)</f>
        <v/>
      </c>
      <c r="S1902" s="5" t="str">
        <f aca="false">IF(R1902="","",MAX(0,R1902-G1902))</f>
        <v/>
      </c>
      <c r="T1902" s="21" t="str">
        <f aca="false">IF(S1902="","",S1902*K1902)</f>
        <v/>
      </c>
      <c r="U1902" s="5" t="str">
        <f aca="false">IF(A1902="","",IF(J1902&gt;Parâmetros!$C$14,"SIM","NAO"))</f>
        <v/>
      </c>
      <c r="V1902" s="5" t="str">
        <f aca="false">IF(B1902="","",TRIM(LEFT(B1902,IFERROR(FIND(" ",B1902)-1,LEN(B1902)))))</f>
        <v/>
      </c>
      <c r="W1902" s="22"/>
      <c r="X1902" s="5" t="str">
        <f aca="false">IF(A1902="","",IF(W1902&lt;&gt;"",W1902,V1902))</f>
        <v/>
      </c>
      <c r="Y1902" s="5" t="str">
        <f aca="false">IF(A1902="","",IF(COUNTIFS($X$2:$X$2001,X1902,$D$2:$D$2001,"&lt;&gt;"&amp;D1902,$C$2:$C$2001,C1902)&gt;0,"SIM","NAO"))</f>
        <v/>
      </c>
      <c r="Z1902" s="5" t="str">
        <f aca="false">IF(A1902="","",IF(J1902="","",IFERROR(360/J1902,"")))</f>
        <v/>
      </c>
      <c r="AA1902" s="5" t="str">
        <f aca="false">IF(A1902="","",IF(H1902=0,"Parado (sem venda 90d)",IF(Z1902&gt;12,"Alto (&gt;12x/ano)",IF(Z1902&gt;=4,"Medio (4-12x/ano)","Baixo (&lt;4x/ano)"))))</f>
        <v/>
      </c>
    </row>
    <row r="1903" customFormat="false" ht="15" hidden="false" customHeight="true" outlineLevel="0" collapsed="false">
      <c r="A1903" s="6"/>
      <c r="B1903" s="6"/>
      <c r="C1903" s="6"/>
      <c r="D1903" s="6"/>
      <c r="E1903" s="6"/>
      <c r="F1903" s="6"/>
      <c r="G1903" s="6"/>
      <c r="H1903" s="6"/>
      <c r="I1903" s="6"/>
      <c r="J1903" s="6"/>
      <c r="K1903" s="18"/>
      <c r="L1903" s="19" t="str">
        <f aca="false">IF(A1903="","",G1903*K1903)</f>
        <v/>
      </c>
      <c r="M1903" s="20"/>
      <c r="N1903" s="6"/>
      <c r="O1903" s="6"/>
      <c r="P1903" s="5" t="str">
        <f aca="false">IF(A1903="","",H1903/90)</f>
        <v/>
      </c>
      <c r="Q1903" s="5" t="str">
        <f aca="false">IF(A1903="","",IFERROR(INDEX(Parâmetros!$C$6:$C$10,MATCH(F1903,Parâmetros!$B$6:$B$10,0)),""))</f>
        <v/>
      </c>
      <c r="R1903" s="5" t="str">
        <f aca="false">IF(OR(A1903="",P1903="",Q1903=""),"",P1903*Q1903)</f>
        <v/>
      </c>
      <c r="S1903" s="5" t="str">
        <f aca="false">IF(R1903="","",MAX(0,R1903-G1903))</f>
        <v/>
      </c>
      <c r="T1903" s="21" t="str">
        <f aca="false">IF(S1903="","",S1903*K1903)</f>
        <v/>
      </c>
      <c r="U1903" s="5" t="str">
        <f aca="false">IF(A1903="","",IF(J1903&gt;Parâmetros!$C$14,"SIM","NAO"))</f>
        <v/>
      </c>
      <c r="V1903" s="5" t="str">
        <f aca="false">IF(B1903="","",TRIM(LEFT(B1903,IFERROR(FIND(" ",B1903)-1,LEN(B1903)))))</f>
        <v/>
      </c>
      <c r="W1903" s="22"/>
      <c r="X1903" s="5" t="str">
        <f aca="false">IF(A1903="","",IF(W1903&lt;&gt;"",W1903,V1903))</f>
        <v/>
      </c>
      <c r="Y1903" s="5" t="str">
        <f aca="false">IF(A1903="","",IF(COUNTIFS($X$2:$X$2001,X1903,$D$2:$D$2001,"&lt;&gt;"&amp;D1903,$C$2:$C$2001,C1903)&gt;0,"SIM","NAO"))</f>
        <v/>
      </c>
      <c r="Z1903" s="5" t="str">
        <f aca="false">IF(A1903="","",IF(J1903="","",IFERROR(360/J1903,"")))</f>
        <v/>
      </c>
      <c r="AA1903" s="5" t="str">
        <f aca="false">IF(A1903="","",IF(H1903=0,"Parado (sem venda 90d)",IF(Z1903&gt;12,"Alto (&gt;12x/ano)",IF(Z1903&gt;=4,"Medio (4-12x/ano)","Baixo (&lt;4x/ano)"))))</f>
        <v/>
      </c>
    </row>
    <row r="1904" customFormat="false" ht="15" hidden="false" customHeight="true" outlineLevel="0" collapsed="false">
      <c r="A1904" s="6"/>
      <c r="B1904" s="6"/>
      <c r="C1904" s="6"/>
      <c r="D1904" s="6"/>
      <c r="E1904" s="6"/>
      <c r="F1904" s="6"/>
      <c r="G1904" s="6"/>
      <c r="H1904" s="6"/>
      <c r="I1904" s="6"/>
      <c r="J1904" s="6"/>
      <c r="K1904" s="18"/>
      <c r="L1904" s="19" t="str">
        <f aca="false">IF(A1904="","",G1904*K1904)</f>
        <v/>
      </c>
      <c r="M1904" s="20"/>
      <c r="N1904" s="6"/>
      <c r="O1904" s="6"/>
      <c r="P1904" s="5" t="str">
        <f aca="false">IF(A1904="","",H1904/90)</f>
        <v/>
      </c>
      <c r="Q1904" s="5" t="str">
        <f aca="false">IF(A1904="","",IFERROR(INDEX(Parâmetros!$C$6:$C$10,MATCH(F1904,Parâmetros!$B$6:$B$10,0)),""))</f>
        <v/>
      </c>
      <c r="R1904" s="5" t="str">
        <f aca="false">IF(OR(A1904="",P1904="",Q1904=""),"",P1904*Q1904)</f>
        <v/>
      </c>
      <c r="S1904" s="5" t="str">
        <f aca="false">IF(R1904="","",MAX(0,R1904-G1904))</f>
        <v/>
      </c>
      <c r="T1904" s="21" t="str">
        <f aca="false">IF(S1904="","",S1904*K1904)</f>
        <v/>
      </c>
      <c r="U1904" s="5" t="str">
        <f aca="false">IF(A1904="","",IF(J1904&gt;Parâmetros!$C$14,"SIM","NAO"))</f>
        <v/>
      </c>
      <c r="V1904" s="5" t="str">
        <f aca="false">IF(B1904="","",TRIM(LEFT(B1904,IFERROR(FIND(" ",B1904)-1,LEN(B1904)))))</f>
        <v/>
      </c>
      <c r="W1904" s="22"/>
      <c r="X1904" s="5" t="str">
        <f aca="false">IF(A1904="","",IF(W1904&lt;&gt;"",W1904,V1904))</f>
        <v/>
      </c>
      <c r="Y1904" s="5" t="str">
        <f aca="false">IF(A1904="","",IF(COUNTIFS($X$2:$X$2001,X1904,$D$2:$D$2001,"&lt;&gt;"&amp;D1904,$C$2:$C$2001,C1904)&gt;0,"SIM","NAO"))</f>
        <v/>
      </c>
      <c r="Z1904" s="5" t="str">
        <f aca="false">IF(A1904="","",IF(J1904="","",IFERROR(360/J1904,"")))</f>
        <v/>
      </c>
      <c r="AA1904" s="5" t="str">
        <f aca="false">IF(A1904="","",IF(H1904=0,"Parado (sem venda 90d)",IF(Z1904&gt;12,"Alto (&gt;12x/ano)",IF(Z1904&gt;=4,"Medio (4-12x/ano)","Baixo (&lt;4x/ano)"))))</f>
        <v/>
      </c>
    </row>
    <row r="1905" customFormat="false" ht="15" hidden="false" customHeight="true" outlineLevel="0" collapsed="false">
      <c r="A1905" s="6"/>
      <c r="B1905" s="6"/>
      <c r="C1905" s="6"/>
      <c r="D1905" s="6"/>
      <c r="E1905" s="6"/>
      <c r="F1905" s="6"/>
      <c r="G1905" s="6"/>
      <c r="H1905" s="6"/>
      <c r="I1905" s="6"/>
      <c r="J1905" s="6"/>
      <c r="K1905" s="18"/>
      <c r="L1905" s="19" t="str">
        <f aca="false">IF(A1905="","",G1905*K1905)</f>
        <v/>
      </c>
      <c r="M1905" s="20"/>
      <c r="N1905" s="6"/>
      <c r="O1905" s="6"/>
      <c r="P1905" s="5" t="str">
        <f aca="false">IF(A1905="","",H1905/90)</f>
        <v/>
      </c>
      <c r="Q1905" s="5" t="str">
        <f aca="false">IF(A1905="","",IFERROR(INDEX(Parâmetros!$C$6:$C$10,MATCH(F1905,Parâmetros!$B$6:$B$10,0)),""))</f>
        <v/>
      </c>
      <c r="R1905" s="5" t="str">
        <f aca="false">IF(OR(A1905="",P1905="",Q1905=""),"",P1905*Q1905)</f>
        <v/>
      </c>
      <c r="S1905" s="5" t="str">
        <f aca="false">IF(R1905="","",MAX(0,R1905-G1905))</f>
        <v/>
      </c>
      <c r="T1905" s="21" t="str">
        <f aca="false">IF(S1905="","",S1905*K1905)</f>
        <v/>
      </c>
      <c r="U1905" s="5" t="str">
        <f aca="false">IF(A1905="","",IF(J1905&gt;Parâmetros!$C$14,"SIM","NAO"))</f>
        <v/>
      </c>
      <c r="V1905" s="5" t="str">
        <f aca="false">IF(B1905="","",TRIM(LEFT(B1905,IFERROR(FIND(" ",B1905)-1,LEN(B1905)))))</f>
        <v/>
      </c>
      <c r="W1905" s="22"/>
      <c r="X1905" s="5" t="str">
        <f aca="false">IF(A1905="","",IF(W1905&lt;&gt;"",W1905,V1905))</f>
        <v/>
      </c>
      <c r="Y1905" s="5" t="str">
        <f aca="false">IF(A1905="","",IF(COUNTIFS($X$2:$X$2001,X1905,$D$2:$D$2001,"&lt;&gt;"&amp;D1905,$C$2:$C$2001,C1905)&gt;0,"SIM","NAO"))</f>
        <v/>
      </c>
      <c r="Z1905" s="5" t="str">
        <f aca="false">IF(A1905="","",IF(J1905="","",IFERROR(360/J1905,"")))</f>
        <v/>
      </c>
      <c r="AA1905" s="5" t="str">
        <f aca="false">IF(A1905="","",IF(H1905=0,"Parado (sem venda 90d)",IF(Z1905&gt;12,"Alto (&gt;12x/ano)",IF(Z1905&gt;=4,"Medio (4-12x/ano)","Baixo (&lt;4x/ano)"))))</f>
        <v/>
      </c>
    </row>
    <row r="1906" customFormat="false" ht="15" hidden="false" customHeight="true" outlineLevel="0" collapsed="false">
      <c r="A1906" s="6"/>
      <c r="B1906" s="6"/>
      <c r="C1906" s="6"/>
      <c r="D1906" s="6"/>
      <c r="E1906" s="6"/>
      <c r="F1906" s="6"/>
      <c r="G1906" s="6"/>
      <c r="H1906" s="6"/>
      <c r="I1906" s="6"/>
      <c r="J1906" s="6"/>
      <c r="K1906" s="18"/>
      <c r="L1906" s="19" t="str">
        <f aca="false">IF(A1906="","",G1906*K1906)</f>
        <v/>
      </c>
      <c r="M1906" s="20"/>
      <c r="N1906" s="6"/>
      <c r="O1906" s="6"/>
      <c r="P1906" s="5" t="str">
        <f aca="false">IF(A1906="","",H1906/90)</f>
        <v/>
      </c>
      <c r="Q1906" s="5" t="str">
        <f aca="false">IF(A1906="","",IFERROR(INDEX(Parâmetros!$C$6:$C$10,MATCH(F1906,Parâmetros!$B$6:$B$10,0)),""))</f>
        <v/>
      </c>
      <c r="R1906" s="5" t="str">
        <f aca="false">IF(OR(A1906="",P1906="",Q1906=""),"",P1906*Q1906)</f>
        <v/>
      </c>
      <c r="S1906" s="5" t="str">
        <f aca="false">IF(R1906="","",MAX(0,R1906-G1906))</f>
        <v/>
      </c>
      <c r="T1906" s="21" t="str">
        <f aca="false">IF(S1906="","",S1906*K1906)</f>
        <v/>
      </c>
      <c r="U1906" s="5" t="str">
        <f aca="false">IF(A1906="","",IF(J1906&gt;Parâmetros!$C$14,"SIM","NAO"))</f>
        <v/>
      </c>
      <c r="V1906" s="5" t="str">
        <f aca="false">IF(B1906="","",TRIM(LEFT(B1906,IFERROR(FIND(" ",B1906)-1,LEN(B1906)))))</f>
        <v/>
      </c>
      <c r="W1906" s="22"/>
      <c r="X1906" s="5" t="str">
        <f aca="false">IF(A1906="","",IF(W1906&lt;&gt;"",W1906,V1906))</f>
        <v/>
      </c>
      <c r="Y1906" s="5" t="str">
        <f aca="false">IF(A1906="","",IF(COUNTIFS($X$2:$X$2001,X1906,$D$2:$D$2001,"&lt;&gt;"&amp;D1906,$C$2:$C$2001,C1906)&gt;0,"SIM","NAO"))</f>
        <v/>
      </c>
      <c r="Z1906" s="5" t="str">
        <f aca="false">IF(A1906="","",IF(J1906="","",IFERROR(360/J1906,"")))</f>
        <v/>
      </c>
      <c r="AA1906" s="5" t="str">
        <f aca="false">IF(A1906="","",IF(H1906=0,"Parado (sem venda 90d)",IF(Z1906&gt;12,"Alto (&gt;12x/ano)",IF(Z1906&gt;=4,"Medio (4-12x/ano)","Baixo (&lt;4x/ano)"))))</f>
        <v/>
      </c>
    </row>
    <row r="1907" customFormat="false" ht="15" hidden="false" customHeight="true" outlineLevel="0" collapsed="false">
      <c r="A1907" s="6"/>
      <c r="B1907" s="6"/>
      <c r="C1907" s="6"/>
      <c r="D1907" s="6"/>
      <c r="E1907" s="6"/>
      <c r="F1907" s="6"/>
      <c r="G1907" s="6"/>
      <c r="H1907" s="6"/>
      <c r="I1907" s="6"/>
      <c r="J1907" s="6"/>
      <c r="K1907" s="18"/>
      <c r="L1907" s="19" t="str">
        <f aca="false">IF(A1907="","",G1907*K1907)</f>
        <v/>
      </c>
      <c r="M1907" s="20"/>
      <c r="N1907" s="6"/>
      <c r="O1907" s="6"/>
      <c r="P1907" s="5" t="str">
        <f aca="false">IF(A1907="","",H1907/90)</f>
        <v/>
      </c>
      <c r="Q1907" s="5" t="str">
        <f aca="false">IF(A1907="","",IFERROR(INDEX(Parâmetros!$C$6:$C$10,MATCH(F1907,Parâmetros!$B$6:$B$10,0)),""))</f>
        <v/>
      </c>
      <c r="R1907" s="5" t="str">
        <f aca="false">IF(OR(A1907="",P1907="",Q1907=""),"",P1907*Q1907)</f>
        <v/>
      </c>
      <c r="S1907" s="5" t="str">
        <f aca="false">IF(R1907="","",MAX(0,R1907-G1907))</f>
        <v/>
      </c>
      <c r="T1907" s="21" t="str">
        <f aca="false">IF(S1907="","",S1907*K1907)</f>
        <v/>
      </c>
      <c r="U1907" s="5" t="str">
        <f aca="false">IF(A1907="","",IF(J1907&gt;Parâmetros!$C$14,"SIM","NAO"))</f>
        <v/>
      </c>
      <c r="V1907" s="5" t="str">
        <f aca="false">IF(B1907="","",TRIM(LEFT(B1907,IFERROR(FIND(" ",B1907)-1,LEN(B1907)))))</f>
        <v/>
      </c>
      <c r="W1907" s="22"/>
      <c r="X1907" s="5" t="str">
        <f aca="false">IF(A1907="","",IF(W1907&lt;&gt;"",W1907,V1907))</f>
        <v/>
      </c>
      <c r="Y1907" s="5" t="str">
        <f aca="false">IF(A1907="","",IF(COUNTIFS($X$2:$X$2001,X1907,$D$2:$D$2001,"&lt;&gt;"&amp;D1907,$C$2:$C$2001,C1907)&gt;0,"SIM","NAO"))</f>
        <v/>
      </c>
      <c r="Z1907" s="5" t="str">
        <f aca="false">IF(A1907="","",IF(J1907="","",IFERROR(360/J1907,"")))</f>
        <v/>
      </c>
      <c r="AA1907" s="5" t="str">
        <f aca="false">IF(A1907="","",IF(H1907=0,"Parado (sem venda 90d)",IF(Z1907&gt;12,"Alto (&gt;12x/ano)",IF(Z1907&gt;=4,"Medio (4-12x/ano)","Baixo (&lt;4x/ano)"))))</f>
        <v/>
      </c>
    </row>
    <row r="1908" customFormat="false" ht="15" hidden="false" customHeight="true" outlineLevel="0" collapsed="false">
      <c r="A1908" s="6"/>
      <c r="B1908" s="6"/>
      <c r="C1908" s="6"/>
      <c r="D1908" s="6"/>
      <c r="E1908" s="6"/>
      <c r="F1908" s="6"/>
      <c r="G1908" s="6"/>
      <c r="H1908" s="6"/>
      <c r="I1908" s="6"/>
      <c r="J1908" s="6"/>
      <c r="K1908" s="18"/>
      <c r="L1908" s="19" t="str">
        <f aca="false">IF(A1908="","",G1908*K1908)</f>
        <v/>
      </c>
      <c r="M1908" s="20"/>
      <c r="N1908" s="6"/>
      <c r="O1908" s="6"/>
      <c r="P1908" s="5" t="str">
        <f aca="false">IF(A1908="","",H1908/90)</f>
        <v/>
      </c>
      <c r="Q1908" s="5" t="str">
        <f aca="false">IF(A1908="","",IFERROR(INDEX(Parâmetros!$C$6:$C$10,MATCH(F1908,Parâmetros!$B$6:$B$10,0)),""))</f>
        <v/>
      </c>
      <c r="R1908" s="5" t="str">
        <f aca="false">IF(OR(A1908="",P1908="",Q1908=""),"",P1908*Q1908)</f>
        <v/>
      </c>
      <c r="S1908" s="5" t="str">
        <f aca="false">IF(R1908="","",MAX(0,R1908-G1908))</f>
        <v/>
      </c>
      <c r="T1908" s="21" t="str">
        <f aca="false">IF(S1908="","",S1908*K1908)</f>
        <v/>
      </c>
      <c r="U1908" s="5" t="str">
        <f aca="false">IF(A1908="","",IF(J1908&gt;Parâmetros!$C$14,"SIM","NAO"))</f>
        <v/>
      </c>
      <c r="V1908" s="5" t="str">
        <f aca="false">IF(B1908="","",TRIM(LEFT(B1908,IFERROR(FIND(" ",B1908)-1,LEN(B1908)))))</f>
        <v/>
      </c>
      <c r="W1908" s="22"/>
      <c r="X1908" s="5" t="str">
        <f aca="false">IF(A1908="","",IF(W1908&lt;&gt;"",W1908,V1908))</f>
        <v/>
      </c>
      <c r="Y1908" s="5" t="str">
        <f aca="false">IF(A1908="","",IF(COUNTIFS($X$2:$X$2001,X1908,$D$2:$D$2001,"&lt;&gt;"&amp;D1908,$C$2:$C$2001,C1908)&gt;0,"SIM","NAO"))</f>
        <v/>
      </c>
      <c r="Z1908" s="5" t="str">
        <f aca="false">IF(A1908="","",IF(J1908="","",IFERROR(360/J1908,"")))</f>
        <v/>
      </c>
      <c r="AA1908" s="5" t="str">
        <f aca="false">IF(A1908="","",IF(H1908=0,"Parado (sem venda 90d)",IF(Z1908&gt;12,"Alto (&gt;12x/ano)",IF(Z1908&gt;=4,"Medio (4-12x/ano)","Baixo (&lt;4x/ano)"))))</f>
        <v/>
      </c>
    </row>
    <row r="1909" customFormat="false" ht="15" hidden="false" customHeight="true" outlineLevel="0" collapsed="false">
      <c r="A1909" s="6"/>
      <c r="B1909" s="6"/>
      <c r="C1909" s="6"/>
      <c r="D1909" s="6"/>
      <c r="E1909" s="6"/>
      <c r="F1909" s="6"/>
      <c r="G1909" s="6"/>
      <c r="H1909" s="6"/>
      <c r="I1909" s="6"/>
      <c r="J1909" s="6"/>
      <c r="K1909" s="18"/>
      <c r="L1909" s="19" t="str">
        <f aca="false">IF(A1909="","",G1909*K1909)</f>
        <v/>
      </c>
      <c r="M1909" s="20"/>
      <c r="N1909" s="6"/>
      <c r="O1909" s="6"/>
      <c r="P1909" s="5" t="str">
        <f aca="false">IF(A1909="","",H1909/90)</f>
        <v/>
      </c>
      <c r="Q1909" s="5" t="str">
        <f aca="false">IF(A1909="","",IFERROR(INDEX(Parâmetros!$C$6:$C$10,MATCH(F1909,Parâmetros!$B$6:$B$10,0)),""))</f>
        <v/>
      </c>
      <c r="R1909" s="5" t="str">
        <f aca="false">IF(OR(A1909="",P1909="",Q1909=""),"",P1909*Q1909)</f>
        <v/>
      </c>
      <c r="S1909" s="5" t="str">
        <f aca="false">IF(R1909="","",MAX(0,R1909-G1909))</f>
        <v/>
      </c>
      <c r="T1909" s="21" t="str">
        <f aca="false">IF(S1909="","",S1909*K1909)</f>
        <v/>
      </c>
      <c r="U1909" s="5" t="str">
        <f aca="false">IF(A1909="","",IF(J1909&gt;Parâmetros!$C$14,"SIM","NAO"))</f>
        <v/>
      </c>
      <c r="V1909" s="5" t="str">
        <f aca="false">IF(B1909="","",TRIM(LEFT(B1909,IFERROR(FIND(" ",B1909)-1,LEN(B1909)))))</f>
        <v/>
      </c>
      <c r="W1909" s="22"/>
      <c r="X1909" s="5" t="str">
        <f aca="false">IF(A1909="","",IF(W1909&lt;&gt;"",W1909,V1909))</f>
        <v/>
      </c>
      <c r="Y1909" s="5" t="str">
        <f aca="false">IF(A1909="","",IF(COUNTIFS($X$2:$X$2001,X1909,$D$2:$D$2001,"&lt;&gt;"&amp;D1909,$C$2:$C$2001,C1909)&gt;0,"SIM","NAO"))</f>
        <v/>
      </c>
      <c r="Z1909" s="5" t="str">
        <f aca="false">IF(A1909="","",IF(J1909="","",IFERROR(360/J1909,"")))</f>
        <v/>
      </c>
      <c r="AA1909" s="5" t="str">
        <f aca="false">IF(A1909="","",IF(H1909=0,"Parado (sem venda 90d)",IF(Z1909&gt;12,"Alto (&gt;12x/ano)",IF(Z1909&gt;=4,"Medio (4-12x/ano)","Baixo (&lt;4x/ano)"))))</f>
        <v/>
      </c>
    </row>
    <row r="1910" customFormat="false" ht="15" hidden="false" customHeight="true" outlineLevel="0" collapsed="false">
      <c r="A1910" s="6"/>
      <c r="B1910" s="6"/>
      <c r="C1910" s="6"/>
      <c r="D1910" s="6"/>
      <c r="E1910" s="6"/>
      <c r="F1910" s="6"/>
      <c r="G1910" s="6"/>
      <c r="H1910" s="6"/>
      <c r="I1910" s="6"/>
      <c r="J1910" s="6"/>
      <c r="K1910" s="18"/>
      <c r="L1910" s="19" t="str">
        <f aca="false">IF(A1910="","",G1910*K1910)</f>
        <v/>
      </c>
      <c r="M1910" s="20"/>
      <c r="N1910" s="6"/>
      <c r="O1910" s="6"/>
      <c r="P1910" s="5" t="str">
        <f aca="false">IF(A1910="","",H1910/90)</f>
        <v/>
      </c>
      <c r="Q1910" s="5" t="str">
        <f aca="false">IF(A1910="","",IFERROR(INDEX(Parâmetros!$C$6:$C$10,MATCH(F1910,Parâmetros!$B$6:$B$10,0)),""))</f>
        <v/>
      </c>
      <c r="R1910" s="5" t="str">
        <f aca="false">IF(OR(A1910="",P1910="",Q1910=""),"",P1910*Q1910)</f>
        <v/>
      </c>
      <c r="S1910" s="5" t="str">
        <f aca="false">IF(R1910="","",MAX(0,R1910-G1910))</f>
        <v/>
      </c>
      <c r="T1910" s="21" t="str">
        <f aca="false">IF(S1910="","",S1910*K1910)</f>
        <v/>
      </c>
      <c r="U1910" s="5" t="str">
        <f aca="false">IF(A1910="","",IF(J1910&gt;Parâmetros!$C$14,"SIM","NAO"))</f>
        <v/>
      </c>
      <c r="V1910" s="5" t="str">
        <f aca="false">IF(B1910="","",TRIM(LEFT(B1910,IFERROR(FIND(" ",B1910)-1,LEN(B1910)))))</f>
        <v/>
      </c>
      <c r="W1910" s="22"/>
      <c r="X1910" s="5" t="str">
        <f aca="false">IF(A1910="","",IF(W1910&lt;&gt;"",W1910,V1910))</f>
        <v/>
      </c>
      <c r="Y1910" s="5" t="str">
        <f aca="false">IF(A1910="","",IF(COUNTIFS($X$2:$X$2001,X1910,$D$2:$D$2001,"&lt;&gt;"&amp;D1910,$C$2:$C$2001,C1910)&gt;0,"SIM","NAO"))</f>
        <v/>
      </c>
      <c r="Z1910" s="5" t="str">
        <f aca="false">IF(A1910="","",IF(J1910="","",IFERROR(360/J1910,"")))</f>
        <v/>
      </c>
      <c r="AA1910" s="5" t="str">
        <f aca="false">IF(A1910="","",IF(H1910=0,"Parado (sem venda 90d)",IF(Z1910&gt;12,"Alto (&gt;12x/ano)",IF(Z1910&gt;=4,"Medio (4-12x/ano)","Baixo (&lt;4x/ano)"))))</f>
        <v/>
      </c>
    </row>
    <row r="1911" customFormat="false" ht="15" hidden="false" customHeight="true" outlineLevel="0" collapsed="false">
      <c r="A1911" s="6"/>
      <c r="B1911" s="6"/>
      <c r="C1911" s="6"/>
      <c r="D1911" s="6"/>
      <c r="E1911" s="6"/>
      <c r="F1911" s="6"/>
      <c r="G1911" s="6"/>
      <c r="H1911" s="6"/>
      <c r="I1911" s="6"/>
      <c r="J1911" s="6"/>
      <c r="K1911" s="18"/>
      <c r="L1911" s="19" t="str">
        <f aca="false">IF(A1911="","",G1911*K1911)</f>
        <v/>
      </c>
      <c r="M1911" s="20"/>
      <c r="N1911" s="6"/>
      <c r="O1911" s="6"/>
      <c r="P1911" s="5" t="str">
        <f aca="false">IF(A1911="","",H1911/90)</f>
        <v/>
      </c>
      <c r="Q1911" s="5" t="str">
        <f aca="false">IF(A1911="","",IFERROR(INDEX(Parâmetros!$C$6:$C$10,MATCH(F1911,Parâmetros!$B$6:$B$10,0)),""))</f>
        <v/>
      </c>
      <c r="R1911" s="5" t="str">
        <f aca="false">IF(OR(A1911="",P1911="",Q1911=""),"",P1911*Q1911)</f>
        <v/>
      </c>
      <c r="S1911" s="5" t="str">
        <f aca="false">IF(R1911="","",MAX(0,R1911-G1911))</f>
        <v/>
      </c>
      <c r="T1911" s="21" t="str">
        <f aca="false">IF(S1911="","",S1911*K1911)</f>
        <v/>
      </c>
      <c r="U1911" s="5" t="str">
        <f aca="false">IF(A1911="","",IF(J1911&gt;Parâmetros!$C$14,"SIM","NAO"))</f>
        <v/>
      </c>
      <c r="V1911" s="5" t="str">
        <f aca="false">IF(B1911="","",TRIM(LEFT(B1911,IFERROR(FIND(" ",B1911)-1,LEN(B1911)))))</f>
        <v/>
      </c>
      <c r="W1911" s="22"/>
      <c r="X1911" s="5" t="str">
        <f aca="false">IF(A1911="","",IF(W1911&lt;&gt;"",W1911,V1911))</f>
        <v/>
      </c>
      <c r="Y1911" s="5" t="str">
        <f aca="false">IF(A1911="","",IF(COUNTIFS($X$2:$X$2001,X1911,$D$2:$D$2001,"&lt;&gt;"&amp;D1911,$C$2:$C$2001,C1911)&gt;0,"SIM","NAO"))</f>
        <v/>
      </c>
      <c r="Z1911" s="5" t="str">
        <f aca="false">IF(A1911="","",IF(J1911="","",IFERROR(360/J1911,"")))</f>
        <v/>
      </c>
      <c r="AA1911" s="5" t="str">
        <f aca="false">IF(A1911="","",IF(H1911=0,"Parado (sem venda 90d)",IF(Z1911&gt;12,"Alto (&gt;12x/ano)",IF(Z1911&gt;=4,"Medio (4-12x/ano)","Baixo (&lt;4x/ano)"))))</f>
        <v/>
      </c>
    </row>
    <row r="1912" customFormat="false" ht="15" hidden="false" customHeight="true" outlineLevel="0" collapsed="false">
      <c r="A1912" s="6"/>
      <c r="B1912" s="6"/>
      <c r="C1912" s="6"/>
      <c r="D1912" s="6"/>
      <c r="E1912" s="6"/>
      <c r="F1912" s="6"/>
      <c r="G1912" s="6"/>
      <c r="H1912" s="6"/>
      <c r="I1912" s="6"/>
      <c r="J1912" s="6"/>
      <c r="K1912" s="18"/>
      <c r="L1912" s="19" t="str">
        <f aca="false">IF(A1912="","",G1912*K1912)</f>
        <v/>
      </c>
      <c r="M1912" s="20"/>
      <c r="N1912" s="6"/>
      <c r="O1912" s="6"/>
      <c r="P1912" s="5" t="str">
        <f aca="false">IF(A1912="","",H1912/90)</f>
        <v/>
      </c>
      <c r="Q1912" s="5" t="str">
        <f aca="false">IF(A1912="","",IFERROR(INDEX(Parâmetros!$C$6:$C$10,MATCH(F1912,Parâmetros!$B$6:$B$10,0)),""))</f>
        <v/>
      </c>
      <c r="R1912" s="5" t="str">
        <f aca="false">IF(OR(A1912="",P1912="",Q1912=""),"",P1912*Q1912)</f>
        <v/>
      </c>
      <c r="S1912" s="5" t="str">
        <f aca="false">IF(R1912="","",MAX(0,R1912-G1912))</f>
        <v/>
      </c>
      <c r="T1912" s="21" t="str">
        <f aca="false">IF(S1912="","",S1912*K1912)</f>
        <v/>
      </c>
      <c r="U1912" s="5" t="str">
        <f aca="false">IF(A1912="","",IF(J1912&gt;Parâmetros!$C$14,"SIM","NAO"))</f>
        <v/>
      </c>
      <c r="V1912" s="5" t="str">
        <f aca="false">IF(B1912="","",TRIM(LEFT(B1912,IFERROR(FIND(" ",B1912)-1,LEN(B1912)))))</f>
        <v/>
      </c>
      <c r="W1912" s="22"/>
      <c r="X1912" s="5" t="str">
        <f aca="false">IF(A1912="","",IF(W1912&lt;&gt;"",W1912,V1912))</f>
        <v/>
      </c>
      <c r="Y1912" s="5" t="str">
        <f aca="false">IF(A1912="","",IF(COUNTIFS($X$2:$X$2001,X1912,$D$2:$D$2001,"&lt;&gt;"&amp;D1912,$C$2:$C$2001,C1912)&gt;0,"SIM","NAO"))</f>
        <v/>
      </c>
      <c r="Z1912" s="5" t="str">
        <f aca="false">IF(A1912="","",IF(J1912="","",IFERROR(360/J1912,"")))</f>
        <v/>
      </c>
      <c r="AA1912" s="5" t="str">
        <f aca="false">IF(A1912="","",IF(H1912=0,"Parado (sem venda 90d)",IF(Z1912&gt;12,"Alto (&gt;12x/ano)",IF(Z1912&gt;=4,"Medio (4-12x/ano)","Baixo (&lt;4x/ano)"))))</f>
        <v/>
      </c>
    </row>
    <row r="1913" customFormat="false" ht="15" hidden="false" customHeight="true" outlineLevel="0" collapsed="false">
      <c r="A1913" s="6"/>
      <c r="B1913" s="6"/>
      <c r="C1913" s="6"/>
      <c r="D1913" s="6"/>
      <c r="E1913" s="6"/>
      <c r="F1913" s="6"/>
      <c r="G1913" s="6"/>
      <c r="H1913" s="6"/>
      <c r="I1913" s="6"/>
      <c r="J1913" s="6"/>
      <c r="K1913" s="18"/>
      <c r="L1913" s="19" t="str">
        <f aca="false">IF(A1913="","",G1913*K1913)</f>
        <v/>
      </c>
      <c r="M1913" s="20"/>
      <c r="N1913" s="6"/>
      <c r="O1913" s="6"/>
      <c r="P1913" s="5" t="str">
        <f aca="false">IF(A1913="","",H1913/90)</f>
        <v/>
      </c>
      <c r="Q1913" s="5" t="str">
        <f aca="false">IF(A1913="","",IFERROR(INDEX(Parâmetros!$C$6:$C$10,MATCH(F1913,Parâmetros!$B$6:$B$10,0)),""))</f>
        <v/>
      </c>
      <c r="R1913" s="5" t="str">
        <f aca="false">IF(OR(A1913="",P1913="",Q1913=""),"",P1913*Q1913)</f>
        <v/>
      </c>
      <c r="S1913" s="5" t="str">
        <f aca="false">IF(R1913="","",MAX(0,R1913-G1913))</f>
        <v/>
      </c>
      <c r="T1913" s="21" t="str">
        <f aca="false">IF(S1913="","",S1913*K1913)</f>
        <v/>
      </c>
      <c r="U1913" s="5" t="str">
        <f aca="false">IF(A1913="","",IF(J1913&gt;Parâmetros!$C$14,"SIM","NAO"))</f>
        <v/>
      </c>
      <c r="V1913" s="5" t="str">
        <f aca="false">IF(B1913="","",TRIM(LEFT(B1913,IFERROR(FIND(" ",B1913)-1,LEN(B1913)))))</f>
        <v/>
      </c>
      <c r="W1913" s="22"/>
      <c r="X1913" s="5" t="str">
        <f aca="false">IF(A1913="","",IF(W1913&lt;&gt;"",W1913,V1913))</f>
        <v/>
      </c>
      <c r="Y1913" s="5" t="str">
        <f aca="false">IF(A1913="","",IF(COUNTIFS($X$2:$X$2001,X1913,$D$2:$D$2001,"&lt;&gt;"&amp;D1913,$C$2:$C$2001,C1913)&gt;0,"SIM","NAO"))</f>
        <v/>
      </c>
      <c r="Z1913" s="5" t="str">
        <f aca="false">IF(A1913="","",IF(J1913="","",IFERROR(360/J1913,"")))</f>
        <v/>
      </c>
      <c r="AA1913" s="5" t="str">
        <f aca="false">IF(A1913="","",IF(H1913=0,"Parado (sem venda 90d)",IF(Z1913&gt;12,"Alto (&gt;12x/ano)",IF(Z1913&gt;=4,"Medio (4-12x/ano)","Baixo (&lt;4x/ano)"))))</f>
        <v/>
      </c>
    </row>
    <row r="1914" customFormat="false" ht="15" hidden="false" customHeight="true" outlineLevel="0" collapsed="false">
      <c r="A1914" s="6"/>
      <c r="B1914" s="6"/>
      <c r="C1914" s="6"/>
      <c r="D1914" s="6"/>
      <c r="E1914" s="6"/>
      <c r="F1914" s="6"/>
      <c r="G1914" s="6"/>
      <c r="H1914" s="6"/>
      <c r="I1914" s="6"/>
      <c r="J1914" s="6"/>
      <c r="K1914" s="18"/>
      <c r="L1914" s="19" t="str">
        <f aca="false">IF(A1914="","",G1914*K1914)</f>
        <v/>
      </c>
      <c r="M1914" s="20"/>
      <c r="N1914" s="6"/>
      <c r="O1914" s="6"/>
      <c r="P1914" s="5" t="str">
        <f aca="false">IF(A1914="","",H1914/90)</f>
        <v/>
      </c>
      <c r="Q1914" s="5" t="str">
        <f aca="false">IF(A1914="","",IFERROR(INDEX(Parâmetros!$C$6:$C$10,MATCH(F1914,Parâmetros!$B$6:$B$10,0)),""))</f>
        <v/>
      </c>
      <c r="R1914" s="5" t="str">
        <f aca="false">IF(OR(A1914="",P1914="",Q1914=""),"",P1914*Q1914)</f>
        <v/>
      </c>
      <c r="S1914" s="5" t="str">
        <f aca="false">IF(R1914="","",MAX(0,R1914-G1914))</f>
        <v/>
      </c>
      <c r="T1914" s="21" t="str">
        <f aca="false">IF(S1914="","",S1914*K1914)</f>
        <v/>
      </c>
      <c r="U1914" s="5" t="str">
        <f aca="false">IF(A1914="","",IF(J1914&gt;Parâmetros!$C$14,"SIM","NAO"))</f>
        <v/>
      </c>
      <c r="V1914" s="5" t="str">
        <f aca="false">IF(B1914="","",TRIM(LEFT(B1914,IFERROR(FIND(" ",B1914)-1,LEN(B1914)))))</f>
        <v/>
      </c>
      <c r="W1914" s="22"/>
      <c r="X1914" s="5" t="str">
        <f aca="false">IF(A1914="","",IF(W1914&lt;&gt;"",W1914,V1914))</f>
        <v/>
      </c>
      <c r="Y1914" s="5" t="str">
        <f aca="false">IF(A1914="","",IF(COUNTIFS($X$2:$X$2001,X1914,$D$2:$D$2001,"&lt;&gt;"&amp;D1914,$C$2:$C$2001,C1914)&gt;0,"SIM","NAO"))</f>
        <v/>
      </c>
      <c r="Z1914" s="5" t="str">
        <f aca="false">IF(A1914="","",IF(J1914="","",IFERROR(360/J1914,"")))</f>
        <v/>
      </c>
      <c r="AA1914" s="5" t="str">
        <f aca="false">IF(A1914="","",IF(H1914=0,"Parado (sem venda 90d)",IF(Z1914&gt;12,"Alto (&gt;12x/ano)",IF(Z1914&gt;=4,"Medio (4-12x/ano)","Baixo (&lt;4x/ano)"))))</f>
        <v/>
      </c>
    </row>
    <row r="1915" customFormat="false" ht="15" hidden="false" customHeight="true" outlineLevel="0" collapsed="false">
      <c r="A1915" s="6"/>
      <c r="B1915" s="6"/>
      <c r="C1915" s="6"/>
      <c r="D1915" s="6"/>
      <c r="E1915" s="6"/>
      <c r="F1915" s="6"/>
      <c r="G1915" s="6"/>
      <c r="H1915" s="6"/>
      <c r="I1915" s="6"/>
      <c r="J1915" s="6"/>
      <c r="K1915" s="18"/>
      <c r="L1915" s="19" t="str">
        <f aca="false">IF(A1915="","",G1915*K1915)</f>
        <v/>
      </c>
      <c r="M1915" s="20"/>
      <c r="N1915" s="6"/>
      <c r="O1915" s="6"/>
      <c r="P1915" s="5" t="str">
        <f aca="false">IF(A1915="","",H1915/90)</f>
        <v/>
      </c>
      <c r="Q1915" s="5" t="str">
        <f aca="false">IF(A1915="","",IFERROR(INDEX(Parâmetros!$C$6:$C$10,MATCH(F1915,Parâmetros!$B$6:$B$10,0)),""))</f>
        <v/>
      </c>
      <c r="R1915" s="5" t="str">
        <f aca="false">IF(OR(A1915="",P1915="",Q1915=""),"",P1915*Q1915)</f>
        <v/>
      </c>
      <c r="S1915" s="5" t="str">
        <f aca="false">IF(R1915="","",MAX(0,R1915-G1915))</f>
        <v/>
      </c>
      <c r="T1915" s="21" t="str">
        <f aca="false">IF(S1915="","",S1915*K1915)</f>
        <v/>
      </c>
      <c r="U1915" s="5" t="str">
        <f aca="false">IF(A1915="","",IF(J1915&gt;Parâmetros!$C$14,"SIM","NAO"))</f>
        <v/>
      </c>
      <c r="V1915" s="5" t="str">
        <f aca="false">IF(B1915="","",TRIM(LEFT(B1915,IFERROR(FIND(" ",B1915)-1,LEN(B1915)))))</f>
        <v/>
      </c>
      <c r="W1915" s="22"/>
      <c r="X1915" s="5" t="str">
        <f aca="false">IF(A1915="","",IF(W1915&lt;&gt;"",W1915,V1915))</f>
        <v/>
      </c>
      <c r="Y1915" s="5" t="str">
        <f aca="false">IF(A1915="","",IF(COUNTIFS($X$2:$X$2001,X1915,$D$2:$D$2001,"&lt;&gt;"&amp;D1915,$C$2:$C$2001,C1915)&gt;0,"SIM","NAO"))</f>
        <v/>
      </c>
      <c r="Z1915" s="5" t="str">
        <f aca="false">IF(A1915="","",IF(J1915="","",IFERROR(360/J1915,"")))</f>
        <v/>
      </c>
      <c r="AA1915" s="5" t="str">
        <f aca="false">IF(A1915="","",IF(H1915=0,"Parado (sem venda 90d)",IF(Z1915&gt;12,"Alto (&gt;12x/ano)",IF(Z1915&gt;=4,"Medio (4-12x/ano)","Baixo (&lt;4x/ano)"))))</f>
        <v/>
      </c>
    </row>
    <row r="1916" customFormat="false" ht="15" hidden="false" customHeight="true" outlineLevel="0" collapsed="false">
      <c r="A1916" s="6"/>
      <c r="B1916" s="6"/>
      <c r="C1916" s="6"/>
      <c r="D1916" s="6"/>
      <c r="E1916" s="6"/>
      <c r="F1916" s="6"/>
      <c r="G1916" s="6"/>
      <c r="H1916" s="6"/>
      <c r="I1916" s="6"/>
      <c r="J1916" s="6"/>
      <c r="K1916" s="18"/>
      <c r="L1916" s="19" t="str">
        <f aca="false">IF(A1916="","",G1916*K1916)</f>
        <v/>
      </c>
      <c r="M1916" s="20"/>
      <c r="N1916" s="6"/>
      <c r="O1916" s="6"/>
      <c r="P1916" s="5" t="str">
        <f aca="false">IF(A1916="","",H1916/90)</f>
        <v/>
      </c>
      <c r="Q1916" s="5" t="str">
        <f aca="false">IF(A1916="","",IFERROR(INDEX(Parâmetros!$C$6:$C$10,MATCH(F1916,Parâmetros!$B$6:$B$10,0)),""))</f>
        <v/>
      </c>
      <c r="R1916" s="5" t="str">
        <f aca="false">IF(OR(A1916="",P1916="",Q1916=""),"",P1916*Q1916)</f>
        <v/>
      </c>
      <c r="S1916" s="5" t="str">
        <f aca="false">IF(R1916="","",MAX(0,R1916-G1916))</f>
        <v/>
      </c>
      <c r="T1916" s="21" t="str">
        <f aca="false">IF(S1916="","",S1916*K1916)</f>
        <v/>
      </c>
      <c r="U1916" s="5" t="str">
        <f aca="false">IF(A1916="","",IF(J1916&gt;Parâmetros!$C$14,"SIM","NAO"))</f>
        <v/>
      </c>
      <c r="V1916" s="5" t="str">
        <f aca="false">IF(B1916="","",TRIM(LEFT(B1916,IFERROR(FIND(" ",B1916)-1,LEN(B1916)))))</f>
        <v/>
      </c>
      <c r="W1916" s="22"/>
      <c r="X1916" s="5" t="str">
        <f aca="false">IF(A1916="","",IF(W1916&lt;&gt;"",W1916,V1916))</f>
        <v/>
      </c>
      <c r="Y1916" s="5" t="str">
        <f aca="false">IF(A1916="","",IF(COUNTIFS($X$2:$X$2001,X1916,$D$2:$D$2001,"&lt;&gt;"&amp;D1916,$C$2:$C$2001,C1916)&gt;0,"SIM","NAO"))</f>
        <v/>
      </c>
      <c r="Z1916" s="5" t="str">
        <f aca="false">IF(A1916="","",IF(J1916="","",IFERROR(360/J1916,"")))</f>
        <v/>
      </c>
      <c r="AA1916" s="5" t="str">
        <f aca="false">IF(A1916="","",IF(H1916=0,"Parado (sem venda 90d)",IF(Z1916&gt;12,"Alto (&gt;12x/ano)",IF(Z1916&gt;=4,"Medio (4-12x/ano)","Baixo (&lt;4x/ano)"))))</f>
        <v/>
      </c>
    </row>
    <row r="1917" customFormat="false" ht="15" hidden="false" customHeight="true" outlineLevel="0" collapsed="false">
      <c r="A1917" s="6"/>
      <c r="B1917" s="6"/>
      <c r="C1917" s="6"/>
      <c r="D1917" s="6"/>
      <c r="E1917" s="6"/>
      <c r="F1917" s="6"/>
      <c r="G1917" s="6"/>
      <c r="H1917" s="6"/>
      <c r="I1917" s="6"/>
      <c r="J1917" s="6"/>
      <c r="K1917" s="18"/>
      <c r="L1917" s="19" t="str">
        <f aca="false">IF(A1917="","",G1917*K1917)</f>
        <v/>
      </c>
      <c r="M1917" s="20"/>
      <c r="N1917" s="6"/>
      <c r="O1917" s="6"/>
      <c r="P1917" s="5" t="str">
        <f aca="false">IF(A1917="","",H1917/90)</f>
        <v/>
      </c>
      <c r="Q1917" s="5" t="str">
        <f aca="false">IF(A1917="","",IFERROR(INDEX(Parâmetros!$C$6:$C$10,MATCH(F1917,Parâmetros!$B$6:$B$10,0)),""))</f>
        <v/>
      </c>
      <c r="R1917" s="5" t="str">
        <f aca="false">IF(OR(A1917="",P1917="",Q1917=""),"",P1917*Q1917)</f>
        <v/>
      </c>
      <c r="S1917" s="5" t="str">
        <f aca="false">IF(R1917="","",MAX(0,R1917-G1917))</f>
        <v/>
      </c>
      <c r="T1917" s="21" t="str">
        <f aca="false">IF(S1917="","",S1917*K1917)</f>
        <v/>
      </c>
      <c r="U1917" s="5" t="str">
        <f aca="false">IF(A1917="","",IF(J1917&gt;Parâmetros!$C$14,"SIM","NAO"))</f>
        <v/>
      </c>
      <c r="V1917" s="5" t="str">
        <f aca="false">IF(B1917="","",TRIM(LEFT(B1917,IFERROR(FIND(" ",B1917)-1,LEN(B1917)))))</f>
        <v/>
      </c>
      <c r="W1917" s="22"/>
      <c r="X1917" s="5" t="str">
        <f aca="false">IF(A1917="","",IF(W1917&lt;&gt;"",W1917,V1917))</f>
        <v/>
      </c>
      <c r="Y1917" s="5" t="str">
        <f aca="false">IF(A1917="","",IF(COUNTIFS($X$2:$X$2001,X1917,$D$2:$D$2001,"&lt;&gt;"&amp;D1917,$C$2:$C$2001,C1917)&gt;0,"SIM","NAO"))</f>
        <v/>
      </c>
      <c r="Z1917" s="5" t="str">
        <f aca="false">IF(A1917="","",IF(J1917="","",IFERROR(360/J1917,"")))</f>
        <v/>
      </c>
      <c r="AA1917" s="5" t="str">
        <f aca="false">IF(A1917="","",IF(H1917=0,"Parado (sem venda 90d)",IF(Z1917&gt;12,"Alto (&gt;12x/ano)",IF(Z1917&gt;=4,"Medio (4-12x/ano)","Baixo (&lt;4x/ano)"))))</f>
        <v/>
      </c>
    </row>
    <row r="1918" customFormat="false" ht="15" hidden="false" customHeight="true" outlineLevel="0" collapsed="false">
      <c r="A1918" s="6"/>
      <c r="B1918" s="6"/>
      <c r="C1918" s="6"/>
      <c r="D1918" s="6"/>
      <c r="E1918" s="6"/>
      <c r="F1918" s="6"/>
      <c r="G1918" s="6"/>
      <c r="H1918" s="6"/>
      <c r="I1918" s="6"/>
      <c r="J1918" s="6"/>
      <c r="K1918" s="18"/>
      <c r="L1918" s="19" t="str">
        <f aca="false">IF(A1918="","",G1918*K1918)</f>
        <v/>
      </c>
      <c r="M1918" s="20"/>
      <c r="N1918" s="6"/>
      <c r="O1918" s="6"/>
      <c r="P1918" s="5" t="str">
        <f aca="false">IF(A1918="","",H1918/90)</f>
        <v/>
      </c>
      <c r="Q1918" s="5" t="str">
        <f aca="false">IF(A1918="","",IFERROR(INDEX(Parâmetros!$C$6:$C$10,MATCH(F1918,Parâmetros!$B$6:$B$10,0)),""))</f>
        <v/>
      </c>
      <c r="R1918" s="5" t="str">
        <f aca="false">IF(OR(A1918="",P1918="",Q1918=""),"",P1918*Q1918)</f>
        <v/>
      </c>
      <c r="S1918" s="5" t="str">
        <f aca="false">IF(R1918="","",MAX(0,R1918-G1918))</f>
        <v/>
      </c>
      <c r="T1918" s="21" t="str">
        <f aca="false">IF(S1918="","",S1918*K1918)</f>
        <v/>
      </c>
      <c r="U1918" s="5" t="str">
        <f aca="false">IF(A1918="","",IF(J1918&gt;Parâmetros!$C$14,"SIM","NAO"))</f>
        <v/>
      </c>
      <c r="V1918" s="5" t="str">
        <f aca="false">IF(B1918="","",TRIM(LEFT(B1918,IFERROR(FIND(" ",B1918)-1,LEN(B1918)))))</f>
        <v/>
      </c>
      <c r="W1918" s="22"/>
      <c r="X1918" s="5" t="str">
        <f aca="false">IF(A1918="","",IF(W1918&lt;&gt;"",W1918,V1918))</f>
        <v/>
      </c>
      <c r="Y1918" s="5" t="str">
        <f aca="false">IF(A1918="","",IF(COUNTIFS($X$2:$X$2001,X1918,$D$2:$D$2001,"&lt;&gt;"&amp;D1918,$C$2:$C$2001,C1918)&gt;0,"SIM","NAO"))</f>
        <v/>
      </c>
      <c r="Z1918" s="5" t="str">
        <f aca="false">IF(A1918="","",IF(J1918="","",IFERROR(360/J1918,"")))</f>
        <v/>
      </c>
      <c r="AA1918" s="5" t="str">
        <f aca="false">IF(A1918="","",IF(H1918=0,"Parado (sem venda 90d)",IF(Z1918&gt;12,"Alto (&gt;12x/ano)",IF(Z1918&gt;=4,"Medio (4-12x/ano)","Baixo (&lt;4x/ano)"))))</f>
        <v/>
      </c>
    </row>
    <row r="1919" customFormat="false" ht="15" hidden="false" customHeight="true" outlineLevel="0" collapsed="false">
      <c r="A1919" s="6"/>
      <c r="B1919" s="6"/>
      <c r="C1919" s="6"/>
      <c r="D1919" s="6"/>
      <c r="E1919" s="6"/>
      <c r="F1919" s="6"/>
      <c r="G1919" s="6"/>
      <c r="H1919" s="6"/>
      <c r="I1919" s="6"/>
      <c r="J1919" s="6"/>
      <c r="K1919" s="18"/>
      <c r="L1919" s="19" t="str">
        <f aca="false">IF(A1919="","",G1919*K1919)</f>
        <v/>
      </c>
      <c r="M1919" s="20"/>
      <c r="N1919" s="6"/>
      <c r="O1919" s="6"/>
      <c r="P1919" s="5" t="str">
        <f aca="false">IF(A1919="","",H1919/90)</f>
        <v/>
      </c>
      <c r="Q1919" s="5" t="str">
        <f aca="false">IF(A1919="","",IFERROR(INDEX(Parâmetros!$C$6:$C$10,MATCH(F1919,Parâmetros!$B$6:$B$10,0)),""))</f>
        <v/>
      </c>
      <c r="R1919" s="5" t="str">
        <f aca="false">IF(OR(A1919="",P1919="",Q1919=""),"",P1919*Q1919)</f>
        <v/>
      </c>
      <c r="S1919" s="5" t="str">
        <f aca="false">IF(R1919="","",MAX(0,R1919-G1919))</f>
        <v/>
      </c>
      <c r="T1919" s="21" t="str">
        <f aca="false">IF(S1919="","",S1919*K1919)</f>
        <v/>
      </c>
      <c r="U1919" s="5" t="str">
        <f aca="false">IF(A1919="","",IF(J1919&gt;Parâmetros!$C$14,"SIM","NAO"))</f>
        <v/>
      </c>
      <c r="V1919" s="5" t="str">
        <f aca="false">IF(B1919="","",TRIM(LEFT(B1919,IFERROR(FIND(" ",B1919)-1,LEN(B1919)))))</f>
        <v/>
      </c>
      <c r="W1919" s="22"/>
      <c r="X1919" s="5" t="str">
        <f aca="false">IF(A1919="","",IF(W1919&lt;&gt;"",W1919,V1919))</f>
        <v/>
      </c>
      <c r="Y1919" s="5" t="str">
        <f aca="false">IF(A1919="","",IF(COUNTIFS($X$2:$X$2001,X1919,$D$2:$D$2001,"&lt;&gt;"&amp;D1919,$C$2:$C$2001,C1919)&gt;0,"SIM","NAO"))</f>
        <v/>
      </c>
      <c r="Z1919" s="5" t="str">
        <f aca="false">IF(A1919="","",IF(J1919="","",IFERROR(360/J1919,"")))</f>
        <v/>
      </c>
      <c r="AA1919" s="5" t="str">
        <f aca="false">IF(A1919="","",IF(H1919=0,"Parado (sem venda 90d)",IF(Z1919&gt;12,"Alto (&gt;12x/ano)",IF(Z1919&gt;=4,"Medio (4-12x/ano)","Baixo (&lt;4x/ano)"))))</f>
        <v/>
      </c>
    </row>
    <row r="1920" customFormat="false" ht="15" hidden="false" customHeight="true" outlineLevel="0" collapsed="false">
      <c r="A1920" s="6"/>
      <c r="B1920" s="6"/>
      <c r="C1920" s="6"/>
      <c r="D1920" s="6"/>
      <c r="E1920" s="6"/>
      <c r="F1920" s="6"/>
      <c r="G1920" s="6"/>
      <c r="H1920" s="6"/>
      <c r="I1920" s="6"/>
      <c r="J1920" s="6"/>
      <c r="K1920" s="18"/>
      <c r="L1920" s="19" t="str">
        <f aca="false">IF(A1920="","",G1920*K1920)</f>
        <v/>
      </c>
      <c r="M1920" s="20"/>
      <c r="N1920" s="6"/>
      <c r="O1920" s="6"/>
      <c r="P1920" s="5" t="str">
        <f aca="false">IF(A1920="","",H1920/90)</f>
        <v/>
      </c>
      <c r="Q1920" s="5" t="str">
        <f aca="false">IF(A1920="","",IFERROR(INDEX(Parâmetros!$C$6:$C$10,MATCH(F1920,Parâmetros!$B$6:$B$10,0)),""))</f>
        <v/>
      </c>
      <c r="R1920" s="5" t="str">
        <f aca="false">IF(OR(A1920="",P1920="",Q1920=""),"",P1920*Q1920)</f>
        <v/>
      </c>
      <c r="S1920" s="5" t="str">
        <f aca="false">IF(R1920="","",MAX(0,R1920-G1920))</f>
        <v/>
      </c>
      <c r="T1920" s="21" t="str">
        <f aca="false">IF(S1920="","",S1920*K1920)</f>
        <v/>
      </c>
      <c r="U1920" s="5" t="str">
        <f aca="false">IF(A1920="","",IF(J1920&gt;Parâmetros!$C$14,"SIM","NAO"))</f>
        <v/>
      </c>
      <c r="V1920" s="5" t="str">
        <f aca="false">IF(B1920="","",TRIM(LEFT(B1920,IFERROR(FIND(" ",B1920)-1,LEN(B1920)))))</f>
        <v/>
      </c>
      <c r="W1920" s="22"/>
      <c r="X1920" s="5" t="str">
        <f aca="false">IF(A1920="","",IF(W1920&lt;&gt;"",W1920,V1920))</f>
        <v/>
      </c>
      <c r="Y1920" s="5" t="str">
        <f aca="false">IF(A1920="","",IF(COUNTIFS($X$2:$X$2001,X1920,$D$2:$D$2001,"&lt;&gt;"&amp;D1920,$C$2:$C$2001,C1920)&gt;0,"SIM","NAO"))</f>
        <v/>
      </c>
      <c r="Z1920" s="5" t="str">
        <f aca="false">IF(A1920="","",IF(J1920="","",IFERROR(360/J1920,"")))</f>
        <v/>
      </c>
      <c r="AA1920" s="5" t="str">
        <f aca="false">IF(A1920="","",IF(H1920=0,"Parado (sem venda 90d)",IF(Z1920&gt;12,"Alto (&gt;12x/ano)",IF(Z1920&gt;=4,"Medio (4-12x/ano)","Baixo (&lt;4x/ano)"))))</f>
        <v/>
      </c>
    </row>
    <row r="1921" customFormat="false" ht="15" hidden="false" customHeight="true" outlineLevel="0" collapsed="false">
      <c r="A1921" s="6"/>
      <c r="B1921" s="6"/>
      <c r="C1921" s="6"/>
      <c r="D1921" s="6"/>
      <c r="E1921" s="6"/>
      <c r="F1921" s="6"/>
      <c r="G1921" s="6"/>
      <c r="H1921" s="6"/>
      <c r="I1921" s="6"/>
      <c r="J1921" s="6"/>
      <c r="K1921" s="18"/>
      <c r="L1921" s="19" t="str">
        <f aca="false">IF(A1921="","",G1921*K1921)</f>
        <v/>
      </c>
      <c r="M1921" s="20"/>
      <c r="N1921" s="6"/>
      <c r="O1921" s="6"/>
      <c r="P1921" s="5" t="str">
        <f aca="false">IF(A1921="","",H1921/90)</f>
        <v/>
      </c>
      <c r="Q1921" s="5" t="str">
        <f aca="false">IF(A1921="","",IFERROR(INDEX(Parâmetros!$C$6:$C$10,MATCH(F1921,Parâmetros!$B$6:$B$10,0)),""))</f>
        <v/>
      </c>
      <c r="R1921" s="5" t="str">
        <f aca="false">IF(OR(A1921="",P1921="",Q1921=""),"",P1921*Q1921)</f>
        <v/>
      </c>
      <c r="S1921" s="5" t="str">
        <f aca="false">IF(R1921="","",MAX(0,R1921-G1921))</f>
        <v/>
      </c>
      <c r="T1921" s="21" t="str">
        <f aca="false">IF(S1921="","",S1921*K1921)</f>
        <v/>
      </c>
      <c r="U1921" s="5" t="str">
        <f aca="false">IF(A1921="","",IF(J1921&gt;Parâmetros!$C$14,"SIM","NAO"))</f>
        <v/>
      </c>
      <c r="V1921" s="5" t="str">
        <f aca="false">IF(B1921="","",TRIM(LEFT(B1921,IFERROR(FIND(" ",B1921)-1,LEN(B1921)))))</f>
        <v/>
      </c>
      <c r="W1921" s="22"/>
      <c r="X1921" s="5" t="str">
        <f aca="false">IF(A1921="","",IF(W1921&lt;&gt;"",W1921,V1921))</f>
        <v/>
      </c>
      <c r="Y1921" s="5" t="str">
        <f aca="false">IF(A1921="","",IF(COUNTIFS($X$2:$X$2001,X1921,$D$2:$D$2001,"&lt;&gt;"&amp;D1921,$C$2:$C$2001,C1921)&gt;0,"SIM","NAO"))</f>
        <v/>
      </c>
      <c r="Z1921" s="5" t="str">
        <f aca="false">IF(A1921="","",IF(J1921="","",IFERROR(360/J1921,"")))</f>
        <v/>
      </c>
      <c r="AA1921" s="5" t="str">
        <f aca="false">IF(A1921="","",IF(H1921=0,"Parado (sem venda 90d)",IF(Z1921&gt;12,"Alto (&gt;12x/ano)",IF(Z1921&gt;=4,"Medio (4-12x/ano)","Baixo (&lt;4x/ano)"))))</f>
        <v/>
      </c>
    </row>
    <row r="1922" customFormat="false" ht="15" hidden="false" customHeight="true" outlineLevel="0" collapsed="false">
      <c r="A1922" s="6"/>
      <c r="B1922" s="6"/>
      <c r="C1922" s="6"/>
      <c r="D1922" s="6"/>
      <c r="E1922" s="6"/>
      <c r="F1922" s="6"/>
      <c r="G1922" s="6"/>
      <c r="H1922" s="6"/>
      <c r="I1922" s="6"/>
      <c r="J1922" s="6"/>
      <c r="K1922" s="18"/>
      <c r="L1922" s="19" t="str">
        <f aca="false">IF(A1922="","",G1922*K1922)</f>
        <v/>
      </c>
      <c r="M1922" s="20"/>
      <c r="N1922" s="6"/>
      <c r="O1922" s="6"/>
      <c r="P1922" s="5" t="str">
        <f aca="false">IF(A1922="","",H1922/90)</f>
        <v/>
      </c>
      <c r="Q1922" s="5" t="str">
        <f aca="false">IF(A1922="","",IFERROR(INDEX(Parâmetros!$C$6:$C$10,MATCH(F1922,Parâmetros!$B$6:$B$10,0)),""))</f>
        <v/>
      </c>
      <c r="R1922" s="5" t="str">
        <f aca="false">IF(OR(A1922="",P1922="",Q1922=""),"",P1922*Q1922)</f>
        <v/>
      </c>
      <c r="S1922" s="5" t="str">
        <f aca="false">IF(R1922="","",MAX(0,R1922-G1922))</f>
        <v/>
      </c>
      <c r="T1922" s="21" t="str">
        <f aca="false">IF(S1922="","",S1922*K1922)</f>
        <v/>
      </c>
      <c r="U1922" s="5" t="str">
        <f aca="false">IF(A1922="","",IF(J1922&gt;Parâmetros!$C$14,"SIM","NAO"))</f>
        <v/>
      </c>
      <c r="V1922" s="5" t="str">
        <f aca="false">IF(B1922="","",TRIM(LEFT(B1922,IFERROR(FIND(" ",B1922)-1,LEN(B1922)))))</f>
        <v/>
      </c>
      <c r="W1922" s="22"/>
      <c r="X1922" s="5" t="str">
        <f aca="false">IF(A1922="","",IF(W1922&lt;&gt;"",W1922,V1922))</f>
        <v/>
      </c>
      <c r="Y1922" s="5" t="str">
        <f aca="false">IF(A1922="","",IF(COUNTIFS($X$2:$X$2001,X1922,$D$2:$D$2001,"&lt;&gt;"&amp;D1922,$C$2:$C$2001,C1922)&gt;0,"SIM","NAO"))</f>
        <v/>
      </c>
      <c r="Z1922" s="5" t="str">
        <f aca="false">IF(A1922="","",IF(J1922="","",IFERROR(360/J1922,"")))</f>
        <v/>
      </c>
      <c r="AA1922" s="5" t="str">
        <f aca="false">IF(A1922="","",IF(H1922=0,"Parado (sem venda 90d)",IF(Z1922&gt;12,"Alto (&gt;12x/ano)",IF(Z1922&gt;=4,"Medio (4-12x/ano)","Baixo (&lt;4x/ano)"))))</f>
        <v/>
      </c>
    </row>
    <row r="1923" customFormat="false" ht="15" hidden="false" customHeight="true" outlineLevel="0" collapsed="false">
      <c r="A1923" s="6"/>
      <c r="B1923" s="6"/>
      <c r="C1923" s="6"/>
      <c r="D1923" s="6"/>
      <c r="E1923" s="6"/>
      <c r="F1923" s="6"/>
      <c r="G1923" s="6"/>
      <c r="H1923" s="6"/>
      <c r="I1923" s="6"/>
      <c r="J1923" s="6"/>
      <c r="K1923" s="18"/>
      <c r="L1923" s="19" t="str">
        <f aca="false">IF(A1923="","",G1923*K1923)</f>
        <v/>
      </c>
      <c r="M1923" s="20"/>
      <c r="N1923" s="6"/>
      <c r="O1923" s="6"/>
      <c r="P1923" s="5" t="str">
        <f aca="false">IF(A1923="","",H1923/90)</f>
        <v/>
      </c>
      <c r="Q1923" s="5" t="str">
        <f aca="false">IF(A1923="","",IFERROR(INDEX(Parâmetros!$C$6:$C$10,MATCH(F1923,Parâmetros!$B$6:$B$10,0)),""))</f>
        <v/>
      </c>
      <c r="R1923" s="5" t="str">
        <f aca="false">IF(OR(A1923="",P1923="",Q1923=""),"",P1923*Q1923)</f>
        <v/>
      </c>
      <c r="S1923" s="5" t="str">
        <f aca="false">IF(R1923="","",MAX(0,R1923-G1923))</f>
        <v/>
      </c>
      <c r="T1923" s="21" t="str">
        <f aca="false">IF(S1923="","",S1923*K1923)</f>
        <v/>
      </c>
      <c r="U1923" s="5" t="str">
        <f aca="false">IF(A1923="","",IF(J1923&gt;Parâmetros!$C$14,"SIM","NAO"))</f>
        <v/>
      </c>
      <c r="V1923" s="5" t="str">
        <f aca="false">IF(B1923="","",TRIM(LEFT(B1923,IFERROR(FIND(" ",B1923)-1,LEN(B1923)))))</f>
        <v/>
      </c>
      <c r="W1923" s="22"/>
      <c r="X1923" s="5" t="str">
        <f aca="false">IF(A1923="","",IF(W1923&lt;&gt;"",W1923,V1923))</f>
        <v/>
      </c>
      <c r="Y1923" s="5" t="str">
        <f aca="false">IF(A1923="","",IF(COUNTIFS($X$2:$X$2001,X1923,$D$2:$D$2001,"&lt;&gt;"&amp;D1923,$C$2:$C$2001,C1923)&gt;0,"SIM","NAO"))</f>
        <v/>
      </c>
      <c r="Z1923" s="5" t="str">
        <f aca="false">IF(A1923="","",IF(J1923="","",IFERROR(360/J1923,"")))</f>
        <v/>
      </c>
      <c r="AA1923" s="5" t="str">
        <f aca="false">IF(A1923="","",IF(H1923=0,"Parado (sem venda 90d)",IF(Z1923&gt;12,"Alto (&gt;12x/ano)",IF(Z1923&gt;=4,"Medio (4-12x/ano)","Baixo (&lt;4x/ano)"))))</f>
        <v/>
      </c>
    </row>
    <row r="1924" customFormat="false" ht="15" hidden="false" customHeight="true" outlineLevel="0" collapsed="false">
      <c r="A1924" s="6"/>
      <c r="B1924" s="6"/>
      <c r="C1924" s="6"/>
      <c r="D1924" s="6"/>
      <c r="E1924" s="6"/>
      <c r="F1924" s="6"/>
      <c r="G1924" s="6"/>
      <c r="H1924" s="6"/>
      <c r="I1924" s="6"/>
      <c r="J1924" s="6"/>
      <c r="K1924" s="18"/>
      <c r="L1924" s="19" t="str">
        <f aca="false">IF(A1924="","",G1924*K1924)</f>
        <v/>
      </c>
      <c r="M1924" s="20"/>
      <c r="N1924" s="6"/>
      <c r="O1924" s="6"/>
      <c r="P1924" s="5" t="str">
        <f aca="false">IF(A1924="","",H1924/90)</f>
        <v/>
      </c>
      <c r="Q1924" s="5" t="str">
        <f aca="false">IF(A1924="","",IFERROR(INDEX(Parâmetros!$C$6:$C$10,MATCH(F1924,Parâmetros!$B$6:$B$10,0)),""))</f>
        <v/>
      </c>
      <c r="R1924" s="5" t="str">
        <f aca="false">IF(OR(A1924="",P1924="",Q1924=""),"",P1924*Q1924)</f>
        <v/>
      </c>
      <c r="S1924" s="5" t="str">
        <f aca="false">IF(R1924="","",MAX(0,R1924-G1924))</f>
        <v/>
      </c>
      <c r="T1924" s="21" t="str">
        <f aca="false">IF(S1924="","",S1924*K1924)</f>
        <v/>
      </c>
      <c r="U1924" s="5" t="str">
        <f aca="false">IF(A1924="","",IF(J1924&gt;Parâmetros!$C$14,"SIM","NAO"))</f>
        <v/>
      </c>
      <c r="V1924" s="5" t="str">
        <f aca="false">IF(B1924="","",TRIM(LEFT(B1924,IFERROR(FIND(" ",B1924)-1,LEN(B1924)))))</f>
        <v/>
      </c>
      <c r="W1924" s="22"/>
      <c r="X1924" s="5" t="str">
        <f aca="false">IF(A1924="","",IF(W1924&lt;&gt;"",W1924,V1924))</f>
        <v/>
      </c>
      <c r="Y1924" s="5" t="str">
        <f aca="false">IF(A1924="","",IF(COUNTIFS($X$2:$X$2001,X1924,$D$2:$D$2001,"&lt;&gt;"&amp;D1924,$C$2:$C$2001,C1924)&gt;0,"SIM","NAO"))</f>
        <v/>
      </c>
      <c r="Z1924" s="5" t="str">
        <f aca="false">IF(A1924="","",IF(J1924="","",IFERROR(360/J1924,"")))</f>
        <v/>
      </c>
      <c r="AA1924" s="5" t="str">
        <f aca="false">IF(A1924="","",IF(H1924=0,"Parado (sem venda 90d)",IF(Z1924&gt;12,"Alto (&gt;12x/ano)",IF(Z1924&gt;=4,"Medio (4-12x/ano)","Baixo (&lt;4x/ano)"))))</f>
        <v/>
      </c>
    </row>
    <row r="1925" customFormat="false" ht="15" hidden="false" customHeight="true" outlineLevel="0" collapsed="false">
      <c r="A1925" s="6"/>
      <c r="B1925" s="6"/>
      <c r="C1925" s="6"/>
      <c r="D1925" s="6"/>
      <c r="E1925" s="6"/>
      <c r="F1925" s="6"/>
      <c r="G1925" s="6"/>
      <c r="H1925" s="6"/>
      <c r="I1925" s="6"/>
      <c r="J1925" s="6"/>
      <c r="K1925" s="18"/>
      <c r="L1925" s="19" t="str">
        <f aca="false">IF(A1925="","",G1925*K1925)</f>
        <v/>
      </c>
      <c r="M1925" s="20"/>
      <c r="N1925" s="6"/>
      <c r="O1925" s="6"/>
      <c r="P1925" s="5" t="str">
        <f aca="false">IF(A1925="","",H1925/90)</f>
        <v/>
      </c>
      <c r="Q1925" s="5" t="str">
        <f aca="false">IF(A1925="","",IFERROR(INDEX(Parâmetros!$C$6:$C$10,MATCH(F1925,Parâmetros!$B$6:$B$10,0)),""))</f>
        <v/>
      </c>
      <c r="R1925" s="5" t="str">
        <f aca="false">IF(OR(A1925="",P1925="",Q1925=""),"",P1925*Q1925)</f>
        <v/>
      </c>
      <c r="S1925" s="5" t="str">
        <f aca="false">IF(R1925="","",MAX(0,R1925-G1925))</f>
        <v/>
      </c>
      <c r="T1925" s="21" t="str">
        <f aca="false">IF(S1925="","",S1925*K1925)</f>
        <v/>
      </c>
      <c r="U1925" s="5" t="str">
        <f aca="false">IF(A1925="","",IF(J1925&gt;Parâmetros!$C$14,"SIM","NAO"))</f>
        <v/>
      </c>
      <c r="V1925" s="5" t="str">
        <f aca="false">IF(B1925="","",TRIM(LEFT(B1925,IFERROR(FIND(" ",B1925)-1,LEN(B1925)))))</f>
        <v/>
      </c>
      <c r="W1925" s="22"/>
      <c r="X1925" s="5" t="str">
        <f aca="false">IF(A1925="","",IF(W1925&lt;&gt;"",W1925,V1925))</f>
        <v/>
      </c>
      <c r="Y1925" s="5" t="str">
        <f aca="false">IF(A1925="","",IF(COUNTIFS($X$2:$X$2001,X1925,$D$2:$D$2001,"&lt;&gt;"&amp;D1925,$C$2:$C$2001,C1925)&gt;0,"SIM","NAO"))</f>
        <v/>
      </c>
      <c r="Z1925" s="5" t="str">
        <f aca="false">IF(A1925="","",IF(J1925="","",IFERROR(360/J1925,"")))</f>
        <v/>
      </c>
      <c r="AA1925" s="5" t="str">
        <f aca="false">IF(A1925="","",IF(H1925=0,"Parado (sem venda 90d)",IF(Z1925&gt;12,"Alto (&gt;12x/ano)",IF(Z1925&gt;=4,"Medio (4-12x/ano)","Baixo (&lt;4x/ano)"))))</f>
        <v/>
      </c>
    </row>
    <row r="1926" customFormat="false" ht="15" hidden="false" customHeight="true" outlineLevel="0" collapsed="false">
      <c r="A1926" s="6"/>
      <c r="B1926" s="6"/>
      <c r="C1926" s="6"/>
      <c r="D1926" s="6"/>
      <c r="E1926" s="6"/>
      <c r="F1926" s="6"/>
      <c r="G1926" s="6"/>
      <c r="H1926" s="6"/>
      <c r="I1926" s="6"/>
      <c r="J1926" s="6"/>
      <c r="K1926" s="18"/>
      <c r="L1926" s="19" t="str">
        <f aca="false">IF(A1926="","",G1926*K1926)</f>
        <v/>
      </c>
      <c r="M1926" s="20"/>
      <c r="N1926" s="6"/>
      <c r="O1926" s="6"/>
      <c r="P1926" s="5" t="str">
        <f aca="false">IF(A1926="","",H1926/90)</f>
        <v/>
      </c>
      <c r="Q1926" s="5" t="str">
        <f aca="false">IF(A1926="","",IFERROR(INDEX(Parâmetros!$C$6:$C$10,MATCH(F1926,Parâmetros!$B$6:$B$10,0)),""))</f>
        <v/>
      </c>
      <c r="R1926" s="5" t="str">
        <f aca="false">IF(OR(A1926="",P1926="",Q1926=""),"",P1926*Q1926)</f>
        <v/>
      </c>
      <c r="S1926" s="5" t="str">
        <f aca="false">IF(R1926="","",MAX(0,R1926-G1926))</f>
        <v/>
      </c>
      <c r="T1926" s="21" t="str">
        <f aca="false">IF(S1926="","",S1926*K1926)</f>
        <v/>
      </c>
      <c r="U1926" s="5" t="str">
        <f aca="false">IF(A1926="","",IF(J1926&gt;Parâmetros!$C$14,"SIM","NAO"))</f>
        <v/>
      </c>
      <c r="V1926" s="5" t="str">
        <f aca="false">IF(B1926="","",TRIM(LEFT(B1926,IFERROR(FIND(" ",B1926)-1,LEN(B1926)))))</f>
        <v/>
      </c>
      <c r="W1926" s="22"/>
      <c r="X1926" s="5" t="str">
        <f aca="false">IF(A1926="","",IF(W1926&lt;&gt;"",W1926,V1926))</f>
        <v/>
      </c>
      <c r="Y1926" s="5" t="str">
        <f aca="false">IF(A1926="","",IF(COUNTIFS($X$2:$X$2001,X1926,$D$2:$D$2001,"&lt;&gt;"&amp;D1926,$C$2:$C$2001,C1926)&gt;0,"SIM","NAO"))</f>
        <v/>
      </c>
      <c r="Z1926" s="5" t="str">
        <f aca="false">IF(A1926="","",IF(J1926="","",IFERROR(360/J1926,"")))</f>
        <v/>
      </c>
      <c r="AA1926" s="5" t="str">
        <f aca="false">IF(A1926="","",IF(H1926=0,"Parado (sem venda 90d)",IF(Z1926&gt;12,"Alto (&gt;12x/ano)",IF(Z1926&gt;=4,"Medio (4-12x/ano)","Baixo (&lt;4x/ano)"))))</f>
        <v/>
      </c>
    </row>
    <row r="1927" customFormat="false" ht="15" hidden="false" customHeight="true" outlineLevel="0" collapsed="false">
      <c r="A1927" s="6"/>
      <c r="B1927" s="6"/>
      <c r="C1927" s="6"/>
      <c r="D1927" s="6"/>
      <c r="E1927" s="6"/>
      <c r="F1927" s="6"/>
      <c r="G1927" s="6"/>
      <c r="H1927" s="6"/>
      <c r="I1927" s="6"/>
      <c r="J1927" s="6"/>
      <c r="K1927" s="18"/>
      <c r="L1927" s="19" t="str">
        <f aca="false">IF(A1927="","",G1927*K1927)</f>
        <v/>
      </c>
      <c r="M1927" s="20"/>
      <c r="N1927" s="6"/>
      <c r="O1927" s="6"/>
      <c r="P1927" s="5" t="str">
        <f aca="false">IF(A1927="","",H1927/90)</f>
        <v/>
      </c>
      <c r="Q1927" s="5" t="str">
        <f aca="false">IF(A1927="","",IFERROR(INDEX(Parâmetros!$C$6:$C$10,MATCH(F1927,Parâmetros!$B$6:$B$10,0)),""))</f>
        <v/>
      </c>
      <c r="R1927" s="5" t="str">
        <f aca="false">IF(OR(A1927="",P1927="",Q1927=""),"",P1927*Q1927)</f>
        <v/>
      </c>
      <c r="S1927" s="5" t="str">
        <f aca="false">IF(R1927="","",MAX(0,R1927-G1927))</f>
        <v/>
      </c>
      <c r="T1927" s="21" t="str">
        <f aca="false">IF(S1927="","",S1927*K1927)</f>
        <v/>
      </c>
      <c r="U1927" s="5" t="str">
        <f aca="false">IF(A1927="","",IF(J1927&gt;Parâmetros!$C$14,"SIM","NAO"))</f>
        <v/>
      </c>
      <c r="V1927" s="5" t="str">
        <f aca="false">IF(B1927="","",TRIM(LEFT(B1927,IFERROR(FIND(" ",B1927)-1,LEN(B1927)))))</f>
        <v/>
      </c>
      <c r="W1927" s="22"/>
      <c r="X1927" s="5" t="str">
        <f aca="false">IF(A1927="","",IF(W1927&lt;&gt;"",W1927,V1927))</f>
        <v/>
      </c>
      <c r="Y1927" s="5" t="str">
        <f aca="false">IF(A1927="","",IF(COUNTIFS($X$2:$X$2001,X1927,$D$2:$D$2001,"&lt;&gt;"&amp;D1927,$C$2:$C$2001,C1927)&gt;0,"SIM","NAO"))</f>
        <v/>
      </c>
      <c r="Z1927" s="5" t="str">
        <f aca="false">IF(A1927="","",IF(J1927="","",IFERROR(360/J1927,"")))</f>
        <v/>
      </c>
      <c r="AA1927" s="5" t="str">
        <f aca="false">IF(A1927="","",IF(H1927=0,"Parado (sem venda 90d)",IF(Z1927&gt;12,"Alto (&gt;12x/ano)",IF(Z1927&gt;=4,"Medio (4-12x/ano)","Baixo (&lt;4x/ano)"))))</f>
        <v/>
      </c>
    </row>
    <row r="1928" customFormat="false" ht="15" hidden="false" customHeight="true" outlineLevel="0" collapsed="false">
      <c r="A1928" s="6"/>
      <c r="B1928" s="6"/>
      <c r="C1928" s="6"/>
      <c r="D1928" s="6"/>
      <c r="E1928" s="6"/>
      <c r="F1928" s="6"/>
      <c r="G1928" s="6"/>
      <c r="H1928" s="6"/>
      <c r="I1928" s="6"/>
      <c r="J1928" s="6"/>
      <c r="K1928" s="18"/>
      <c r="L1928" s="19" t="str">
        <f aca="false">IF(A1928="","",G1928*K1928)</f>
        <v/>
      </c>
      <c r="M1928" s="20"/>
      <c r="N1928" s="6"/>
      <c r="O1928" s="6"/>
      <c r="P1928" s="5" t="str">
        <f aca="false">IF(A1928="","",H1928/90)</f>
        <v/>
      </c>
      <c r="Q1928" s="5" t="str">
        <f aca="false">IF(A1928="","",IFERROR(INDEX(Parâmetros!$C$6:$C$10,MATCH(F1928,Parâmetros!$B$6:$B$10,0)),""))</f>
        <v/>
      </c>
      <c r="R1928" s="5" t="str">
        <f aca="false">IF(OR(A1928="",P1928="",Q1928=""),"",P1928*Q1928)</f>
        <v/>
      </c>
      <c r="S1928" s="5" t="str">
        <f aca="false">IF(R1928="","",MAX(0,R1928-G1928))</f>
        <v/>
      </c>
      <c r="T1928" s="21" t="str">
        <f aca="false">IF(S1928="","",S1928*K1928)</f>
        <v/>
      </c>
      <c r="U1928" s="5" t="str">
        <f aca="false">IF(A1928="","",IF(J1928&gt;Parâmetros!$C$14,"SIM","NAO"))</f>
        <v/>
      </c>
      <c r="V1928" s="5" t="str">
        <f aca="false">IF(B1928="","",TRIM(LEFT(B1928,IFERROR(FIND(" ",B1928)-1,LEN(B1928)))))</f>
        <v/>
      </c>
      <c r="W1928" s="22"/>
      <c r="X1928" s="5" t="str">
        <f aca="false">IF(A1928="","",IF(W1928&lt;&gt;"",W1928,V1928))</f>
        <v/>
      </c>
      <c r="Y1928" s="5" t="str">
        <f aca="false">IF(A1928="","",IF(COUNTIFS($X$2:$X$2001,X1928,$D$2:$D$2001,"&lt;&gt;"&amp;D1928,$C$2:$C$2001,C1928)&gt;0,"SIM","NAO"))</f>
        <v/>
      </c>
      <c r="Z1928" s="5" t="str">
        <f aca="false">IF(A1928="","",IF(J1928="","",IFERROR(360/J1928,"")))</f>
        <v/>
      </c>
      <c r="AA1928" s="5" t="str">
        <f aca="false">IF(A1928="","",IF(H1928=0,"Parado (sem venda 90d)",IF(Z1928&gt;12,"Alto (&gt;12x/ano)",IF(Z1928&gt;=4,"Medio (4-12x/ano)","Baixo (&lt;4x/ano)"))))</f>
        <v/>
      </c>
    </row>
    <row r="1929" customFormat="false" ht="15" hidden="false" customHeight="true" outlineLevel="0" collapsed="false">
      <c r="A1929" s="6"/>
      <c r="B1929" s="6"/>
      <c r="C1929" s="6"/>
      <c r="D1929" s="6"/>
      <c r="E1929" s="6"/>
      <c r="F1929" s="6"/>
      <c r="G1929" s="6"/>
      <c r="H1929" s="6"/>
      <c r="I1929" s="6"/>
      <c r="J1929" s="6"/>
      <c r="K1929" s="18"/>
      <c r="L1929" s="19" t="str">
        <f aca="false">IF(A1929="","",G1929*K1929)</f>
        <v/>
      </c>
      <c r="M1929" s="20"/>
      <c r="N1929" s="6"/>
      <c r="O1929" s="6"/>
      <c r="P1929" s="5" t="str">
        <f aca="false">IF(A1929="","",H1929/90)</f>
        <v/>
      </c>
      <c r="Q1929" s="5" t="str">
        <f aca="false">IF(A1929="","",IFERROR(INDEX(Parâmetros!$C$6:$C$10,MATCH(F1929,Parâmetros!$B$6:$B$10,0)),""))</f>
        <v/>
      </c>
      <c r="R1929" s="5" t="str">
        <f aca="false">IF(OR(A1929="",P1929="",Q1929=""),"",P1929*Q1929)</f>
        <v/>
      </c>
      <c r="S1929" s="5" t="str">
        <f aca="false">IF(R1929="","",MAX(0,R1929-G1929))</f>
        <v/>
      </c>
      <c r="T1929" s="21" t="str">
        <f aca="false">IF(S1929="","",S1929*K1929)</f>
        <v/>
      </c>
      <c r="U1929" s="5" t="str">
        <f aca="false">IF(A1929="","",IF(J1929&gt;Parâmetros!$C$14,"SIM","NAO"))</f>
        <v/>
      </c>
      <c r="V1929" s="5" t="str">
        <f aca="false">IF(B1929="","",TRIM(LEFT(B1929,IFERROR(FIND(" ",B1929)-1,LEN(B1929)))))</f>
        <v/>
      </c>
      <c r="W1929" s="22"/>
      <c r="X1929" s="5" t="str">
        <f aca="false">IF(A1929="","",IF(W1929&lt;&gt;"",W1929,V1929))</f>
        <v/>
      </c>
      <c r="Y1929" s="5" t="str">
        <f aca="false">IF(A1929="","",IF(COUNTIFS($X$2:$X$2001,X1929,$D$2:$D$2001,"&lt;&gt;"&amp;D1929,$C$2:$C$2001,C1929)&gt;0,"SIM","NAO"))</f>
        <v/>
      </c>
      <c r="Z1929" s="5" t="str">
        <f aca="false">IF(A1929="","",IF(J1929="","",IFERROR(360/J1929,"")))</f>
        <v/>
      </c>
      <c r="AA1929" s="5" t="str">
        <f aca="false">IF(A1929="","",IF(H1929=0,"Parado (sem venda 90d)",IF(Z1929&gt;12,"Alto (&gt;12x/ano)",IF(Z1929&gt;=4,"Medio (4-12x/ano)","Baixo (&lt;4x/ano)"))))</f>
        <v/>
      </c>
    </row>
    <row r="1930" customFormat="false" ht="15" hidden="false" customHeight="true" outlineLevel="0" collapsed="false">
      <c r="A1930" s="6"/>
      <c r="B1930" s="6"/>
      <c r="C1930" s="6"/>
      <c r="D1930" s="6"/>
      <c r="E1930" s="6"/>
      <c r="F1930" s="6"/>
      <c r="G1930" s="6"/>
      <c r="H1930" s="6"/>
      <c r="I1930" s="6"/>
      <c r="J1930" s="6"/>
      <c r="K1930" s="18"/>
      <c r="L1930" s="19" t="str">
        <f aca="false">IF(A1930="","",G1930*K1930)</f>
        <v/>
      </c>
      <c r="M1930" s="20"/>
      <c r="N1930" s="6"/>
      <c r="O1930" s="6"/>
      <c r="P1930" s="5" t="str">
        <f aca="false">IF(A1930="","",H1930/90)</f>
        <v/>
      </c>
      <c r="Q1930" s="5" t="str">
        <f aca="false">IF(A1930="","",IFERROR(INDEX(Parâmetros!$C$6:$C$10,MATCH(F1930,Parâmetros!$B$6:$B$10,0)),""))</f>
        <v/>
      </c>
      <c r="R1930" s="5" t="str">
        <f aca="false">IF(OR(A1930="",P1930="",Q1930=""),"",P1930*Q1930)</f>
        <v/>
      </c>
      <c r="S1930" s="5" t="str">
        <f aca="false">IF(R1930="","",MAX(0,R1930-G1930))</f>
        <v/>
      </c>
      <c r="T1930" s="21" t="str">
        <f aca="false">IF(S1930="","",S1930*K1930)</f>
        <v/>
      </c>
      <c r="U1930" s="5" t="str">
        <f aca="false">IF(A1930="","",IF(J1930&gt;Parâmetros!$C$14,"SIM","NAO"))</f>
        <v/>
      </c>
      <c r="V1930" s="5" t="str">
        <f aca="false">IF(B1930="","",TRIM(LEFT(B1930,IFERROR(FIND(" ",B1930)-1,LEN(B1930)))))</f>
        <v/>
      </c>
      <c r="W1930" s="22"/>
      <c r="X1930" s="5" t="str">
        <f aca="false">IF(A1930="","",IF(W1930&lt;&gt;"",W1930,V1930))</f>
        <v/>
      </c>
      <c r="Y1930" s="5" t="str">
        <f aca="false">IF(A1930="","",IF(COUNTIFS($X$2:$X$2001,X1930,$D$2:$D$2001,"&lt;&gt;"&amp;D1930,$C$2:$C$2001,C1930)&gt;0,"SIM","NAO"))</f>
        <v/>
      </c>
      <c r="Z1930" s="5" t="str">
        <f aca="false">IF(A1930="","",IF(J1930="","",IFERROR(360/J1930,"")))</f>
        <v/>
      </c>
      <c r="AA1930" s="5" t="str">
        <f aca="false">IF(A1930="","",IF(H1930=0,"Parado (sem venda 90d)",IF(Z1930&gt;12,"Alto (&gt;12x/ano)",IF(Z1930&gt;=4,"Medio (4-12x/ano)","Baixo (&lt;4x/ano)"))))</f>
        <v/>
      </c>
    </row>
    <row r="1931" customFormat="false" ht="15" hidden="false" customHeight="true" outlineLevel="0" collapsed="false">
      <c r="A1931" s="6"/>
      <c r="B1931" s="6"/>
      <c r="C1931" s="6"/>
      <c r="D1931" s="6"/>
      <c r="E1931" s="6"/>
      <c r="F1931" s="6"/>
      <c r="G1931" s="6"/>
      <c r="H1931" s="6"/>
      <c r="I1931" s="6"/>
      <c r="J1931" s="6"/>
      <c r="K1931" s="18"/>
      <c r="L1931" s="19" t="str">
        <f aca="false">IF(A1931="","",G1931*K1931)</f>
        <v/>
      </c>
      <c r="M1931" s="20"/>
      <c r="N1931" s="6"/>
      <c r="O1931" s="6"/>
      <c r="P1931" s="5" t="str">
        <f aca="false">IF(A1931="","",H1931/90)</f>
        <v/>
      </c>
      <c r="Q1931" s="5" t="str">
        <f aca="false">IF(A1931="","",IFERROR(INDEX(Parâmetros!$C$6:$C$10,MATCH(F1931,Parâmetros!$B$6:$B$10,0)),""))</f>
        <v/>
      </c>
      <c r="R1931" s="5" t="str">
        <f aca="false">IF(OR(A1931="",P1931="",Q1931=""),"",P1931*Q1931)</f>
        <v/>
      </c>
      <c r="S1931" s="5" t="str">
        <f aca="false">IF(R1931="","",MAX(0,R1931-G1931))</f>
        <v/>
      </c>
      <c r="T1931" s="21" t="str">
        <f aca="false">IF(S1931="","",S1931*K1931)</f>
        <v/>
      </c>
      <c r="U1931" s="5" t="str">
        <f aca="false">IF(A1931="","",IF(J1931&gt;Parâmetros!$C$14,"SIM","NAO"))</f>
        <v/>
      </c>
      <c r="V1931" s="5" t="str">
        <f aca="false">IF(B1931="","",TRIM(LEFT(B1931,IFERROR(FIND(" ",B1931)-1,LEN(B1931)))))</f>
        <v/>
      </c>
      <c r="W1931" s="22"/>
      <c r="X1931" s="5" t="str">
        <f aca="false">IF(A1931="","",IF(W1931&lt;&gt;"",W1931,V1931))</f>
        <v/>
      </c>
      <c r="Y1931" s="5" t="str">
        <f aca="false">IF(A1931="","",IF(COUNTIFS($X$2:$X$2001,X1931,$D$2:$D$2001,"&lt;&gt;"&amp;D1931,$C$2:$C$2001,C1931)&gt;0,"SIM","NAO"))</f>
        <v/>
      </c>
      <c r="Z1931" s="5" t="str">
        <f aca="false">IF(A1931="","",IF(J1931="","",IFERROR(360/J1931,"")))</f>
        <v/>
      </c>
      <c r="AA1931" s="5" t="str">
        <f aca="false">IF(A1931="","",IF(H1931=0,"Parado (sem venda 90d)",IF(Z1931&gt;12,"Alto (&gt;12x/ano)",IF(Z1931&gt;=4,"Medio (4-12x/ano)","Baixo (&lt;4x/ano)"))))</f>
        <v/>
      </c>
    </row>
    <row r="1932" customFormat="false" ht="15" hidden="false" customHeight="true" outlineLevel="0" collapsed="false">
      <c r="A1932" s="6"/>
      <c r="B1932" s="6"/>
      <c r="C1932" s="6"/>
      <c r="D1932" s="6"/>
      <c r="E1932" s="6"/>
      <c r="F1932" s="6"/>
      <c r="G1932" s="6"/>
      <c r="H1932" s="6"/>
      <c r="I1932" s="6"/>
      <c r="J1932" s="6"/>
      <c r="K1932" s="18"/>
      <c r="L1932" s="19" t="str">
        <f aca="false">IF(A1932="","",G1932*K1932)</f>
        <v/>
      </c>
      <c r="M1932" s="20"/>
      <c r="N1932" s="6"/>
      <c r="O1932" s="6"/>
      <c r="P1932" s="5" t="str">
        <f aca="false">IF(A1932="","",H1932/90)</f>
        <v/>
      </c>
      <c r="Q1932" s="5" t="str">
        <f aca="false">IF(A1932="","",IFERROR(INDEX(Parâmetros!$C$6:$C$10,MATCH(F1932,Parâmetros!$B$6:$B$10,0)),""))</f>
        <v/>
      </c>
      <c r="R1932" s="5" t="str">
        <f aca="false">IF(OR(A1932="",P1932="",Q1932=""),"",P1932*Q1932)</f>
        <v/>
      </c>
      <c r="S1932" s="5" t="str">
        <f aca="false">IF(R1932="","",MAX(0,R1932-G1932))</f>
        <v/>
      </c>
      <c r="T1932" s="21" t="str">
        <f aca="false">IF(S1932="","",S1932*K1932)</f>
        <v/>
      </c>
      <c r="U1932" s="5" t="str">
        <f aca="false">IF(A1932="","",IF(J1932&gt;Parâmetros!$C$14,"SIM","NAO"))</f>
        <v/>
      </c>
      <c r="V1932" s="5" t="str">
        <f aca="false">IF(B1932="","",TRIM(LEFT(B1932,IFERROR(FIND(" ",B1932)-1,LEN(B1932)))))</f>
        <v/>
      </c>
      <c r="W1932" s="22"/>
      <c r="X1932" s="5" t="str">
        <f aca="false">IF(A1932="","",IF(W1932&lt;&gt;"",W1932,V1932))</f>
        <v/>
      </c>
      <c r="Y1932" s="5" t="str">
        <f aca="false">IF(A1932="","",IF(COUNTIFS($X$2:$X$2001,X1932,$D$2:$D$2001,"&lt;&gt;"&amp;D1932,$C$2:$C$2001,C1932)&gt;0,"SIM","NAO"))</f>
        <v/>
      </c>
      <c r="Z1932" s="5" t="str">
        <f aca="false">IF(A1932="","",IF(J1932="","",IFERROR(360/J1932,"")))</f>
        <v/>
      </c>
      <c r="AA1932" s="5" t="str">
        <f aca="false">IF(A1932="","",IF(H1932=0,"Parado (sem venda 90d)",IF(Z1932&gt;12,"Alto (&gt;12x/ano)",IF(Z1932&gt;=4,"Medio (4-12x/ano)","Baixo (&lt;4x/ano)"))))</f>
        <v/>
      </c>
    </row>
    <row r="1933" customFormat="false" ht="15" hidden="false" customHeight="true" outlineLevel="0" collapsed="false">
      <c r="A1933" s="6"/>
      <c r="B1933" s="6"/>
      <c r="C1933" s="6"/>
      <c r="D1933" s="6"/>
      <c r="E1933" s="6"/>
      <c r="F1933" s="6"/>
      <c r="G1933" s="6"/>
      <c r="H1933" s="6"/>
      <c r="I1933" s="6"/>
      <c r="J1933" s="6"/>
      <c r="K1933" s="18"/>
      <c r="L1933" s="19" t="str">
        <f aca="false">IF(A1933="","",G1933*K1933)</f>
        <v/>
      </c>
      <c r="M1933" s="20"/>
      <c r="N1933" s="6"/>
      <c r="O1933" s="6"/>
      <c r="P1933" s="5" t="str">
        <f aca="false">IF(A1933="","",H1933/90)</f>
        <v/>
      </c>
      <c r="Q1933" s="5" t="str">
        <f aca="false">IF(A1933="","",IFERROR(INDEX(Parâmetros!$C$6:$C$10,MATCH(F1933,Parâmetros!$B$6:$B$10,0)),""))</f>
        <v/>
      </c>
      <c r="R1933" s="5" t="str">
        <f aca="false">IF(OR(A1933="",P1933="",Q1933=""),"",P1933*Q1933)</f>
        <v/>
      </c>
      <c r="S1933" s="5" t="str">
        <f aca="false">IF(R1933="","",MAX(0,R1933-G1933))</f>
        <v/>
      </c>
      <c r="T1933" s="21" t="str">
        <f aca="false">IF(S1933="","",S1933*K1933)</f>
        <v/>
      </c>
      <c r="U1933" s="5" t="str">
        <f aca="false">IF(A1933="","",IF(J1933&gt;Parâmetros!$C$14,"SIM","NAO"))</f>
        <v/>
      </c>
      <c r="V1933" s="5" t="str">
        <f aca="false">IF(B1933="","",TRIM(LEFT(B1933,IFERROR(FIND(" ",B1933)-1,LEN(B1933)))))</f>
        <v/>
      </c>
      <c r="W1933" s="22"/>
      <c r="X1933" s="5" t="str">
        <f aca="false">IF(A1933="","",IF(W1933&lt;&gt;"",W1933,V1933))</f>
        <v/>
      </c>
      <c r="Y1933" s="5" t="str">
        <f aca="false">IF(A1933="","",IF(COUNTIFS($X$2:$X$2001,X1933,$D$2:$D$2001,"&lt;&gt;"&amp;D1933,$C$2:$C$2001,C1933)&gt;0,"SIM","NAO"))</f>
        <v/>
      </c>
      <c r="Z1933" s="5" t="str">
        <f aca="false">IF(A1933="","",IF(J1933="","",IFERROR(360/J1933,"")))</f>
        <v/>
      </c>
      <c r="AA1933" s="5" t="str">
        <f aca="false">IF(A1933="","",IF(H1933=0,"Parado (sem venda 90d)",IF(Z1933&gt;12,"Alto (&gt;12x/ano)",IF(Z1933&gt;=4,"Medio (4-12x/ano)","Baixo (&lt;4x/ano)"))))</f>
        <v/>
      </c>
    </row>
    <row r="1934" customFormat="false" ht="15" hidden="false" customHeight="true" outlineLevel="0" collapsed="false">
      <c r="A1934" s="6"/>
      <c r="B1934" s="6"/>
      <c r="C1934" s="6"/>
      <c r="D1934" s="6"/>
      <c r="E1934" s="6"/>
      <c r="F1934" s="6"/>
      <c r="G1934" s="6"/>
      <c r="H1934" s="6"/>
      <c r="I1934" s="6"/>
      <c r="J1934" s="6"/>
      <c r="K1934" s="18"/>
      <c r="L1934" s="19" t="str">
        <f aca="false">IF(A1934="","",G1934*K1934)</f>
        <v/>
      </c>
      <c r="M1934" s="20"/>
      <c r="N1934" s="6"/>
      <c r="O1934" s="6"/>
      <c r="P1934" s="5" t="str">
        <f aca="false">IF(A1934="","",H1934/90)</f>
        <v/>
      </c>
      <c r="Q1934" s="5" t="str">
        <f aca="false">IF(A1934="","",IFERROR(INDEX(Parâmetros!$C$6:$C$10,MATCH(F1934,Parâmetros!$B$6:$B$10,0)),""))</f>
        <v/>
      </c>
      <c r="R1934" s="5" t="str">
        <f aca="false">IF(OR(A1934="",P1934="",Q1934=""),"",P1934*Q1934)</f>
        <v/>
      </c>
      <c r="S1934" s="5" t="str">
        <f aca="false">IF(R1934="","",MAX(0,R1934-G1934))</f>
        <v/>
      </c>
      <c r="T1934" s="21" t="str">
        <f aca="false">IF(S1934="","",S1934*K1934)</f>
        <v/>
      </c>
      <c r="U1934" s="5" t="str">
        <f aca="false">IF(A1934="","",IF(J1934&gt;Parâmetros!$C$14,"SIM","NAO"))</f>
        <v/>
      </c>
      <c r="V1934" s="5" t="str">
        <f aca="false">IF(B1934="","",TRIM(LEFT(B1934,IFERROR(FIND(" ",B1934)-1,LEN(B1934)))))</f>
        <v/>
      </c>
      <c r="W1934" s="22"/>
      <c r="X1934" s="5" t="str">
        <f aca="false">IF(A1934="","",IF(W1934&lt;&gt;"",W1934,V1934))</f>
        <v/>
      </c>
      <c r="Y1934" s="5" t="str">
        <f aca="false">IF(A1934="","",IF(COUNTIFS($X$2:$X$2001,X1934,$D$2:$D$2001,"&lt;&gt;"&amp;D1934,$C$2:$C$2001,C1934)&gt;0,"SIM","NAO"))</f>
        <v/>
      </c>
      <c r="Z1934" s="5" t="str">
        <f aca="false">IF(A1934="","",IF(J1934="","",IFERROR(360/J1934,"")))</f>
        <v/>
      </c>
      <c r="AA1934" s="5" t="str">
        <f aca="false">IF(A1934="","",IF(H1934=0,"Parado (sem venda 90d)",IF(Z1934&gt;12,"Alto (&gt;12x/ano)",IF(Z1934&gt;=4,"Medio (4-12x/ano)","Baixo (&lt;4x/ano)"))))</f>
        <v/>
      </c>
    </row>
    <row r="1935" customFormat="false" ht="15" hidden="false" customHeight="true" outlineLevel="0" collapsed="false">
      <c r="A1935" s="6"/>
      <c r="B1935" s="6"/>
      <c r="C1935" s="6"/>
      <c r="D1935" s="6"/>
      <c r="E1935" s="6"/>
      <c r="F1935" s="6"/>
      <c r="G1935" s="6"/>
      <c r="H1935" s="6"/>
      <c r="I1935" s="6"/>
      <c r="J1935" s="6"/>
      <c r="K1935" s="18"/>
      <c r="L1935" s="19" t="str">
        <f aca="false">IF(A1935="","",G1935*K1935)</f>
        <v/>
      </c>
      <c r="M1935" s="20"/>
      <c r="N1935" s="6"/>
      <c r="O1935" s="6"/>
      <c r="P1935" s="5" t="str">
        <f aca="false">IF(A1935="","",H1935/90)</f>
        <v/>
      </c>
      <c r="Q1935" s="5" t="str">
        <f aca="false">IF(A1935="","",IFERROR(INDEX(Parâmetros!$C$6:$C$10,MATCH(F1935,Parâmetros!$B$6:$B$10,0)),""))</f>
        <v/>
      </c>
      <c r="R1935" s="5" t="str">
        <f aca="false">IF(OR(A1935="",P1935="",Q1935=""),"",P1935*Q1935)</f>
        <v/>
      </c>
      <c r="S1935" s="5" t="str">
        <f aca="false">IF(R1935="","",MAX(0,R1935-G1935))</f>
        <v/>
      </c>
      <c r="T1935" s="21" t="str">
        <f aca="false">IF(S1935="","",S1935*K1935)</f>
        <v/>
      </c>
      <c r="U1935" s="5" t="str">
        <f aca="false">IF(A1935="","",IF(J1935&gt;Parâmetros!$C$14,"SIM","NAO"))</f>
        <v/>
      </c>
      <c r="V1935" s="5" t="str">
        <f aca="false">IF(B1935="","",TRIM(LEFT(B1935,IFERROR(FIND(" ",B1935)-1,LEN(B1935)))))</f>
        <v/>
      </c>
      <c r="W1935" s="22"/>
      <c r="X1935" s="5" t="str">
        <f aca="false">IF(A1935="","",IF(W1935&lt;&gt;"",W1935,V1935))</f>
        <v/>
      </c>
      <c r="Y1935" s="5" t="str">
        <f aca="false">IF(A1935="","",IF(COUNTIFS($X$2:$X$2001,X1935,$D$2:$D$2001,"&lt;&gt;"&amp;D1935,$C$2:$C$2001,C1935)&gt;0,"SIM","NAO"))</f>
        <v/>
      </c>
      <c r="Z1935" s="5" t="str">
        <f aca="false">IF(A1935="","",IF(J1935="","",IFERROR(360/J1935,"")))</f>
        <v/>
      </c>
      <c r="AA1935" s="5" t="str">
        <f aca="false">IF(A1935="","",IF(H1935=0,"Parado (sem venda 90d)",IF(Z1935&gt;12,"Alto (&gt;12x/ano)",IF(Z1935&gt;=4,"Medio (4-12x/ano)","Baixo (&lt;4x/ano)"))))</f>
        <v/>
      </c>
    </row>
    <row r="1936" customFormat="false" ht="15" hidden="false" customHeight="true" outlineLevel="0" collapsed="false">
      <c r="A1936" s="6"/>
      <c r="B1936" s="6"/>
      <c r="C1936" s="6"/>
      <c r="D1936" s="6"/>
      <c r="E1936" s="6"/>
      <c r="F1936" s="6"/>
      <c r="G1936" s="6"/>
      <c r="H1936" s="6"/>
      <c r="I1936" s="6"/>
      <c r="J1936" s="6"/>
      <c r="K1936" s="18"/>
      <c r="L1936" s="19" t="str">
        <f aca="false">IF(A1936="","",G1936*K1936)</f>
        <v/>
      </c>
      <c r="M1936" s="20"/>
      <c r="N1936" s="6"/>
      <c r="O1936" s="6"/>
      <c r="P1936" s="5" t="str">
        <f aca="false">IF(A1936="","",H1936/90)</f>
        <v/>
      </c>
      <c r="Q1936" s="5" t="str">
        <f aca="false">IF(A1936="","",IFERROR(INDEX(Parâmetros!$C$6:$C$10,MATCH(F1936,Parâmetros!$B$6:$B$10,0)),""))</f>
        <v/>
      </c>
      <c r="R1936" s="5" t="str">
        <f aca="false">IF(OR(A1936="",P1936="",Q1936=""),"",P1936*Q1936)</f>
        <v/>
      </c>
      <c r="S1936" s="5" t="str">
        <f aca="false">IF(R1936="","",MAX(0,R1936-G1936))</f>
        <v/>
      </c>
      <c r="T1936" s="21" t="str">
        <f aca="false">IF(S1936="","",S1936*K1936)</f>
        <v/>
      </c>
      <c r="U1936" s="5" t="str">
        <f aca="false">IF(A1936="","",IF(J1936&gt;Parâmetros!$C$14,"SIM","NAO"))</f>
        <v/>
      </c>
      <c r="V1936" s="5" t="str">
        <f aca="false">IF(B1936="","",TRIM(LEFT(B1936,IFERROR(FIND(" ",B1936)-1,LEN(B1936)))))</f>
        <v/>
      </c>
      <c r="W1936" s="22"/>
      <c r="X1936" s="5" t="str">
        <f aca="false">IF(A1936="","",IF(W1936&lt;&gt;"",W1936,V1936))</f>
        <v/>
      </c>
      <c r="Y1936" s="5" t="str">
        <f aca="false">IF(A1936="","",IF(COUNTIFS($X$2:$X$2001,X1936,$D$2:$D$2001,"&lt;&gt;"&amp;D1936,$C$2:$C$2001,C1936)&gt;0,"SIM","NAO"))</f>
        <v/>
      </c>
      <c r="Z1936" s="5" t="str">
        <f aca="false">IF(A1936="","",IF(J1936="","",IFERROR(360/J1936,"")))</f>
        <v/>
      </c>
      <c r="AA1936" s="5" t="str">
        <f aca="false">IF(A1936="","",IF(H1936=0,"Parado (sem venda 90d)",IF(Z1936&gt;12,"Alto (&gt;12x/ano)",IF(Z1936&gt;=4,"Medio (4-12x/ano)","Baixo (&lt;4x/ano)"))))</f>
        <v/>
      </c>
    </row>
    <row r="1937" customFormat="false" ht="15" hidden="false" customHeight="true" outlineLevel="0" collapsed="false">
      <c r="A1937" s="6"/>
      <c r="B1937" s="6"/>
      <c r="C1937" s="6"/>
      <c r="D1937" s="6"/>
      <c r="E1937" s="6"/>
      <c r="F1937" s="6"/>
      <c r="G1937" s="6"/>
      <c r="H1937" s="6"/>
      <c r="I1937" s="6"/>
      <c r="J1937" s="6"/>
      <c r="K1937" s="18"/>
      <c r="L1937" s="19" t="str">
        <f aca="false">IF(A1937="","",G1937*K1937)</f>
        <v/>
      </c>
      <c r="M1937" s="20"/>
      <c r="N1937" s="6"/>
      <c r="O1937" s="6"/>
      <c r="P1937" s="5" t="str">
        <f aca="false">IF(A1937="","",H1937/90)</f>
        <v/>
      </c>
      <c r="Q1937" s="5" t="str">
        <f aca="false">IF(A1937="","",IFERROR(INDEX(Parâmetros!$C$6:$C$10,MATCH(F1937,Parâmetros!$B$6:$B$10,0)),""))</f>
        <v/>
      </c>
      <c r="R1937" s="5" t="str">
        <f aca="false">IF(OR(A1937="",P1937="",Q1937=""),"",P1937*Q1937)</f>
        <v/>
      </c>
      <c r="S1937" s="5" t="str">
        <f aca="false">IF(R1937="","",MAX(0,R1937-G1937))</f>
        <v/>
      </c>
      <c r="T1937" s="21" t="str">
        <f aca="false">IF(S1937="","",S1937*K1937)</f>
        <v/>
      </c>
      <c r="U1937" s="5" t="str">
        <f aca="false">IF(A1937="","",IF(J1937&gt;Parâmetros!$C$14,"SIM","NAO"))</f>
        <v/>
      </c>
      <c r="V1937" s="5" t="str">
        <f aca="false">IF(B1937="","",TRIM(LEFT(B1937,IFERROR(FIND(" ",B1937)-1,LEN(B1937)))))</f>
        <v/>
      </c>
      <c r="W1937" s="22"/>
      <c r="X1937" s="5" t="str">
        <f aca="false">IF(A1937="","",IF(W1937&lt;&gt;"",W1937,V1937))</f>
        <v/>
      </c>
      <c r="Y1937" s="5" t="str">
        <f aca="false">IF(A1937="","",IF(COUNTIFS($X$2:$X$2001,X1937,$D$2:$D$2001,"&lt;&gt;"&amp;D1937,$C$2:$C$2001,C1937)&gt;0,"SIM","NAO"))</f>
        <v/>
      </c>
      <c r="Z1937" s="5" t="str">
        <f aca="false">IF(A1937="","",IF(J1937="","",IFERROR(360/J1937,"")))</f>
        <v/>
      </c>
      <c r="AA1937" s="5" t="str">
        <f aca="false">IF(A1937="","",IF(H1937=0,"Parado (sem venda 90d)",IF(Z1937&gt;12,"Alto (&gt;12x/ano)",IF(Z1937&gt;=4,"Medio (4-12x/ano)","Baixo (&lt;4x/ano)"))))</f>
        <v/>
      </c>
    </row>
    <row r="1938" customFormat="false" ht="15" hidden="false" customHeight="true" outlineLevel="0" collapsed="false">
      <c r="A1938" s="6"/>
      <c r="B1938" s="6"/>
      <c r="C1938" s="6"/>
      <c r="D1938" s="6"/>
      <c r="E1938" s="6"/>
      <c r="F1938" s="6"/>
      <c r="G1938" s="6"/>
      <c r="H1938" s="6"/>
      <c r="I1938" s="6"/>
      <c r="J1938" s="6"/>
      <c r="K1938" s="18"/>
      <c r="L1938" s="19" t="str">
        <f aca="false">IF(A1938="","",G1938*K1938)</f>
        <v/>
      </c>
      <c r="M1938" s="20"/>
      <c r="N1938" s="6"/>
      <c r="O1938" s="6"/>
      <c r="P1938" s="5" t="str">
        <f aca="false">IF(A1938="","",H1938/90)</f>
        <v/>
      </c>
      <c r="Q1938" s="5" t="str">
        <f aca="false">IF(A1938="","",IFERROR(INDEX(Parâmetros!$C$6:$C$10,MATCH(F1938,Parâmetros!$B$6:$B$10,0)),""))</f>
        <v/>
      </c>
      <c r="R1938" s="5" t="str">
        <f aca="false">IF(OR(A1938="",P1938="",Q1938=""),"",P1938*Q1938)</f>
        <v/>
      </c>
      <c r="S1938" s="5" t="str">
        <f aca="false">IF(R1938="","",MAX(0,R1938-G1938))</f>
        <v/>
      </c>
      <c r="T1938" s="21" t="str">
        <f aca="false">IF(S1938="","",S1938*K1938)</f>
        <v/>
      </c>
      <c r="U1938" s="5" t="str">
        <f aca="false">IF(A1938="","",IF(J1938&gt;Parâmetros!$C$14,"SIM","NAO"))</f>
        <v/>
      </c>
      <c r="V1938" s="5" t="str">
        <f aca="false">IF(B1938="","",TRIM(LEFT(B1938,IFERROR(FIND(" ",B1938)-1,LEN(B1938)))))</f>
        <v/>
      </c>
      <c r="W1938" s="22"/>
      <c r="X1938" s="5" t="str">
        <f aca="false">IF(A1938="","",IF(W1938&lt;&gt;"",W1938,V1938))</f>
        <v/>
      </c>
      <c r="Y1938" s="5" t="str">
        <f aca="false">IF(A1938="","",IF(COUNTIFS($X$2:$X$2001,X1938,$D$2:$D$2001,"&lt;&gt;"&amp;D1938,$C$2:$C$2001,C1938)&gt;0,"SIM","NAO"))</f>
        <v/>
      </c>
      <c r="Z1938" s="5" t="str">
        <f aca="false">IF(A1938="","",IF(J1938="","",IFERROR(360/J1938,"")))</f>
        <v/>
      </c>
      <c r="AA1938" s="5" t="str">
        <f aca="false">IF(A1938="","",IF(H1938=0,"Parado (sem venda 90d)",IF(Z1938&gt;12,"Alto (&gt;12x/ano)",IF(Z1938&gt;=4,"Medio (4-12x/ano)","Baixo (&lt;4x/ano)"))))</f>
        <v/>
      </c>
    </row>
    <row r="1939" customFormat="false" ht="15" hidden="false" customHeight="true" outlineLevel="0" collapsed="false">
      <c r="A1939" s="6"/>
      <c r="B1939" s="6"/>
      <c r="C1939" s="6"/>
      <c r="D1939" s="6"/>
      <c r="E1939" s="6"/>
      <c r="F1939" s="6"/>
      <c r="G1939" s="6"/>
      <c r="H1939" s="6"/>
      <c r="I1939" s="6"/>
      <c r="J1939" s="6"/>
      <c r="K1939" s="18"/>
      <c r="L1939" s="19" t="str">
        <f aca="false">IF(A1939="","",G1939*K1939)</f>
        <v/>
      </c>
      <c r="M1939" s="20"/>
      <c r="N1939" s="6"/>
      <c r="O1939" s="6"/>
      <c r="P1939" s="5" t="str">
        <f aca="false">IF(A1939="","",H1939/90)</f>
        <v/>
      </c>
      <c r="Q1939" s="5" t="str">
        <f aca="false">IF(A1939="","",IFERROR(INDEX(Parâmetros!$C$6:$C$10,MATCH(F1939,Parâmetros!$B$6:$B$10,0)),""))</f>
        <v/>
      </c>
      <c r="R1939" s="5" t="str">
        <f aca="false">IF(OR(A1939="",P1939="",Q1939=""),"",P1939*Q1939)</f>
        <v/>
      </c>
      <c r="S1939" s="5" t="str">
        <f aca="false">IF(R1939="","",MAX(0,R1939-G1939))</f>
        <v/>
      </c>
      <c r="T1939" s="21" t="str">
        <f aca="false">IF(S1939="","",S1939*K1939)</f>
        <v/>
      </c>
      <c r="U1939" s="5" t="str">
        <f aca="false">IF(A1939="","",IF(J1939&gt;Parâmetros!$C$14,"SIM","NAO"))</f>
        <v/>
      </c>
      <c r="V1939" s="5" t="str">
        <f aca="false">IF(B1939="","",TRIM(LEFT(B1939,IFERROR(FIND(" ",B1939)-1,LEN(B1939)))))</f>
        <v/>
      </c>
      <c r="W1939" s="22"/>
      <c r="X1939" s="5" t="str">
        <f aca="false">IF(A1939="","",IF(W1939&lt;&gt;"",W1939,V1939))</f>
        <v/>
      </c>
      <c r="Y1939" s="5" t="str">
        <f aca="false">IF(A1939="","",IF(COUNTIFS($X$2:$X$2001,X1939,$D$2:$D$2001,"&lt;&gt;"&amp;D1939,$C$2:$C$2001,C1939)&gt;0,"SIM","NAO"))</f>
        <v/>
      </c>
      <c r="Z1939" s="5" t="str">
        <f aca="false">IF(A1939="","",IF(J1939="","",IFERROR(360/J1939,"")))</f>
        <v/>
      </c>
      <c r="AA1939" s="5" t="str">
        <f aca="false">IF(A1939="","",IF(H1939=0,"Parado (sem venda 90d)",IF(Z1939&gt;12,"Alto (&gt;12x/ano)",IF(Z1939&gt;=4,"Medio (4-12x/ano)","Baixo (&lt;4x/ano)"))))</f>
        <v/>
      </c>
    </row>
    <row r="1940" customFormat="false" ht="15" hidden="false" customHeight="true" outlineLevel="0" collapsed="false">
      <c r="A1940" s="6"/>
      <c r="B1940" s="6"/>
      <c r="C1940" s="6"/>
      <c r="D1940" s="6"/>
      <c r="E1940" s="6"/>
      <c r="F1940" s="6"/>
      <c r="G1940" s="6"/>
      <c r="H1940" s="6"/>
      <c r="I1940" s="6"/>
      <c r="J1940" s="6"/>
      <c r="K1940" s="18"/>
      <c r="L1940" s="19" t="str">
        <f aca="false">IF(A1940="","",G1940*K1940)</f>
        <v/>
      </c>
      <c r="M1940" s="20"/>
      <c r="N1940" s="6"/>
      <c r="O1940" s="6"/>
      <c r="P1940" s="5" t="str">
        <f aca="false">IF(A1940="","",H1940/90)</f>
        <v/>
      </c>
      <c r="Q1940" s="5" t="str">
        <f aca="false">IF(A1940="","",IFERROR(INDEX(Parâmetros!$C$6:$C$10,MATCH(F1940,Parâmetros!$B$6:$B$10,0)),""))</f>
        <v/>
      </c>
      <c r="R1940" s="5" t="str">
        <f aca="false">IF(OR(A1940="",P1940="",Q1940=""),"",P1940*Q1940)</f>
        <v/>
      </c>
      <c r="S1940" s="5" t="str">
        <f aca="false">IF(R1940="","",MAX(0,R1940-G1940))</f>
        <v/>
      </c>
      <c r="T1940" s="21" t="str">
        <f aca="false">IF(S1940="","",S1940*K1940)</f>
        <v/>
      </c>
      <c r="U1940" s="5" t="str">
        <f aca="false">IF(A1940="","",IF(J1940&gt;Parâmetros!$C$14,"SIM","NAO"))</f>
        <v/>
      </c>
      <c r="V1940" s="5" t="str">
        <f aca="false">IF(B1940="","",TRIM(LEFT(B1940,IFERROR(FIND(" ",B1940)-1,LEN(B1940)))))</f>
        <v/>
      </c>
      <c r="W1940" s="22"/>
      <c r="X1940" s="5" t="str">
        <f aca="false">IF(A1940="","",IF(W1940&lt;&gt;"",W1940,V1940))</f>
        <v/>
      </c>
      <c r="Y1940" s="5" t="str">
        <f aca="false">IF(A1940="","",IF(COUNTIFS($X$2:$X$2001,X1940,$D$2:$D$2001,"&lt;&gt;"&amp;D1940,$C$2:$C$2001,C1940)&gt;0,"SIM","NAO"))</f>
        <v/>
      </c>
      <c r="Z1940" s="5" t="str">
        <f aca="false">IF(A1940="","",IF(J1940="","",IFERROR(360/J1940,"")))</f>
        <v/>
      </c>
      <c r="AA1940" s="5" t="str">
        <f aca="false">IF(A1940="","",IF(H1940=0,"Parado (sem venda 90d)",IF(Z1940&gt;12,"Alto (&gt;12x/ano)",IF(Z1940&gt;=4,"Medio (4-12x/ano)","Baixo (&lt;4x/ano)"))))</f>
        <v/>
      </c>
    </row>
    <row r="1941" customFormat="false" ht="15" hidden="false" customHeight="true" outlineLevel="0" collapsed="false">
      <c r="A1941" s="6"/>
      <c r="B1941" s="6"/>
      <c r="C1941" s="6"/>
      <c r="D1941" s="6"/>
      <c r="E1941" s="6"/>
      <c r="F1941" s="6"/>
      <c r="G1941" s="6"/>
      <c r="H1941" s="6"/>
      <c r="I1941" s="6"/>
      <c r="J1941" s="6"/>
      <c r="K1941" s="18"/>
      <c r="L1941" s="19" t="str">
        <f aca="false">IF(A1941="","",G1941*K1941)</f>
        <v/>
      </c>
      <c r="M1941" s="20"/>
      <c r="N1941" s="6"/>
      <c r="O1941" s="6"/>
      <c r="P1941" s="5" t="str">
        <f aca="false">IF(A1941="","",H1941/90)</f>
        <v/>
      </c>
      <c r="Q1941" s="5" t="str">
        <f aca="false">IF(A1941="","",IFERROR(INDEX(Parâmetros!$C$6:$C$10,MATCH(F1941,Parâmetros!$B$6:$B$10,0)),""))</f>
        <v/>
      </c>
      <c r="R1941" s="5" t="str">
        <f aca="false">IF(OR(A1941="",P1941="",Q1941=""),"",P1941*Q1941)</f>
        <v/>
      </c>
      <c r="S1941" s="5" t="str">
        <f aca="false">IF(R1941="","",MAX(0,R1941-G1941))</f>
        <v/>
      </c>
      <c r="T1941" s="21" t="str">
        <f aca="false">IF(S1941="","",S1941*K1941)</f>
        <v/>
      </c>
      <c r="U1941" s="5" t="str">
        <f aca="false">IF(A1941="","",IF(J1941&gt;Parâmetros!$C$14,"SIM","NAO"))</f>
        <v/>
      </c>
      <c r="V1941" s="5" t="str">
        <f aca="false">IF(B1941="","",TRIM(LEFT(B1941,IFERROR(FIND(" ",B1941)-1,LEN(B1941)))))</f>
        <v/>
      </c>
      <c r="W1941" s="22"/>
      <c r="X1941" s="5" t="str">
        <f aca="false">IF(A1941="","",IF(W1941&lt;&gt;"",W1941,V1941))</f>
        <v/>
      </c>
      <c r="Y1941" s="5" t="str">
        <f aca="false">IF(A1941="","",IF(COUNTIFS($X$2:$X$2001,X1941,$D$2:$D$2001,"&lt;&gt;"&amp;D1941,$C$2:$C$2001,C1941)&gt;0,"SIM","NAO"))</f>
        <v/>
      </c>
      <c r="Z1941" s="5" t="str">
        <f aca="false">IF(A1941="","",IF(J1941="","",IFERROR(360/J1941,"")))</f>
        <v/>
      </c>
      <c r="AA1941" s="5" t="str">
        <f aca="false">IF(A1941="","",IF(H1941=0,"Parado (sem venda 90d)",IF(Z1941&gt;12,"Alto (&gt;12x/ano)",IF(Z1941&gt;=4,"Medio (4-12x/ano)","Baixo (&lt;4x/ano)"))))</f>
        <v/>
      </c>
    </row>
    <row r="1942" customFormat="false" ht="15" hidden="false" customHeight="true" outlineLevel="0" collapsed="false">
      <c r="A1942" s="6"/>
      <c r="B1942" s="6"/>
      <c r="C1942" s="6"/>
      <c r="D1942" s="6"/>
      <c r="E1942" s="6"/>
      <c r="F1942" s="6"/>
      <c r="G1942" s="6"/>
      <c r="H1942" s="6"/>
      <c r="I1942" s="6"/>
      <c r="J1942" s="6"/>
      <c r="K1942" s="18"/>
      <c r="L1942" s="19" t="str">
        <f aca="false">IF(A1942="","",G1942*K1942)</f>
        <v/>
      </c>
      <c r="M1942" s="20"/>
      <c r="N1942" s="6"/>
      <c r="O1942" s="6"/>
      <c r="P1942" s="5" t="str">
        <f aca="false">IF(A1942="","",H1942/90)</f>
        <v/>
      </c>
      <c r="Q1942" s="5" t="str">
        <f aca="false">IF(A1942="","",IFERROR(INDEX(Parâmetros!$C$6:$C$10,MATCH(F1942,Parâmetros!$B$6:$B$10,0)),""))</f>
        <v/>
      </c>
      <c r="R1942" s="5" t="str">
        <f aca="false">IF(OR(A1942="",P1942="",Q1942=""),"",P1942*Q1942)</f>
        <v/>
      </c>
      <c r="S1942" s="5" t="str">
        <f aca="false">IF(R1942="","",MAX(0,R1942-G1942))</f>
        <v/>
      </c>
      <c r="T1942" s="21" t="str">
        <f aca="false">IF(S1942="","",S1942*K1942)</f>
        <v/>
      </c>
      <c r="U1942" s="5" t="str">
        <f aca="false">IF(A1942="","",IF(J1942&gt;Parâmetros!$C$14,"SIM","NAO"))</f>
        <v/>
      </c>
      <c r="V1942" s="5" t="str">
        <f aca="false">IF(B1942="","",TRIM(LEFT(B1942,IFERROR(FIND(" ",B1942)-1,LEN(B1942)))))</f>
        <v/>
      </c>
      <c r="W1942" s="22"/>
      <c r="X1942" s="5" t="str">
        <f aca="false">IF(A1942="","",IF(W1942&lt;&gt;"",W1942,V1942))</f>
        <v/>
      </c>
      <c r="Y1942" s="5" t="str">
        <f aca="false">IF(A1942="","",IF(COUNTIFS($X$2:$X$2001,X1942,$D$2:$D$2001,"&lt;&gt;"&amp;D1942,$C$2:$C$2001,C1942)&gt;0,"SIM","NAO"))</f>
        <v/>
      </c>
      <c r="Z1942" s="5" t="str">
        <f aca="false">IF(A1942="","",IF(J1942="","",IFERROR(360/J1942,"")))</f>
        <v/>
      </c>
      <c r="AA1942" s="5" t="str">
        <f aca="false">IF(A1942="","",IF(H1942=0,"Parado (sem venda 90d)",IF(Z1942&gt;12,"Alto (&gt;12x/ano)",IF(Z1942&gt;=4,"Medio (4-12x/ano)","Baixo (&lt;4x/ano)"))))</f>
        <v/>
      </c>
    </row>
    <row r="1943" customFormat="false" ht="15" hidden="false" customHeight="true" outlineLevel="0" collapsed="false">
      <c r="A1943" s="6"/>
      <c r="B1943" s="6"/>
      <c r="C1943" s="6"/>
      <c r="D1943" s="6"/>
      <c r="E1943" s="6"/>
      <c r="F1943" s="6"/>
      <c r="G1943" s="6"/>
      <c r="H1943" s="6"/>
      <c r="I1943" s="6"/>
      <c r="J1943" s="6"/>
      <c r="K1943" s="18"/>
      <c r="L1943" s="19" t="str">
        <f aca="false">IF(A1943="","",G1943*K1943)</f>
        <v/>
      </c>
      <c r="M1943" s="20"/>
      <c r="N1943" s="6"/>
      <c r="O1943" s="6"/>
      <c r="P1943" s="5" t="str">
        <f aca="false">IF(A1943="","",H1943/90)</f>
        <v/>
      </c>
      <c r="Q1943" s="5" t="str">
        <f aca="false">IF(A1943="","",IFERROR(INDEX(Parâmetros!$C$6:$C$10,MATCH(F1943,Parâmetros!$B$6:$B$10,0)),""))</f>
        <v/>
      </c>
      <c r="R1943" s="5" t="str">
        <f aca="false">IF(OR(A1943="",P1943="",Q1943=""),"",P1943*Q1943)</f>
        <v/>
      </c>
      <c r="S1943" s="5" t="str">
        <f aca="false">IF(R1943="","",MAX(0,R1943-G1943))</f>
        <v/>
      </c>
      <c r="T1943" s="21" t="str">
        <f aca="false">IF(S1943="","",S1943*K1943)</f>
        <v/>
      </c>
      <c r="U1943" s="5" t="str">
        <f aca="false">IF(A1943="","",IF(J1943&gt;Parâmetros!$C$14,"SIM","NAO"))</f>
        <v/>
      </c>
      <c r="V1943" s="5" t="str">
        <f aca="false">IF(B1943="","",TRIM(LEFT(B1943,IFERROR(FIND(" ",B1943)-1,LEN(B1943)))))</f>
        <v/>
      </c>
      <c r="W1943" s="22"/>
      <c r="X1943" s="5" t="str">
        <f aca="false">IF(A1943="","",IF(W1943&lt;&gt;"",W1943,V1943))</f>
        <v/>
      </c>
      <c r="Y1943" s="5" t="str">
        <f aca="false">IF(A1943="","",IF(COUNTIFS($X$2:$X$2001,X1943,$D$2:$D$2001,"&lt;&gt;"&amp;D1943,$C$2:$C$2001,C1943)&gt;0,"SIM","NAO"))</f>
        <v/>
      </c>
      <c r="Z1943" s="5" t="str">
        <f aca="false">IF(A1943="","",IF(J1943="","",IFERROR(360/J1943,"")))</f>
        <v/>
      </c>
      <c r="AA1943" s="5" t="str">
        <f aca="false">IF(A1943="","",IF(H1943=0,"Parado (sem venda 90d)",IF(Z1943&gt;12,"Alto (&gt;12x/ano)",IF(Z1943&gt;=4,"Medio (4-12x/ano)","Baixo (&lt;4x/ano)"))))</f>
        <v/>
      </c>
    </row>
    <row r="1944" customFormat="false" ht="15" hidden="false" customHeight="true" outlineLevel="0" collapsed="false">
      <c r="A1944" s="6"/>
      <c r="B1944" s="6"/>
      <c r="C1944" s="6"/>
      <c r="D1944" s="6"/>
      <c r="E1944" s="6"/>
      <c r="F1944" s="6"/>
      <c r="G1944" s="6"/>
      <c r="H1944" s="6"/>
      <c r="I1944" s="6"/>
      <c r="J1944" s="6"/>
      <c r="K1944" s="18"/>
      <c r="L1944" s="19" t="str">
        <f aca="false">IF(A1944="","",G1944*K1944)</f>
        <v/>
      </c>
      <c r="M1944" s="20"/>
      <c r="N1944" s="6"/>
      <c r="O1944" s="6"/>
      <c r="P1944" s="5" t="str">
        <f aca="false">IF(A1944="","",H1944/90)</f>
        <v/>
      </c>
      <c r="Q1944" s="5" t="str">
        <f aca="false">IF(A1944="","",IFERROR(INDEX(Parâmetros!$C$6:$C$10,MATCH(F1944,Parâmetros!$B$6:$B$10,0)),""))</f>
        <v/>
      </c>
      <c r="R1944" s="5" t="str">
        <f aca="false">IF(OR(A1944="",P1944="",Q1944=""),"",P1944*Q1944)</f>
        <v/>
      </c>
      <c r="S1944" s="5" t="str">
        <f aca="false">IF(R1944="","",MAX(0,R1944-G1944))</f>
        <v/>
      </c>
      <c r="T1944" s="21" t="str">
        <f aca="false">IF(S1944="","",S1944*K1944)</f>
        <v/>
      </c>
      <c r="U1944" s="5" t="str">
        <f aca="false">IF(A1944="","",IF(J1944&gt;Parâmetros!$C$14,"SIM","NAO"))</f>
        <v/>
      </c>
      <c r="V1944" s="5" t="str">
        <f aca="false">IF(B1944="","",TRIM(LEFT(B1944,IFERROR(FIND(" ",B1944)-1,LEN(B1944)))))</f>
        <v/>
      </c>
      <c r="W1944" s="22"/>
      <c r="X1944" s="5" t="str">
        <f aca="false">IF(A1944="","",IF(W1944&lt;&gt;"",W1944,V1944))</f>
        <v/>
      </c>
      <c r="Y1944" s="5" t="str">
        <f aca="false">IF(A1944="","",IF(COUNTIFS($X$2:$X$2001,X1944,$D$2:$D$2001,"&lt;&gt;"&amp;D1944,$C$2:$C$2001,C1944)&gt;0,"SIM","NAO"))</f>
        <v/>
      </c>
      <c r="Z1944" s="5" t="str">
        <f aca="false">IF(A1944="","",IF(J1944="","",IFERROR(360/J1944,"")))</f>
        <v/>
      </c>
      <c r="AA1944" s="5" t="str">
        <f aca="false">IF(A1944="","",IF(H1944=0,"Parado (sem venda 90d)",IF(Z1944&gt;12,"Alto (&gt;12x/ano)",IF(Z1944&gt;=4,"Medio (4-12x/ano)","Baixo (&lt;4x/ano)"))))</f>
        <v/>
      </c>
    </row>
    <row r="1945" customFormat="false" ht="15" hidden="false" customHeight="true" outlineLevel="0" collapsed="false">
      <c r="A1945" s="6"/>
      <c r="B1945" s="6"/>
      <c r="C1945" s="6"/>
      <c r="D1945" s="6"/>
      <c r="E1945" s="6"/>
      <c r="F1945" s="6"/>
      <c r="G1945" s="6"/>
      <c r="H1945" s="6"/>
      <c r="I1945" s="6"/>
      <c r="J1945" s="6"/>
      <c r="K1945" s="18"/>
      <c r="L1945" s="19" t="str">
        <f aca="false">IF(A1945="","",G1945*K1945)</f>
        <v/>
      </c>
      <c r="M1945" s="20"/>
      <c r="N1945" s="6"/>
      <c r="O1945" s="6"/>
      <c r="P1945" s="5" t="str">
        <f aca="false">IF(A1945="","",H1945/90)</f>
        <v/>
      </c>
      <c r="Q1945" s="5" t="str">
        <f aca="false">IF(A1945="","",IFERROR(INDEX(Parâmetros!$C$6:$C$10,MATCH(F1945,Parâmetros!$B$6:$B$10,0)),""))</f>
        <v/>
      </c>
      <c r="R1945" s="5" t="str">
        <f aca="false">IF(OR(A1945="",P1945="",Q1945=""),"",P1945*Q1945)</f>
        <v/>
      </c>
      <c r="S1945" s="5" t="str">
        <f aca="false">IF(R1945="","",MAX(0,R1945-G1945))</f>
        <v/>
      </c>
      <c r="T1945" s="21" t="str">
        <f aca="false">IF(S1945="","",S1945*K1945)</f>
        <v/>
      </c>
      <c r="U1945" s="5" t="str">
        <f aca="false">IF(A1945="","",IF(J1945&gt;Parâmetros!$C$14,"SIM","NAO"))</f>
        <v/>
      </c>
      <c r="V1945" s="5" t="str">
        <f aca="false">IF(B1945="","",TRIM(LEFT(B1945,IFERROR(FIND(" ",B1945)-1,LEN(B1945)))))</f>
        <v/>
      </c>
      <c r="W1945" s="22"/>
      <c r="X1945" s="5" t="str">
        <f aca="false">IF(A1945="","",IF(W1945&lt;&gt;"",W1945,V1945))</f>
        <v/>
      </c>
      <c r="Y1945" s="5" t="str">
        <f aca="false">IF(A1945="","",IF(COUNTIFS($X$2:$X$2001,X1945,$D$2:$D$2001,"&lt;&gt;"&amp;D1945,$C$2:$C$2001,C1945)&gt;0,"SIM","NAO"))</f>
        <v/>
      </c>
      <c r="Z1945" s="5" t="str">
        <f aca="false">IF(A1945="","",IF(J1945="","",IFERROR(360/J1945,"")))</f>
        <v/>
      </c>
      <c r="AA1945" s="5" t="str">
        <f aca="false">IF(A1945="","",IF(H1945=0,"Parado (sem venda 90d)",IF(Z1945&gt;12,"Alto (&gt;12x/ano)",IF(Z1945&gt;=4,"Medio (4-12x/ano)","Baixo (&lt;4x/ano)"))))</f>
        <v/>
      </c>
    </row>
    <row r="1946" customFormat="false" ht="15" hidden="false" customHeight="true" outlineLevel="0" collapsed="false">
      <c r="A1946" s="6"/>
      <c r="B1946" s="6"/>
      <c r="C1946" s="6"/>
      <c r="D1946" s="6"/>
      <c r="E1946" s="6"/>
      <c r="F1946" s="6"/>
      <c r="G1946" s="6"/>
      <c r="H1946" s="6"/>
      <c r="I1946" s="6"/>
      <c r="J1946" s="6"/>
      <c r="K1946" s="18"/>
      <c r="L1946" s="19" t="str">
        <f aca="false">IF(A1946="","",G1946*K1946)</f>
        <v/>
      </c>
      <c r="M1946" s="20"/>
      <c r="N1946" s="6"/>
      <c r="O1946" s="6"/>
      <c r="P1946" s="5" t="str">
        <f aca="false">IF(A1946="","",H1946/90)</f>
        <v/>
      </c>
      <c r="Q1946" s="5" t="str">
        <f aca="false">IF(A1946="","",IFERROR(INDEX(Parâmetros!$C$6:$C$10,MATCH(F1946,Parâmetros!$B$6:$B$10,0)),""))</f>
        <v/>
      </c>
      <c r="R1946" s="5" t="str">
        <f aca="false">IF(OR(A1946="",P1946="",Q1946=""),"",P1946*Q1946)</f>
        <v/>
      </c>
      <c r="S1946" s="5" t="str">
        <f aca="false">IF(R1946="","",MAX(0,R1946-G1946))</f>
        <v/>
      </c>
      <c r="T1946" s="21" t="str">
        <f aca="false">IF(S1946="","",S1946*K1946)</f>
        <v/>
      </c>
      <c r="U1946" s="5" t="str">
        <f aca="false">IF(A1946="","",IF(J1946&gt;Parâmetros!$C$14,"SIM","NAO"))</f>
        <v/>
      </c>
      <c r="V1946" s="5" t="str">
        <f aca="false">IF(B1946="","",TRIM(LEFT(B1946,IFERROR(FIND(" ",B1946)-1,LEN(B1946)))))</f>
        <v/>
      </c>
      <c r="W1946" s="22"/>
      <c r="X1946" s="5" t="str">
        <f aca="false">IF(A1946="","",IF(W1946&lt;&gt;"",W1946,V1946))</f>
        <v/>
      </c>
      <c r="Y1946" s="5" t="str">
        <f aca="false">IF(A1946="","",IF(COUNTIFS($X$2:$X$2001,X1946,$D$2:$D$2001,"&lt;&gt;"&amp;D1946,$C$2:$C$2001,C1946)&gt;0,"SIM","NAO"))</f>
        <v/>
      </c>
      <c r="Z1946" s="5" t="str">
        <f aca="false">IF(A1946="","",IF(J1946="","",IFERROR(360/J1946,"")))</f>
        <v/>
      </c>
      <c r="AA1946" s="5" t="str">
        <f aca="false">IF(A1946="","",IF(H1946=0,"Parado (sem venda 90d)",IF(Z1946&gt;12,"Alto (&gt;12x/ano)",IF(Z1946&gt;=4,"Medio (4-12x/ano)","Baixo (&lt;4x/ano)"))))</f>
        <v/>
      </c>
    </row>
    <row r="1947" customFormat="false" ht="15" hidden="false" customHeight="true" outlineLevel="0" collapsed="false">
      <c r="A1947" s="6"/>
      <c r="B1947" s="6"/>
      <c r="C1947" s="6"/>
      <c r="D1947" s="6"/>
      <c r="E1947" s="6"/>
      <c r="F1947" s="6"/>
      <c r="G1947" s="6"/>
      <c r="H1947" s="6"/>
      <c r="I1947" s="6"/>
      <c r="J1947" s="6"/>
      <c r="K1947" s="18"/>
      <c r="L1947" s="19" t="str">
        <f aca="false">IF(A1947="","",G1947*K1947)</f>
        <v/>
      </c>
      <c r="M1947" s="20"/>
      <c r="N1947" s="6"/>
      <c r="O1947" s="6"/>
      <c r="P1947" s="5" t="str">
        <f aca="false">IF(A1947="","",H1947/90)</f>
        <v/>
      </c>
      <c r="Q1947" s="5" t="str">
        <f aca="false">IF(A1947="","",IFERROR(INDEX(Parâmetros!$C$6:$C$10,MATCH(F1947,Parâmetros!$B$6:$B$10,0)),""))</f>
        <v/>
      </c>
      <c r="R1947" s="5" t="str">
        <f aca="false">IF(OR(A1947="",P1947="",Q1947=""),"",P1947*Q1947)</f>
        <v/>
      </c>
      <c r="S1947" s="5" t="str">
        <f aca="false">IF(R1947="","",MAX(0,R1947-G1947))</f>
        <v/>
      </c>
      <c r="T1947" s="21" t="str">
        <f aca="false">IF(S1947="","",S1947*K1947)</f>
        <v/>
      </c>
      <c r="U1947" s="5" t="str">
        <f aca="false">IF(A1947="","",IF(J1947&gt;Parâmetros!$C$14,"SIM","NAO"))</f>
        <v/>
      </c>
      <c r="V1947" s="5" t="str">
        <f aca="false">IF(B1947="","",TRIM(LEFT(B1947,IFERROR(FIND(" ",B1947)-1,LEN(B1947)))))</f>
        <v/>
      </c>
      <c r="W1947" s="22"/>
      <c r="X1947" s="5" t="str">
        <f aca="false">IF(A1947="","",IF(W1947&lt;&gt;"",W1947,V1947))</f>
        <v/>
      </c>
      <c r="Y1947" s="5" t="str">
        <f aca="false">IF(A1947="","",IF(COUNTIFS($X$2:$X$2001,X1947,$D$2:$D$2001,"&lt;&gt;"&amp;D1947,$C$2:$C$2001,C1947)&gt;0,"SIM","NAO"))</f>
        <v/>
      </c>
      <c r="Z1947" s="5" t="str">
        <f aca="false">IF(A1947="","",IF(J1947="","",IFERROR(360/J1947,"")))</f>
        <v/>
      </c>
      <c r="AA1947" s="5" t="str">
        <f aca="false">IF(A1947="","",IF(H1947=0,"Parado (sem venda 90d)",IF(Z1947&gt;12,"Alto (&gt;12x/ano)",IF(Z1947&gt;=4,"Medio (4-12x/ano)","Baixo (&lt;4x/ano)"))))</f>
        <v/>
      </c>
    </row>
    <row r="1948" customFormat="false" ht="15" hidden="false" customHeight="true" outlineLevel="0" collapsed="false">
      <c r="A1948" s="6"/>
      <c r="B1948" s="6"/>
      <c r="C1948" s="6"/>
      <c r="D1948" s="6"/>
      <c r="E1948" s="6"/>
      <c r="F1948" s="6"/>
      <c r="G1948" s="6"/>
      <c r="H1948" s="6"/>
      <c r="I1948" s="6"/>
      <c r="J1948" s="6"/>
      <c r="K1948" s="18"/>
      <c r="L1948" s="19" t="str">
        <f aca="false">IF(A1948="","",G1948*K1948)</f>
        <v/>
      </c>
      <c r="M1948" s="20"/>
      <c r="N1948" s="6"/>
      <c r="O1948" s="6"/>
      <c r="P1948" s="5" t="str">
        <f aca="false">IF(A1948="","",H1948/90)</f>
        <v/>
      </c>
      <c r="Q1948" s="5" t="str">
        <f aca="false">IF(A1948="","",IFERROR(INDEX(Parâmetros!$C$6:$C$10,MATCH(F1948,Parâmetros!$B$6:$B$10,0)),""))</f>
        <v/>
      </c>
      <c r="R1948" s="5" t="str">
        <f aca="false">IF(OR(A1948="",P1948="",Q1948=""),"",P1948*Q1948)</f>
        <v/>
      </c>
      <c r="S1948" s="5" t="str">
        <f aca="false">IF(R1948="","",MAX(0,R1948-G1948))</f>
        <v/>
      </c>
      <c r="T1948" s="21" t="str">
        <f aca="false">IF(S1948="","",S1948*K1948)</f>
        <v/>
      </c>
      <c r="U1948" s="5" t="str">
        <f aca="false">IF(A1948="","",IF(J1948&gt;Parâmetros!$C$14,"SIM","NAO"))</f>
        <v/>
      </c>
      <c r="V1948" s="5" t="str">
        <f aca="false">IF(B1948="","",TRIM(LEFT(B1948,IFERROR(FIND(" ",B1948)-1,LEN(B1948)))))</f>
        <v/>
      </c>
      <c r="W1948" s="22"/>
      <c r="X1948" s="5" t="str">
        <f aca="false">IF(A1948="","",IF(W1948&lt;&gt;"",W1948,V1948))</f>
        <v/>
      </c>
      <c r="Y1948" s="5" t="str">
        <f aca="false">IF(A1948="","",IF(COUNTIFS($X$2:$X$2001,X1948,$D$2:$D$2001,"&lt;&gt;"&amp;D1948,$C$2:$C$2001,C1948)&gt;0,"SIM","NAO"))</f>
        <v/>
      </c>
      <c r="Z1948" s="5" t="str">
        <f aca="false">IF(A1948="","",IF(J1948="","",IFERROR(360/J1948,"")))</f>
        <v/>
      </c>
      <c r="AA1948" s="5" t="str">
        <f aca="false">IF(A1948="","",IF(H1948=0,"Parado (sem venda 90d)",IF(Z1948&gt;12,"Alto (&gt;12x/ano)",IF(Z1948&gt;=4,"Medio (4-12x/ano)","Baixo (&lt;4x/ano)"))))</f>
        <v/>
      </c>
    </row>
    <row r="1949" customFormat="false" ht="15" hidden="false" customHeight="true" outlineLevel="0" collapsed="false">
      <c r="A1949" s="6"/>
      <c r="B1949" s="6"/>
      <c r="C1949" s="6"/>
      <c r="D1949" s="6"/>
      <c r="E1949" s="6"/>
      <c r="F1949" s="6"/>
      <c r="G1949" s="6"/>
      <c r="H1949" s="6"/>
      <c r="I1949" s="6"/>
      <c r="J1949" s="6"/>
      <c r="K1949" s="18"/>
      <c r="L1949" s="19" t="str">
        <f aca="false">IF(A1949="","",G1949*K1949)</f>
        <v/>
      </c>
      <c r="M1949" s="20"/>
      <c r="N1949" s="6"/>
      <c r="O1949" s="6"/>
      <c r="P1949" s="5" t="str">
        <f aca="false">IF(A1949="","",H1949/90)</f>
        <v/>
      </c>
      <c r="Q1949" s="5" t="str">
        <f aca="false">IF(A1949="","",IFERROR(INDEX(Parâmetros!$C$6:$C$10,MATCH(F1949,Parâmetros!$B$6:$B$10,0)),""))</f>
        <v/>
      </c>
      <c r="R1949" s="5" t="str">
        <f aca="false">IF(OR(A1949="",P1949="",Q1949=""),"",P1949*Q1949)</f>
        <v/>
      </c>
      <c r="S1949" s="5" t="str">
        <f aca="false">IF(R1949="","",MAX(0,R1949-G1949))</f>
        <v/>
      </c>
      <c r="T1949" s="21" t="str">
        <f aca="false">IF(S1949="","",S1949*K1949)</f>
        <v/>
      </c>
      <c r="U1949" s="5" t="str">
        <f aca="false">IF(A1949="","",IF(J1949&gt;Parâmetros!$C$14,"SIM","NAO"))</f>
        <v/>
      </c>
      <c r="V1949" s="5" t="str">
        <f aca="false">IF(B1949="","",TRIM(LEFT(B1949,IFERROR(FIND(" ",B1949)-1,LEN(B1949)))))</f>
        <v/>
      </c>
      <c r="W1949" s="22"/>
      <c r="X1949" s="5" t="str">
        <f aca="false">IF(A1949="","",IF(W1949&lt;&gt;"",W1949,V1949))</f>
        <v/>
      </c>
      <c r="Y1949" s="5" t="str">
        <f aca="false">IF(A1949="","",IF(COUNTIFS($X$2:$X$2001,X1949,$D$2:$D$2001,"&lt;&gt;"&amp;D1949,$C$2:$C$2001,C1949)&gt;0,"SIM","NAO"))</f>
        <v/>
      </c>
      <c r="Z1949" s="5" t="str">
        <f aca="false">IF(A1949="","",IF(J1949="","",IFERROR(360/J1949,"")))</f>
        <v/>
      </c>
      <c r="AA1949" s="5" t="str">
        <f aca="false">IF(A1949="","",IF(H1949=0,"Parado (sem venda 90d)",IF(Z1949&gt;12,"Alto (&gt;12x/ano)",IF(Z1949&gt;=4,"Medio (4-12x/ano)","Baixo (&lt;4x/ano)"))))</f>
        <v/>
      </c>
    </row>
    <row r="1950" customFormat="false" ht="15" hidden="false" customHeight="true" outlineLevel="0" collapsed="false">
      <c r="A1950" s="6"/>
      <c r="B1950" s="6"/>
      <c r="C1950" s="6"/>
      <c r="D1950" s="6"/>
      <c r="E1950" s="6"/>
      <c r="F1950" s="6"/>
      <c r="G1950" s="6"/>
      <c r="H1950" s="6"/>
      <c r="I1950" s="6"/>
      <c r="J1950" s="6"/>
      <c r="K1950" s="18"/>
      <c r="L1950" s="19" t="str">
        <f aca="false">IF(A1950="","",G1950*K1950)</f>
        <v/>
      </c>
      <c r="M1950" s="20"/>
      <c r="N1950" s="6"/>
      <c r="O1950" s="6"/>
      <c r="P1950" s="5" t="str">
        <f aca="false">IF(A1950="","",H1950/90)</f>
        <v/>
      </c>
      <c r="Q1950" s="5" t="str">
        <f aca="false">IF(A1950="","",IFERROR(INDEX(Parâmetros!$C$6:$C$10,MATCH(F1950,Parâmetros!$B$6:$B$10,0)),""))</f>
        <v/>
      </c>
      <c r="R1950" s="5" t="str">
        <f aca="false">IF(OR(A1950="",P1950="",Q1950=""),"",P1950*Q1950)</f>
        <v/>
      </c>
      <c r="S1950" s="5" t="str">
        <f aca="false">IF(R1950="","",MAX(0,R1950-G1950))</f>
        <v/>
      </c>
      <c r="T1950" s="21" t="str">
        <f aca="false">IF(S1950="","",S1950*K1950)</f>
        <v/>
      </c>
      <c r="U1950" s="5" t="str">
        <f aca="false">IF(A1950="","",IF(J1950&gt;Parâmetros!$C$14,"SIM","NAO"))</f>
        <v/>
      </c>
      <c r="V1950" s="5" t="str">
        <f aca="false">IF(B1950="","",TRIM(LEFT(B1950,IFERROR(FIND(" ",B1950)-1,LEN(B1950)))))</f>
        <v/>
      </c>
      <c r="W1950" s="22"/>
      <c r="X1950" s="5" t="str">
        <f aca="false">IF(A1950="","",IF(W1950&lt;&gt;"",W1950,V1950))</f>
        <v/>
      </c>
      <c r="Y1950" s="5" t="str">
        <f aca="false">IF(A1950="","",IF(COUNTIFS($X$2:$X$2001,X1950,$D$2:$D$2001,"&lt;&gt;"&amp;D1950,$C$2:$C$2001,C1950)&gt;0,"SIM","NAO"))</f>
        <v/>
      </c>
      <c r="Z1950" s="5" t="str">
        <f aca="false">IF(A1950="","",IF(J1950="","",IFERROR(360/J1950,"")))</f>
        <v/>
      </c>
      <c r="AA1950" s="5" t="str">
        <f aca="false">IF(A1950="","",IF(H1950=0,"Parado (sem venda 90d)",IF(Z1950&gt;12,"Alto (&gt;12x/ano)",IF(Z1950&gt;=4,"Medio (4-12x/ano)","Baixo (&lt;4x/ano)"))))</f>
        <v/>
      </c>
    </row>
    <row r="1951" customFormat="false" ht="15" hidden="false" customHeight="true" outlineLevel="0" collapsed="false">
      <c r="A1951" s="6"/>
      <c r="B1951" s="6"/>
      <c r="C1951" s="6"/>
      <c r="D1951" s="6"/>
      <c r="E1951" s="6"/>
      <c r="F1951" s="6"/>
      <c r="G1951" s="6"/>
      <c r="H1951" s="6"/>
      <c r="I1951" s="6"/>
      <c r="J1951" s="6"/>
      <c r="K1951" s="18"/>
      <c r="L1951" s="19" t="str">
        <f aca="false">IF(A1951="","",G1951*K1951)</f>
        <v/>
      </c>
      <c r="M1951" s="20"/>
      <c r="N1951" s="6"/>
      <c r="O1951" s="6"/>
      <c r="P1951" s="5" t="str">
        <f aca="false">IF(A1951="","",H1951/90)</f>
        <v/>
      </c>
      <c r="Q1951" s="5" t="str">
        <f aca="false">IF(A1951="","",IFERROR(INDEX(Parâmetros!$C$6:$C$10,MATCH(F1951,Parâmetros!$B$6:$B$10,0)),""))</f>
        <v/>
      </c>
      <c r="R1951" s="5" t="str">
        <f aca="false">IF(OR(A1951="",P1951="",Q1951=""),"",P1951*Q1951)</f>
        <v/>
      </c>
      <c r="S1951" s="5" t="str">
        <f aca="false">IF(R1951="","",MAX(0,R1951-G1951))</f>
        <v/>
      </c>
      <c r="T1951" s="21" t="str">
        <f aca="false">IF(S1951="","",S1951*K1951)</f>
        <v/>
      </c>
      <c r="U1951" s="5" t="str">
        <f aca="false">IF(A1951="","",IF(J1951&gt;Parâmetros!$C$14,"SIM","NAO"))</f>
        <v/>
      </c>
      <c r="V1951" s="5" t="str">
        <f aca="false">IF(B1951="","",TRIM(LEFT(B1951,IFERROR(FIND(" ",B1951)-1,LEN(B1951)))))</f>
        <v/>
      </c>
      <c r="W1951" s="22"/>
      <c r="X1951" s="5" t="str">
        <f aca="false">IF(A1951="","",IF(W1951&lt;&gt;"",W1951,V1951))</f>
        <v/>
      </c>
      <c r="Y1951" s="5" t="str">
        <f aca="false">IF(A1951="","",IF(COUNTIFS($X$2:$X$2001,X1951,$D$2:$D$2001,"&lt;&gt;"&amp;D1951,$C$2:$C$2001,C1951)&gt;0,"SIM","NAO"))</f>
        <v/>
      </c>
      <c r="Z1951" s="5" t="str">
        <f aca="false">IF(A1951="","",IF(J1951="","",IFERROR(360/J1951,"")))</f>
        <v/>
      </c>
      <c r="AA1951" s="5" t="str">
        <f aca="false">IF(A1951="","",IF(H1951=0,"Parado (sem venda 90d)",IF(Z1951&gt;12,"Alto (&gt;12x/ano)",IF(Z1951&gt;=4,"Medio (4-12x/ano)","Baixo (&lt;4x/ano)"))))</f>
        <v/>
      </c>
    </row>
    <row r="1952" customFormat="false" ht="15" hidden="false" customHeight="true" outlineLevel="0" collapsed="false">
      <c r="A1952" s="6"/>
      <c r="B1952" s="6"/>
      <c r="C1952" s="6"/>
      <c r="D1952" s="6"/>
      <c r="E1952" s="6"/>
      <c r="F1952" s="6"/>
      <c r="G1952" s="6"/>
      <c r="H1952" s="6"/>
      <c r="I1952" s="6"/>
      <c r="J1952" s="6"/>
      <c r="K1952" s="18"/>
      <c r="L1952" s="19" t="str">
        <f aca="false">IF(A1952="","",G1952*K1952)</f>
        <v/>
      </c>
      <c r="M1952" s="20"/>
      <c r="N1952" s="6"/>
      <c r="O1952" s="6"/>
      <c r="P1952" s="5" t="str">
        <f aca="false">IF(A1952="","",H1952/90)</f>
        <v/>
      </c>
      <c r="Q1952" s="5" t="str">
        <f aca="false">IF(A1952="","",IFERROR(INDEX(Parâmetros!$C$6:$C$10,MATCH(F1952,Parâmetros!$B$6:$B$10,0)),""))</f>
        <v/>
      </c>
      <c r="R1952" s="5" t="str">
        <f aca="false">IF(OR(A1952="",P1952="",Q1952=""),"",P1952*Q1952)</f>
        <v/>
      </c>
      <c r="S1952" s="5" t="str">
        <f aca="false">IF(R1952="","",MAX(0,R1952-G1952))</f>
        <v/>
      </c>
      <c r="T1952" s="21" t="str">
        <f aca="false">IF(S1952="","",S1952*K1952)</f>
        <v/>
      </c>
      <c r="U1952" s="5" t="str">
        <f aca="false">IF(A1952="","",IF(J1952&gt;Parâmetros!$C$14,"SIM","NAO"))</f>
        <v/>
      </c>
      <c r="V1952" s="5" t="str">
        <f aca="false">IF(B1952="","",TRIM(LEFT(B1952,IFERROR(FIND(" ",B1952)-1,LEN(B1952)))))</f>
        <v/>
      </c>
      <c r="W1952" s="22"/>
      <c r="X1952" s="5" t="str">
        <f aca="false">IF(A1952="","",IF(W1952&lt;&gt;"",W1952,V1952))</f>
        <v/>
      </c>
      <c r="Y1952" s="5" t="str">
        <f aca="false">IF(A1952="","",IF(COUNTIFS($X$2:$X$2001,X1952,$D$2:$D$2001,"&lt;&gt;"&amp;D1952,$C$2:$C$2001,C1952)&gt;0,"SIM","NAO"))</f>
        <v/>
      </c>
      <c r="Z1952" s="5" t="str">
        <f aca="false">IF(A1952="","",IF(J1952="","",IFERROR(360/J1952,"")))</f>
        <v/>
      </c>
      <c r="AA1952" s="5" t="str">
        <f aca="false">IF(A1952="","",IF(H1952=0,"Parado (sem venda 90d)",IF(Z1952&gt;12,"Alto (&gt;12x/ano)",IF(Z1952&gt;=4,"Medio (4-12x/ano)","Baixo (&lt;4x/ano)"))))</f>
        <v/>
      </c>
    </row>
    <row r="1953" customFormat="false" ht="15" hidden="false" customHeight="true" outlineLevel="0" collapsed="false">
      <c r="A1953" s="6"/>
      <c r="B1953" s="6"/>
      <c r="C1953" s="6"/>
      <c r="D1953" s="6"/>
      <c r="E1953" s="6"/>
      <c r="F1953" s="6"/>
      <c r="G1953" s="6"/>
      <c r="H1953" s="6"/>
      <c r="I1953" s="6"/>
      <c r="J1953" s="6"/>
      <c r="K1953" s="18"/>
      <c r="L1953" s="19" t="str">
        <f aca="false">IF(A1953="","",G1953*K1953)</f>
        <v/>
      </c>
      <c r="M1953" s="20"/>
      <c r="N1953" s="6"/>
      <c r="O1953" s="6"/>
      <c r="P1953" s="5" t="str">
        <f aca="false">IF(A1953="","",H1953/90)</f>
        <v/>
      </c>
      <c r="Q1953" s="5" t="str">
        <f aca="false">IF(A1953="","",IFERROR(INDEX(Parâmetros!$C$6:$C$10,MATCH(F1953,Parâmetros!$B$6:$B$10,0)),""))</f>
        <v/>
      </c>
      <c r="R1953" s="5" t="str">
        <f aca="false">IF(OR(A1953="",P1953="",Q1953=""),"",P1953*Q1953)</f>
        <v/>
      </c>
      <c r="S1953" s="5" t="str">
        <f aca="false">IF(R1953="","",MAX(0,R1953-G1953))</f>
        <v/>
      </c>
      <c r="T1953" s="21" t="str">
        <f aca="false">IF(S1953="","",S1953*K1953)</f>
        <v/>
      </c>
      <c r="U1953" s="5" t="str">
        <f aca="false">IF(A1953="","",IF(J1953&gt;Parâmetros!$C$14,"SIM","NAO"))</f>
        <v/>
      </c>
      <c r="V1953" s="5" t="str">
        <f aca="false">IF(B1953="","",TRIM(LEFT(B1953,IFERROR(FIND(" ",B1953)-1,LEN(B1953)))))</f>
        <v/>
      </c>
      <c r="W1953" s="22"/>
      <c r="X1953" s="5" t="str">
        <f aca="false">IF(A1953="","",IF(W1953&lt;&gt;"",W1953,V1953))</f>
        <v/>
      </c>
      <c r="Y1953" s="5" t="str">
        <f aca="false">IF(A1953="","",IF(COUNTIFS($X$2:$X$2001,X1953,$D$2:$D$2001,"&lt;&gt;"&amp;D1953,$C$2:$C$2001,C1953)&gt;0,"SIM","NAO"))</f>
        <v/>
      </c>
      <c r="Z1953" s="5" t="str">
        <f aca="false">IF(A1953="","",IF(J1953="","",IFERROR(360/J1953,"")))</f>
        <v/>
      </c>
      <c r="AA1953" s="5" t="str">
        <f aca="false">IF(A1953="","",IF(H1953=0,"Parado (sem venda 90d)",IF(Z1953&gt;12,"Alto (&gt;12x/ano)",IF(Z1953&gt;=4,"Medio (4-12x/ano)","Baixo (&lt;4x/ano)"))))</f>
        <v/>
      </c>
    </row>
    <row r="1954" customFormat="false" ht="15" hidden="false" customHeight="true" outlineLevel="0" collapsed="false">
      <c r="A1954" s="6"/>
      <c r="B1954" s="6"/>
      <c r="C1954" s="6"/>
      <c r="D1954" s="6"/>
      <c r="E1954" s="6"/>
      <c r="F1954" s="6"/>
      <c r="G1954" s="6"/>
      <c r="H1954" s="6"/>
      <c r="I1954" s="6"/>
      <c r="J1954" s="6"/>
      <c r="K1954" s="18"/>
      <c r="L1954" s="19" t="str">
        <f aca="false">IF(A1954="","",G1954*K1954)</f>
        <v/>
      </c>
      <c r="M1954" s="20"/>
      <c r="N1954" s="6"/>
      <c r="O1954" s="6"/>
      <c r="P1954" s="5" t="str">
        <f aca="false">IF(A1954="","",H1954/90)</f>
        <v/>
      </c>
      <c r="Q1954" s="5" t="str">
        <f aca="false">IF(A1954="","",IFERROR(INDEX(Parâmetros!$C$6:$C$10,MATCH(F1954,Parâmetros!$B$6:$B$10,0)),""))</f>
        <v/>
      </c>
      <c r="R1954" s="5" t="str">
        <f aca="false">IF(OR(A1954="",P1954="",Q1954=""),"",P1954*Q1954)</f>
        <v/>
      </c>
      <c r="S1954" s="5" t="str">
        <f aca="false">IF(R1954="","",MAX(0,R1954-G1954))</f>
        <v/>
      </c>
      <c r="T1954" s="21" t="str">
        <f aca="false">IF(S1954="","",S1954*K1954)</f>
        <v/>
      </c>
      <c r="U1954" s="5" t="str">
        <f aca="false">IF(A1954="","",IF(J1954&gt;Parâmetros!$C$14,"SIM","NAO"))</f>
        <v/>
      </c>
      <c r="V1954" s="5" t="str">
        <f aca="false">IF(B1954="","",TRIM(LEFT(B1954,IFERROR(FIND(" ",B1954)-1,LEN(B1954)))))</f>
        <v/>
      </c>
      <c r="W1954" s="22"/>
      <c r="X1954" s="5" t="str">
        <f aca="false">IF(A1954="","",IF(W1954&lt;&gt;"",W1954,V1954))</f>
        <v/>
      </c>
      <c r="Y1954" s="5" t="str">
        <f aca="false">IF(A1954="","",IF(COUNTIFS($X$2:$X$2001,X1954,$D$2:$D$2001,"&lt;&gt;"&amp;D1954,$C$2:$C$2001,C1954)&gt;0,"SIM","NAO"))</f>
        <v/>
      </c>
      <c r="Z1954" s="5" t="str">
        <f aca="false">IF(A1954="","",IF(J1954="","",IFERROR(360/J1954,"")))</f>
        <v/>
      </c>
      <c r="AA1954" s="5" t="str">
        <f aca="false">IF(A1954="","",IF(H1954=0,"Parado (sem venda 90d)",IF(Z1954&gt;12,"Alto (&gt;12x/ano)",IF(Z1954&gt;=4,"Medio (4-12x/ano)","Baixo (&lt;4x/ano)"))))</f>
        <v/>
      </c>
    </row>
    <row r="1955" customFormat="false" ht="15" hidden="false" customHeight="true" outlineLevel="0" collapsed="false">
      <c r="A1955" s="6"/>
      <c r="B1955" s="6"/>
      <c r="C1955" s="6"/>
      <c r="D1955" s="6"/>
      <c r="E1955" s="6"/>
      <c r="F1955" s="6"/>
      <c r="G1955" s="6"/>
      <c r="H1955" s="6"/>
      <c r="I1955" s="6"/>
      <c r="J1955" s="6"/>
      <c r="K1955" s="18"/>
      <c r="L1955" s="19" t="str">
        <f aca="false">IF(A1955="","",G1955*K1955)</f>
        <v/>
      </c>
      <c r="M1955" s="20"/>
      <c r="N1955" s="6"/>
      <c r="O1955" s="6"/>
      <c r="P1955" s="5" t="str">
        <f aca="false">IF(A1955="","",H1955/90)</f>
        <v/>
      </c>
      <c r="Q1955" s="5" t="str">
        <f aca="false">IF(A1955="","",IFERROR(INDEX(Parâmetros!$C$6:$C$10,MATCH(F1955,Parâmetros!$B$6:$B$10,0)),""))</f>
        <v/>
      </c>
      <c r="R1955" s="5" t="str">
        <f aca="false">IF(OR(A1955="",P1955="",Q1955=""),"",P1955*Q1955)</f>
        <v/>
      </c>
      <c r="S1955" s="5" t="str">
        <f aca="false">IF(R1955="","",MAX(0,R1955-G1955))</f>
        <v/>
      </c>
      <c r="T1955" s="21" t="str">
        <f aca="false">IF(S1955="","",S1955*K1955)</f>
        <v/>
      </c>
      <c r="U1955" s="5" t="str">
        <f aca="false">IF(A1955="","",IF(J1955&gt;Parâmetros!$C$14,"SIM","NAO"))</f>
        <v/>
      </c>
      <c r="V1955" s="5" t="str">
        <f aca="false">IF(B1955="","",TRIM(LEFT(B1955,IFERROR(FIND(" ",B1955)-1,LEN(B1955)))))</f>
        <v/>
      </c>
      <c r="W1955" s="22"/>
      <c r="X1955" s="5" t="str">
        <f aca="false">IF(A1955="","",IF(W1955&lt;&gt;"",W1955,V1955))</f>
        <v/>
      </c>
      <c r="Y1955" s="5" t="str">
        <f aca="false">IF(A1955="","",IF(COUNTIFS($X$2:$X$2001,X1955,$D$2:$D$2001,"&lt;&gt;"&amp;D1955,$C$2:$C$2001,C1955)&gt;0,"SIM","NAO"))</f>
        <v/>
      </c>
      <c r="Z1955" s="5" t="str">
        <f aca="false">IF(A1955="","",IF(J1955="","",IFERROR(360/J1955,"")))</f>
        <v/>
      </c>
      <c r="AA1955" s="5" t="str">
        <f aca="false">IF(A1955="","",IF(H1955=0,"Parado (sem venda 90d)",IF(Z1955&gt;12,"Alto (&gt;12x/ano)",IF(Z1955&gt;=4,"Medio (4-12x/ano)","Baixo (&lt;4x/ano)"))))</f>
        <v/>
      </c>
    </row>
    <row r="1956" customFormat="false" ht="15" hidden="false" customHeight="true" outlineLevel="0" collapsed="false">
      <c r="A1956" s="6"/>
      <c r="B1956" s="6"/>
      <c r="C1956" s="6"/>
      <c r="D1956" s="6"/>
      <c r="E1956" s="6"/>
      <c r="F1956" s="6"/>
      <c r="G1956" s="6"/>
      <c r="H1956" s="6"/>
      <c r="I1956" s="6"/>
      <c r="J1956" s="6"/>
      <c r="K1956" s="18"/>
      <c r="L1956" s="19" t="str">
        <f aca="false">IF(A1956="","",G1956*K1956)</f>
        <v/>
      </c>
      <c r="M1956" s="20"/>
      <c r="N1956" s="6"/>
      <c r="O1956" s="6"/>
      <c r="P1956" s="5" t="str">
        <f aca="false">IF(A1956="","",H1956/90)</f>
        <v/>
      </c>
      <c r="Q1956" s="5" t="str">
        <f aca="false">IF(A1956="","",IFERROR(INDEX(Parâmetros!$C$6:$C$10,MATCH(F1956,Parâmetros!$B$6:$B$10,0)),""))</f>
        <v/>
      </c>
      <c r="R1956" s="5" t="str">
        <f aca="false">IF(OR(A1956="",P1956="",Q1956=""),"",P1956*Q1956)</f>
        <v/>
      </c>
      <c r="S1956" s="5" t="str">
        <f aca="false">IF(R1956="","",MAX(0,R1956-G1956))</f>
        <v/>
      </c>
      <c r="T1956" s="21" t="str">
        <f aca="false">IF(S1956="","",S1956*K1956)</f>
        <v/>
      </c>
      <c r="U1956" s="5" t="str">
        <f aca="false">IF(A1956="","",IF(J1956&gt;Parâmetros!$C$14,"SIM","NAO"))</f>
        <v/>
      </c>
      <c r="V1956" s="5" t="str">
        <f aca="false">IF(B1956="","",TRIM(LEFT(B1956,IFERROR(FIND(" ",B1956)-1,LEN(B1956)))))</f>
        <v/>
      </c>
      <c r="W1956" s="22"/>
      <c r="X1956" s="5" t="str">
        <f aca="false">IF(A1956="","",IF(W1956&lt;&gt;"",W1956,V1956))</f>
        <v/>
      </c>
      <c r="Y1956" s="5" t="str">
        <f aca="false">IF(A1956="","",IF(COUNTIFS($X$2:$X$2001,X1956,$D$2:$D$2001,"&lt;&gt;"&amp;D1956,$C$2:$C$2001,C1956)&gt;0,"SIM","NAO"))</f>
        <v/>
      </c>
      <c r="Z1956" s="5" t="str">
        <f aca="false">IF(A1956="","",IF(J1956="","",IFERROR(360/J1956,"")))</f>
        <v/>
      </c>
      <c r="AA1956" s="5" t="str">
        <f aca="false">IF(A1956="","",IF(H1956=0,"Parado (sem venda 90d)",IF(Z1956&gt;12,"Alto (&gt;12x/ano)",IF(Z1956&gt;=4,"Medio (4-12x/ano)","Baixo (&lt;4x/ano)"))))</f>
        <v/>
      </c>
    </row>
    <row r="1957" customFormat="false" ht="15" hidden="false" customHeight="true" outlineLevel="0" collapsed="false">
      <c r="A1957" s="6"/>
      <c r="B1957" s="6"/>
      <c r="C1957" s="6"/>
      <c r="D1957" s="6"/>
      <c r="E1957" s="6"/>
      <c r="F1957" s="6"/>
      <c r="G1957" s="6"/>
      <c r="H1957" s="6"/>
      <c r="I1957" s="6"/>
      <c r="J1957" s="6"/>
      <c r="K1957" s="18"/>
      <c r="L1957" s="19" t="str">
        <f aca="false">IF(A1957="","",G1957*K1957)</f>
        <v/>
      </c>
      <c r="M1957" s="20"/>
      <c r="N1957" s="6"/>
      <c r="O1957" s="6"/>
      <c r="P1957" s="5" t="str">
        <f aca="false">IF(A1957="","",H1957/90)</f>
        <v/>
      </c>
      <c r="Q1957" s="5" t="str">
        <f aca="false">IF(A1957="","",IFERROR(INDEX(Parâmetros!$C$6:$C$10,MATCH(F1957,Parâmetros!$B$6:$B$10,0)),""))</f>
        <v/>
      </c>
      <c r="R1957" s="5" t="str">
        <f aca="false">IF(OR(A1957="",P1957="",Q1957=""),"",P1957*Q1957)</f>
        <v/>
      </c>
      <c r="S1957" s="5" t="str">
        <f aca="false">IF(R1957="","",MAX(0,R1957-G1957))</f>
        <v/>
      </c>
      <c r="T1957" s="21" t="str">
        <f aca="false">IF(S1957="","",S1957*K1957)</f>
        <v/>
      </c>
      <c r="U1957" s="5" t="str">
        <f aca="false">IF(A1957="","",IF(J1957&gt;Parâmetros!$C$14,"SIM","NAO"))</f>
        <v/>
      </c>
      <c r="V1957" s="5" t="str">
        <f aca="false">IF(B1957="","",TRIM(LEFT(B1957,IFERROR(FIND(" ",B1957)-1,LEN(B1957)))))</f>
        <v/>
      </c>
      <c r="W1957" s="22"/>
      <c r="X1957" s="5" t="str">
        <f aca="false">IF(A1957="","",IF(W1957&lt;&gt;"",W1957,V1957))</f>
        <v/>
      </c>
      <c r="Y1957" s="5" t="str">
        <f aca="false">IF(A1957="","",IF(COUNTIFS($X$2:$X$2001,X1957,$D$2:$D$2001,"&lt;&gt;"&amp;D1957,$C$2:$C$2001,C1957)&gt;0,"SIM","NAO"))</f>
        <v/>
      </c>
      <c r="Z1957" s="5" t="str">
        <f aca="false">IF(A1957="","",IF(J1957="","",IFERROR(360/J1957,"")))</f>
        <v/>
      </c>
      <c r="AA1957" s="5" t="str">
        <f aca="false">IF(A1957="","",IF(H1957=0,"Parado (sem venda 90d)",IF(Z1957&gt;12,"Alto (&gt;12x/ano)",IF(Z1957&gt;=4,"Medio (4-12x/ano)","Baixo (&lt;4x/ano)"))))</f>
        <v/>
      </c>
    </row>
    <row r="1958" customFormat="false" ht="15" hidden="false" customHeight="true" outlineLevel="0" collapsed="false">
      <c r="A1958" s="6"/>
      <c r="B1958" s="6"/>
      <c r="C1958" s="6"/>
      <c r="D1958" s="6"/>
      <c r="E1958" s="6"/>
      <c r="F1958" s="6"/>
      <c r="G1958" s="6"/>
      <c r="H1958" s="6"/>
      <c r="I1958" s="6"/>
      <c r="J1958" s="6"/>
      <c r="K1958" s="18"/>
      <c r="L1958" s="19" t="str">
        <f aca="false">IF(A1958="","",G1958*K1958)</f>
        <v/>
      </c>
      <c r="M1958" s="20"/>
      <c r="N1958" s="6"/>
      <c r="O1958" s="6"/>
      <c r="P1958" s="5" t="str">
        <f aca="false">IF(A1958="","",H1958/90)</f>
        <v/>
      </c>
      <c r="Q1958" s="5" t="str">
        <f aca="false">IF(A1958="","",IFERROR(INDEX(Parâmetros!$C$6:$C$10,MATCH(F1958,Parâmetros!$B$6:$B$10,0)),""))</f>
        <v/>
      </c>
      <c r="R1958" s="5" t="str">
        <f aca="false">IF(OR(A1958="",P1958="",Q1958=""),"",P1958*Q1958)</f>
        <v/>
      </c>
      <c r="S1958" s="5" t="str">
        <f aca="false">IF(R1958="","",MAX(0,R1958-G1958))</f>
        <v/>
      </c>
      <c r="T1958" s="21" t="str">
        <f aca="false">IF(S1958="","",S1958*K1958)</f>
        <v/>
      </c>
      <c r="U1958" s="5" t="str">
        <f aca="false">IF(A1958="","",IF(J1958&gt;Parâmetros!$C$14,"SIM","NAO"))</f>
        <v/>
      </c>
      <c r="V1958" s="5" t="str">
        <f aca="false">IF(B1958="","",TRIM(LEFT(B1958,IFERROR(FIND(" ",B1958)-1,LEN(B1958)))))</f>
        <v/>
      </c>
      <c r="W1958" s="22"/>
      <c r="X1958" s="5" t="str">
        <f aca="false">IF(A1958="","",IF(W1958&lt;&gt;"",W1958,V1958))</f>
        <v/>
      </c>
      <c r="Y1958" s="5" t="str">
        <f aca="false">IF(A1958="","",IF(COUNTIFS($X$2:$X$2001,X1958,$D$2:$D$2001,"&lt;&gt;"&amp;D1958,$C$2:$C$2001,C1958)&gt;0,"SIM","NAO"))</f>
        <v/>
      </c>
      <c r="Z1958" s="5" t="str">
        <f aca="false">IF(A1958="","",IF(J1958="","",IFERROR(360/J1958,"")))</f>
        <v/>
      </c>
      <c r="AA1958" s="5" t="str">
        <f aca="false">IF(A1958="","",IF(H1958=0,"Parado (sem venda 90d)",IF(Z1958&gt;12,"Alto (&gt;12x/ano)",IF(Z1958&gt;=4,"Medio (4-12x/ano)","Baixo (&lt;4x/ano)"))))</f>
        <v/>
      </c>
    </row>
    <row r="1959" customFormat="false" ht="15" hidden="false" customHeight="true" outlineLevel="0" collapsed="false">
      <c r="A1959" s="6"/>
      <c r="B1959" s="6"/>
      <c r="C1959" s="6"/>
      <c r="D1959" s="6"/>
      <c r="E1959" s="6"/>
      <c r="F1959" s="6"/>
      <c r="G1959" s="6"/>
      <c r="H1959" s="6"/>
      <c r="I1959" s="6"/>
      <c r="J1959" s="6"/>
      <c r="K1959" s="18"/>
      <c r="L1959" s="19" t="str">
        <f aca="false">IF(A1959="","",G1959*K1959)</f>
        <v/>
      </c>
      <c r="M1959" s="20"/>
      <c r="N1959" s="6"/>
      <c r="O1959" s="6"/>
      <c r="P1959" s="5" t="str">
        <f aca="false">IF(A1959="","",H1959/90)</f>
        <v/>
      </c>
      <c r="Q1959" s="5" t="str">
        <f aca="false">IF(A1959="","",IFERROR(INDEX(Parâmetros!$C$6:$C$10,MATCH(F1959,Parâmetros!$B$6:$B$10,0)),""))</f>
        <v/>
      </c>
      <c r="R1959" s="5" t="str">
        <f aca="false">IF(OR(A1959="",P1959="",Q1959=""),"",P1959*Q1959)</f>
        <v/>
      </c>
      <c r="S1959" s="5" t="str">
        <f aca="false">IF(R1959="","",MAX(0,R1959-G1959))</f>
        <v/>
      </c>
      <c r="T1959" s="21" t="str">
        <f aca="false">IF(S1959="","",S1959*K1959)</f>
        <v/>
      </c>
      <c r="U1959" s="5" t="str">
        <f aca="false">IF(A1959="","",IF(J1959&gt;Parâmetros!$C$14,"SIM","NAO"))</f>
        <v/>
      </c>
      <c r="V1959" s="5" t="str">
        <f aca="false">IF(B1959="","",TRIM(LEFT(B1959,IFERROR(FIND(" ",B1959)-1,LEN(B1959)))))</f>
        <v/>
      </c>
      <c r="W1959" s="22"/>
      <c r="X1959" s="5" t="str">
        <f aca="false">IF(A1959="","",IF(W1959&lt;&gt;"",W1959,V1959))</f>
        <v/>
      </c>
      <c r="Y1959" s="5" t="str">
        <f aca="false">IF(A1959="","",IF(COUNTIFS($X$2:$X$2001,X1959,$D$2:$D$2001,"&lt;&gt;"&amp;D1959,$C$2:$C$2001,C1959)&gt;0,"SIM","NAO"))</f>
        <v/>
      </c>
      <c r="Z1959" s="5" t="str">
        <f aca="false">IF(A1959="","",IF(J1959="","",IFERROR(360/J1959,"")))</f>
        <v/>
      </c>
      <c r="AA1959" s="5" t="str">
        <f aca="false">IF(A1959="","",IF(H1959=0,"Parado (sem venda 90d)",IF(Z1959&gt;12,"Alto (&gt;12x/ano)",IF(Z1959&gt;=4,"Medio (4-12x/ano)","Baixo (&lt;4x/ano)"))))</f>
        <v/>
      </c>
    </row>
    <row r="1960" customFormat="false" ht="15" hidden="false" customHeight="true" outlineLevel="0" collapsed="false">
      <c r="A1960" s="6"/>
      <c r="B1960" s="6"/>
      <c r="C1960" s="6"/>
      <c r="D1960" s="6"/>
      <c r="E1960" s="6"/>
      <c r="F1960" s="6"/>
      <c r="G1960" s="6"/>
      <c r="H1960" s="6"/>
      <c r="I1960" s="6"/>
      <c r="J1960" s="6"/>
      <c r="K1960" s="18"/>
      <c r="L1960" s="19" t="str">
        <f aca="false">IF(A1960="","",G1960*K1960)</f>
        <v/>
      </c>
      <c r="M1960" s="20"/>
      <c r="N1960" s="6"/>
      <c r="O1960" s="6"/>
      <c r="P1960" s="5" t="str">
        <f aca="false">IF(A1960="","",H1960/90)</f>
        <v/>
      </c>
      <c r="Q1960" s="5" t="str">
        <f aca="false">IF(A1960="","",IFERROR(INDEX(Parâmetros!$C$6:$C$10,MATCH(F1960,Parâmetros!$B$6:$B$10,0)),""))</f>
        <v/>
      </c>
      <c r="R1960" s="5" t="str">
        <f aca="false">IF(OR(A1960="",P1960="",Q1960=""),"",P1960*Q1960)</f>
        <v/>
      </c>
      <c r="S1960" s="5" t="str">
        <f aca="false">IF(R1960="","",MAX(0,R1960-G1960))</f>
        <v/>
      </c>
      <c r="T1960" s="21" t="str">
        <f aca="false">IF(S1960="","",S1960*K1960)</f>
        <v/>
      </c>
      <c r="U1960" s="5" t="str">
        <f aca="false">IF(A1960="","",IF(J1960&gt;Parâmetros!$C$14,"SIM","NAO"))</f>
        <v/>
      </c>
      <c r="V1960" s="5" t="str">
        <f aca="false">IF(B1960="","",TRIM(LEFT(B1960,IFERROR(FIND(" ",B1960)-1,LEN(B1960)))))</f>
        <v/>
      </c>
      <c r="W1960" s="22"/>
      <c r="X1960" s="5" t="str">
        <f aca="false">IF(A1960="","",IF(W1960&lt;&gt;"",W1960,V1960))</f>
        <v/>
      </c>
      <c r="Y1960" s="5" t="str">
        <f aca="false">IF(A1960="","",IF(COUNTIFS($X$2:$X$2001,X1960,$D$2:$D$2001,"&lt;&gt;"&amp;D1960,$C$2:$C$2001,C1960)&gt;0,"SIM","NAO"))</f>
        <v/>
      </c>
      <c r="Z1960" s="5" t="str">
        <f aca="false">IF(A1960="","",IF(J1960="","",IFERROR(360/J1960,"")))</f>
        <v/>
      </c>
      <c r="AA1960" s="5" t="str">
        <f aca="false">IF(A1960="","",IF(H1960=0,"Parado (sem venda 90d)",IF(Z1960&gt;12,"Alto (&gt;12x/ano)",IF(Z1960&gt;=4,"Medio (4-12x/ano)","Baixo (&lt;4x/ano)"))))</f>
        <v/>
      </c>
    </row>
    <row r="1961" customFormat="false" ht="15" hidden="false" customHeight="true" outlineLevel="0" collapsed="false">
      <c r="A1961" s="6"/>
      <c r="B1961" s="6"/>
      <c r="C1961" s="6"/>
      <c r="D1961" s="6"/>
      <c r="E1961" s="6"/>
      <c r="F1961" s="6"/>
      <c r="G1961" s="6"/>
      <c r="H1961" s="6"/>
      <c r="I1961" s="6"/>
      <c r="J1961" s="6"/>
      <c r="K1961" s="18"/>
      <c r="L1961" s="19" t="str">
        <f aca="false">IF(A1961="","",G1961*K1961)</f>
        <v/>
      </c>
      <c r="M1961" s="20"/>
      <c r="N1961" s="6"/>
      <c r="O1961" s="6"/>
      <c r="P1961" s="5" t="str">
        <f aca="false">IF(A1961="","",H1961/90)</f>
        <v/>
      </c>
      <c r="Q1961" s="5" t="str">
        <f aca="false">IF(A1961="","",IFERROR(INDEX(Parâmetros!$C$6:$C$10,MATCH(F1961,Parâmetros!$B$6:$B$10,0)),""))</f>
        <v/>
      </c>
      <c r="R1961" s="5" t="str">
        <f aca="false">IF(OR(A1961="",P1961="",Q1961=""),"",P1961*Q1961)</f>
        <v/>
      </c>
      <c r="S1961" s="5" t="str">
        <f aca="false">IF(R1961="","",MAX(0,R1961-G1961))</f>
        <v/>
      </c>
      <c r="T1961" s="21" t="str">
        <f aca="false">IF(S1961="","",S1961*K1961)</f>
        <v/>
      </c>
      <c r="U1961" s="5" t="str">
        <f aca="false">IF(A1961="","",IF(J1961&gt;Parâmetros!$C$14,"SIM","NAO"))</f>
        <v/>
      </c>
      <c r="V1961" s="5" t="str">
        <f aca="false">IF(B1961="","",TRIM(LEFT(B1961,IFERROR(FIND(" ",B1961)-1,LEN(B1961)))))</f>
        <v/>
      </c>
      <c r="W1961" s="22"/>
      <c r="X1961" s="5" t="str">
        <f aca="false">IF(A1961="","",IF(W1961&lt;&gt;"",W1961,V1961))</f>
        <v/>
      </c>
      <c r="Y1961" s="5" t="str">
        <f aca="false">IF(A1961="","",IF(COUNTIFS($X$2:$X$2001,X1961,$D$2:$D$2001,"&lt;&gt;"&amp;D1961,$C$2:$C$2001,C1961)&gt;0,"SIM","NAO"))</f>
        <v/>
      </c>
      <c r="Z1961" s="5" t="str">
        <f aca="false">IF(A1961="","",IF(J1961="","",IFERROR(360/J1961,"")))</f>
        <v/>
      </c>
      <c r="AA1961" s="5" t="str">
        <f aca="false">IF(A1961="","",IF(H1961=0,"Parado (sem venda 90d)",IF(Z1961&gt;12,"Alto (&gt;12x/ano)",IF(Z1961&gt;=4,"Medio (4-12x/ano)","Baixo (&lt;4x/ano)"))))</f>
        <v/>
      </c>
    </row>
    <row r="1962" customFormat="false" ht="15" hidden="false" customHeight="true" outlineLevel="0" collapsed="false">
      <c r="A1962" s="6"/>
      <c r="B1962" s="6"/>
      <c r="C1962" s="6"/>
      <c r="D1962" s="6"/>
      <c r="E1962" s="6"/>
      <c r="F1962" s="6"/>
      <c r="G1962" s="6"/>
      <c r="H1962" s="6"/>
      <c r="I1962" s="6"/>
      <c r="J1962" s="6"/>
      <c r="K1962" s="18"/>
      <c r="L1962" s="19" t="str">
        <f aca="false">IF(A1962="","",G1962*K1962)</f>
        <v/>
      </c>
      <c r="M1962" s="20"/>
      <c r="N1962" s="6"/>
      <c r="O1962" s="6"/>
      <c r="P1962" s="5" t="str">
        <f aca="false">IF(A1962="","",H1962/90)</f>
        <v/>
      </c>
      <c r="Q1962" s="5" t="str">
        <f aca="false">IF(A1962="","",IFERROR(INDEX(Parâmetros!$C$6:$C$10,MATCH(F1962,Parâmetros!$B$6:$B$10,0)),""))</f>
        <v/>
      </c>
      <c r="R1962" s="5" t="str">
        <f aca="false">IF(OR(A1962="",P1962="",Q1962=""),"",P1962*Q1962)</f>
        <v/>
      </c>
      <c r="S1962" s="5" t="str">
        <f aca="false">IF(R1962="","",MAX(0,R1962-G1962))</f>
        <v/>
      </c>
      <c r="T1962" s="21" t="str">
        <f aca="false">IF(S1962="","",S1962*K1962)</f>
        <v/>
      </c>
      <c r="U1962" s="5" t="str">
        <f aca="false">IF(A1962="","",IF(J1962&gt;Parâmetros!$C$14,"SIM","NAO"))</f>
        <v/>
      </c>
      <c r="V1962" s="5" t="str">
        <f aca="false">IF(B1962="","",TRIM(LEFT(B1962,IFERROR(FIND(" ",B1962)-1,LEN(B1962)))))</f>
        <v/>
      </c>
      <c r="W1962" s="22"/>
      <c r="X1962" s="5" t="str">
        <f aca="false">IF(A1962="","",IF(W1962&lt;&gt;"",W1962,V1962))</f>
        <v/>
      </c>
      <c r="Y1962" s="5" t="str">
        <f aca="false">IF(A1962="","",IF(COUNTIFS($X$2:$X$2001,X1962,$D$2:$D$2001,"&lt;&gt;"&amp;D1962,$C$2:$C$2001,C1962)&gt;0,"SIM","NAO"))</f>
        <v/>
      </c>
      <c r="Z1962" s="5" t="str">
        <f aca="false">IF(A1962="","",IF(J1962="","",IFERROR(360/J1962,"")))</f>
        <v/>
      </c>
      <c r="AA1962" s="5" t="str">
        <f aca="false">IF(A1962="","",IF(H1962=0,"Parado (sem venda 90d)",IF(Z1962&gt;12,"Alto (&gt;12x/ano)",IF(Z1962&gt;=4,"Medio (4-12x/ano)","Baixo (&lt;4x/ano)"))))</f>
        <v/>
      </c>
    </row>
    <row r="1963" customFormat="false" ht="15" hidden="false" customHeight="true" outlineLevel="0" collapsed="false">
      <c r="A1963" s="6"/>
      <c r="B1963" s="6"/>
      <c r="C1963" s="6"/>
      <c r="D1963" s="6"/>
      <c r="E1963" s="6"/>
      <c r="F1963" s="6"/>
      <c r="G1963" s="6"/>
      <c r="H1963" s="6"/>
      <c r="I1963" s="6"/>
      <c r="J1963" s="6"/>
      <c r="K1963" s="18"/>
      <c r="L1963" s="19" t="str">
        <f aca="false">IF(A1963="","",G1963*K1963)</f>
        <v/>
      </c>
      <c r="M1963" s="20"/>
      <c r="N1963" s="6"/>
      <c r="O1963" s="6"/>
      <c r="P1963" s="5" t="str">
        <f aca="false">IF(A1963="","",H1963/90)</f>
        <v/>
      </c>
      <c r="Q1963" s="5" t="str">
        <f aca="false">IF(A1963="","",IFERROR(INDEX(Parâmetros!$C$6:$C$10,MATCH(F1963,Parâmetros!$B$6:$B$10,0)),""))</f>
        <v/>
      </c>
      <c r="R1963" s="5" t="str">
        <f aca="false">IF(OR(A1963="",P1963="",Q1963=""),"",P1963*Q1963)</f>
        <v/>
      </c>
      <c r="S1963" s="5" t="str">
        <f aca="false">IF(R1963="","",MAX(0,R1963-G1963))</f>
        <v/>
      </c>
      <c r="T1963" s="21" t="str">
        <f aca="false">IF(S1963="","",S1963*K1963)</f>
        <v/>
      </c>
      <c r="U1963" s="5" t="str">
        <f aca="false">IF(A1963="","",IF(J1963&gt;Parâmetros!$C$14,"SIM","NAO"))</f>
        <v/>
      </c>
      <c r="V1963" s="5" t="str">
        <f aca="false">IF(B1963="","",TRIM(LEFT(B1963,IFERROR(FIND(" ",B1963)-1,LEN(B1963)))))</f>
        <v/>
      </c>
      <c r="W1963" s="22"/>
      <c r="X1963" s="5" t="str">
        <f aca="false">IF(A1963="","",IF(W1963&lt;&gt;"",W1963,V1963))</f>
        <v/>
      </c>
      <c r="Y1963" s="5" t="str">
        <f aca="false">IF(A1963="","",IF(COUNTIFS($X$2:$X$2001,X1963,$D$2:$D$2001,"&lt;&gt;"&amp;D1963,$C$2:$C$2001,C1963)&gt;0,"SIM","NAO"))</f>
        <v/>
      </c>
      <c r="Z1963" s="5" t="str">
        <f aca="false">IF(A1963="","",IF(J1963="","",IFERROR(360/J1963,"")))</f>
        <v/>
      </c>
      <c r="AA1963" s="5" t="str">
        <f aca="false">IF(A1963="","",IF(H1963=0,"Parado (sem venda 90d)",IF(Z1963&gt;12,"Alto (&gt;12x/ano)",IF(Z1963&gt;=4,"Medio (4-12x/ano)","Baixo (&lt;4x/ano)"))))</f>
        <v/>
      </c>
    </row>
    <row r="1964" customFormat="false" ht="15" hidden="false" customHeight="true" outlineLevel="0" collapsed="false">
      <c r="A1964" s="6"/>
      <c r="B1964" s="6"/>
      <c r="C1964" s="6"/>
      <c r="D1964" s="6"/>
      <c r="E1964" s="6"/>
      <c r="F1964" s="6"/>
      <c r="G1964" s="6"/>
      <c r="H1964" s="6"/>
      <c r="I1964" s="6"/>
      <c r="J1964" s="6"/>
      <c r="K1964" s="18"/>
      <c r="L1964" s="19" t="str">
        <f aca="false">IF(A1964="","",G1964*K1964)</f>
        <v/>
      </c>
      <c r="M1964" s="20"/>
      <c r="N1964" s="6"/>
      <c r="O1964" s="6"/>
      <c r="P1964" s="5" t="str">
        <f aca="false">IF(A1964="","",H1964/90)</f>
        <v/>
      </c>
      <c r="Q1964" s="5" t="str">
        <f aca="false">IF(A1964="","",IFERROR(INDEX(Parâmetros!$C$6:$C$10,MATCH(F1964,Parâmetros!$B$6:$B$10,0)),""))</f>
        <v/>
      </c>
      <c r="R1964" s="5" t="str">
        <f aca="false">IF(OR(A1964="",P1964="",Q1964=""),"",P1964*Q1964)</f>
        <v/>
      </c>
      <c r="S1964" s="5" t="str">
        <f aca="false">IF(R1964="","",MAX(0,R1964-G1964))</f>
        <v/>
      </c>
      <c r="T1964" s="21" t="str">
        <f aca="false">IF(S1964="","",S1964*K1964)</f>
        <v/>
      </c>
      <c r="U1964" s="5" t="str">
        <f aca="false">IF(A1964="","",IF(J1964&gt;Parâmetros!$C$14,"SIM","NAO"))</f>
        <v/>
      </c>
      <c r="V1964" s="5" t="str">
        <f aca="false">IF(B1964="","",TRIM(LEFT(B1964,IFERROR(FIND(" ",B1964)-1,LEN(B1964)))))</f>
        <v/>
      </c>
      <c r="W1964" s="22"/>
      <c r="X1964" s="5" t="str">
        <f aca="false">IF(A1964="","",IF(W1964&lt;&gt;"",W1964,V1964))</f>
        <v/>
      </c>
      <c r="Y1964" s="5" t="str">
        <f aca="false">IF(A1964="","",IF(COUNTIFS($X$2:$X$2001,X1964,$D$2:$D$2001,"&lt;&gt;"&amp;D1964,$C$2:$C$2001,C1964)&gt;0,"SIM","NAO"))</f>
        <v/>
      </c>
      <c r="Z1964" s="5" t="str">
        <f aca="false">IF(A1964="","",IF(J1964="","",IFERROR(360/J1964,"")))</f>
        <v/>
      </c>
      <c r="AA1964" s="5" t="str">
        <f aca="false">IF(A1964="","",IF(H1964=0,"Parado (sem venda 90d)",IF(Z1964&gt;12,"Alto (&gt;12x/ano)",IF(Z1964&gt;=4,"Medio (4-12x/ano)","Baixo (&lt;4x/ano)"))))</f>
        <v/>
      </c>
    </row>
    <row r="1965" customFormat="false" ht="15" hidden="false" customHeight="true" outlineLevel="0" collapsed="false">
      <c r="A1965" s="6"/>
      <c r="B1965" s="6"/>
      <c r="C1965" s="6"/>
      <c r="D1965" s="6"/>
      <c r="E1965" s="6"/>
      <c r="F1965" s="6"/>
      <c r="G1965" s="6"/>
      <c r="H1965" s="6"/>
      <c r="I1965" s="6"/>
      <c r="J1965" s="6"/>
      <c r="K1965" s="18"/>
      <c r="L1965" s="19" t="str">
        <f aca="false">IF(A1965="","",G1965*K1965)</f>
        <v/>
      </c>
      <c r="M1965" s="20"/>
      <c r="N1965" s="6"/>
      <c r="O1965" s="6"/>
      <c r="P1965" s="5" t="str">
        <f aca="false">IF(A1965="","",H1965/90)</f>
        <v/>
      </c>
      <c r="Q1965" s="5" t="str">
        <f aca="false">IF(A1965="","",IFERROR(INDEX(Parâmetros!$C$6:$C$10,MATCH(F1965,Parâmetros!$B$6:$B$10,0)),""))</f>
        <v/>
      </c>
      <c r="R1965" s="5" t="str">
        <f aca="false">IF(OR(A1965="",P1965="",Q1965=""),"",P1965*Q1965)</f>
        <v/>
      </c>
      <c r="S1965" s="5" t="str">
        <f aca="false">IF(R1965="","",MAX(0,R1965-G1965))</f>
        <v/>
      </c>
      <c r="T1965" s="21" t="str">
        <f aca="false">IF(S1965="","",S1965*K1965)</f>
        <v/>
      </c>
      <c r="U1965" s="5" t="str">
        <f aca="false">IF(A1965="","",IF(J1965&gt;Parâmetros!$C$14,"SIM","NAO"))</f>
        <v/>
      </c>
      <c r="V1965" s="5" t="str">
        <f aca="false">IF(B1965="","",TRIM(LEFT(B1965,IFERROR(FIND(" ",B1965)-1,LEN(B1965)))))</f>
        <v/>
      </c>
      <c r="W1965" s="22"/>
      <c r="X1965" s="5" t="str">
        <f aca="false">IF(A1965="","",IF(W1965&lt;&gt;"",W1965,V1965))</f>
        <v/>
      </c>
      <c r="Y1965" s="5" t="str">
        <f aca="false">IF(A1965="","",IF(COUNTIFS($X$2:$X$2001,X1965,$D$2:$D$2001,"&lt;&gt;"&amp;D1965,$C$2:$C$2001,C1965)&gt;0,"SIM","NAO"))</f>
        <v/>
      </c>
      <c r="Z1965" s="5" t="str">
        <f aca="false">IF(A1965="","",IF(J1965="","",IFERROR(360/J1965,"")))</f>
        <v/>
      </c>
      <c r="AA1965" s="5" t="str">
        <f aca="false">IF(A1965="","",IF(H1965=0,"Parado (sem venda 90d)",IF(Z1965&gt;12,"Alto (&gt;12x/ano)",IF(Z1965&gt;=4,"Medio (4-12x/ano)","Baixo (&lt;4x/ano)"))))</f>
        <v/>
      </c>
    </row>
    <row r="1966" customFormat="false" ht="15" hidden="false" customHeight="true" outlineLevel="0" collapsed="false">
      <c r="A1966" s="6"/>
      <c r="B1966" s="6"/>
      <c r="C1966" s="6"/>
      <c r="D1966" s="6"/>
      <c r="E1966" s="6"/>
      <c r="F1966" s="6"/>
      <c r="G1966" s="6"/>
      <c r="H1966" s="6"/>
      <c r="I1966" s="6"/>
      <c r="J1966" s="6"/>
      <c r="K1966" s="18"/>
      <c r="L1966" s="19" t="str">
        <f aca="false">IF(A1966="","",G1966*K1966)</f>
        <v/>
      </c>
      <c r="M1966" s="20"/>
      <c r="N1966" s="6"/>
      <c r="O1966" s="6"/>
      <c r="P1966" s="5" t="str">
        <f aca="false">IF(A1966="","",H1966/90)</f>
        <v/>
      </c>
      <c r="Q1966" s="5" t="str">
        <f aca="false">IF(A1966="","",IFERROR(INDEX(Parâmetros!$C$6:$C$10,MATCH(F1966,Parâmetros!$B$6:$B$10,0)),""))</f>
        <v/>
      </c>
      <c r="R1966" s="5" t="str">
        <f aca="false">IF(OR(A1966="",P1966="",Q1966=""),"",P1966*Q1966)</f>
        <v/>
      </c>
      <c r="S1966" s="5" t="str">
        <f aca="false">IF(R1966="","",MAX(0,R1966-G1966))</f>
        <v/>
      </c>
      <c r="T1966" s="21" t="str">
        <f aca="false">IF(S1966="","",S1966*K1966)</f>
        <v/>
      </c>
      <c r="U1966" s="5" t="str">
        <f aca="false">IF(A1966="","",IF(J1966&gt;Parâmetros!$C$14,"SIM","NAO"))</f>
        <v/>
      </c>
      <c r="V1966" s="5" t="str">
        <f aca="false">IF(B1966="","",TRIM(LEFT(B1966,IFERROR(FIND(" ",B1966)-1,LEN(B1966)))))</f>
        <v/>
      </c>
      <c r="W1966" s="22"/>
      <c r="X1966" s="5" t="str">
        <f aca="false">IF(A1966="","",IF(W1966&lt;&gt;"",W1966,V1966))</f>
        <v/>
      </c>
      <c r="Y1966" s="5" t="str">
        <f aca="false">IF(A1966="","",IF(COUNTIFS($X$2:$X$2001,X1966,$D$2:$D$2001,"&lt;&gt;"&amp;D1966,$C$2:$C$2001,C1966)&gt;0,"SIM","NAO"))</f>
        <v/>
      </c>
      <c r="Z1966" s="5" t="str">
        <f aca="false">IF(A1966="","",IF(J1966="","",IFERROR(360/J1966,"")))</f>
        <v/>
      </c>
      <c r="AA1966" s="5" t="str">
        <f aca="false">IF(A1966="","",IF(H1966=0,"Parado (sem venda 90d)",IF(Z1966&gt;12,"Alto (&gt;12x/ano)",IF(Z1966&gt;=4,"Medio (4-12x/ano)","Baixo (&lt;4x/ano)"))))</f>
        <v/>
      </c>
    </row>
    <row r="1967" customFormat="false" ht="15" hidden="false" customHeight="true" outlineLevel="0" collapsed="false">
      <c r="A1967" s="6"/>
      <c r="B1967" s="6"/>
      <c r="C1967" s="6"/>
      <c r="D1967" s="6"/>
      <c r="E1967" s="6"/>
      <c r="F1967" s="6"/>
      <c r="G1967" s="6"/>
      <c r="H1967" s="6"/>
      <c r="I1967" s="6"/>
      <c r="J1967" s="6"/>
      <c r="K1967" s="18"/>
      <c r="L1967" s="19" t="str">
        <f aca="false">IF(A1967="","",G1967*K1967)</f>
        <v/>
      </c>
      <c r="M1967" s="20"/>
      <c r="N1967" s="6"/>
      <c r="O1967" s="6"/>
      <c r="P1967" s="5" t="str">
        <f aca="false">IF(A1967="","",H1967/90)</f>
        <v/>
      </c>
      <c r="Q1967" s="5" t="str">
        <f aca="false">IF(A1967="","",IFERROR(INDEX(Parâmetros!$C$6:$C$10,MATCH(F1967,Parâmetros!$B$6:$B$10,0)),""))</f>
        <v/>
      </c>
      <c r="R1967" s="5" t="str">
        <f aca="false">IF(OR(A1967="",P1967="",Q1967=""),"",P1967*Q1967)</f>
        <v/>
      </c>
      <c r="S1967" s="5" t="str">
        <f aca="false">IF(R1967="","",MAX(0,R1967-G1967))</f>
        <v/>
      </c>
      <c r="T1967" s="21" t="str">
        <f aca="false">IF(S1967="","",S1967*K1967)</f>
        <v/>
      </c>
      <c r="U1967" s="5" t="str">
        <f aca="false">IF(A1967="","",IF(J1967&gt;Parâmetros!$C$14,"SIM","NAO"))</f>
        <v/>
      </c>
      <c r="V1967" s="5" t="str">
        <f aca="false">IF(B1967="","",TRIM(LEFT(B1967,IFERROR(FIND(" ",B1967)-1,LEN(B1967)))))</f>
        <v/>
      </c>
      <c r="W1967" s="22"/>
      <c r="X1967" s="5" t="str">
        <f aca="false">IF(A1967="","",IF(W1967&lt;&gt;"",W1967,V1967))</f>
        <v/>
      </c>
      <c r="Y1967" s="5" t="str">
        <f aca="false">IF(A1967="","",IF(COUNTIFS($X$2:$X$2001,X1967,$D$2:$D$2001,"&lt;&gt;"&amp;D1967,$C$2:$C$2001,C1967)&gt;0,"SIM","NAO"))</f>
        <v/>
      </c>
      <c r="Z1967" s="5" t="str">
        <f aca="false">IF(A1967="","",IF(J1967="","",IFERROR(360/J1967,"")))</f>
        <v/>
      </c>
      <c r="AA1967" s="5" t="str">
        <f aca="false">IF(A1967="","",IF(H1967=0,"Parado (sem venda 90d)",IF(Z1967&gt;12,"Alto (&gt;12x/ano)",IF(Z1967&gt;=4,"Medio (4-12x/ano)","Baixo (&lt;4x/ano)"))))</f>
        <v/>
      </c>
    </row>
    <row r="1968" customFormat="false" ht="15" hidden="false" customHeight="true" outlineLevel="0" collapsed="false">
      <c r="A1968" s="6"/>
      <c r="B1968" s="6"/>
      <c r="C1968" s="6"/>
      <c r="D1968" s="6"/>
      <c r="E1968" s="6"/>
      <c r="F1968" s="6"/>
      <c r="G1968" s="6"/>
      <c r="H1968" s="6"/>
      <c r="I1968" s="6"/>
      <c r="J1968" s="6"/>
      <c r="K1968" s="18"/>
      <c r="L1968" s="19" t="str">
        <f aca="false">IF(A1968="","",G1968*K1968)</f>
        <v/>
      </c>
      <c r="M1968" s="20"/>
      <c r="N1968" s="6"/>
      <c r="O1968" s="6"/>
      <c r="P1968" s="5" t="str">
        <f aca="false">IF(A1968="","",H1968/90)</f>
        <v/>
      </c>
      <c r="Q1968" s="5" t="str">
        <f aca="false">IF(A1968="","",IFERROR(INDEX(Parâmetros!$C$6:$C$10,MATCH(F1968,Parâmetros!$B$6:$B$10,0)),""))</f>
        <v/>
      </c>
      <c r="R1968" s="5" t="str">
        <f aca="false">IF(OR(A1968="",P1968="",Q1968=""),"",P1968*Q1968)</f>
        <v/>
      </c>
      <c r="S1968" s="5" t="str">
        <f aca="false">IF(R1968="","",MAX(0,R1968-G1968))</f>
        <v/>
      </c>
      <c r="T1968" s="21" t="str">
        <f aca="false">IF(S1968="","",S1968*K1968)</f>
        <v/>
      </c>
      <c r="U1968" s="5" t="str">
        <f aca="false">IF(A1968="","",IF(J1968&gt;Parâmetros!$C$14,"SIM","NAO"))</f>
        <v/>
      </c>
      <c r="V1968" s="5" t="str">
        <f aca="false">IF(B1968="","",TRIM(LEFT(B1968,IFERROR(FIND(" ",B1968)-1,LEN(B1968)))))</f>
        <v/>
      </c>
      <c r="W1968" s="22"/>
      <c r="X1968" s="5" t="str">
        <f aca="false">IF(A1968="","",IF(W1968&lt;&gt;"",W1968,V1968))</f>
        <v/>
      </c>
      <c r="Y1968" s="5" t="str">
        <f aca="false">IF(A1968="","",IF(COUNTIFS($X$2:$X$2001,X1968,$D$2:$D$2001,"&lt;&gt;"&amp;D1968,$C$2:$C$2001,C1968)&gt;0,"SIM","NAO"))</f>
        <v/>
      </c>
      <c r="Z1968" s="5" t="str">
        <f aca="false">IF(A1968="","",IF(J1968="","",IFERROR(360/J1968,"")))</f>
        <v/>
      </c>
      <c r="AA1968" s="5" t="str">
        <f aca="false">IF(A1968="","",IF(H1968=0,"Parado (sem venda 90d)",IF(Z1968&gt;12,"Alto (&gt;12x/ano)",IF(Z1968&gt;=4,"Medio (4-12x/ano)","Baixo (&lt;4x/ano)"))))</f>
        <v/>
      </c>
    </row>
    <row r="1969" customFormat="false" ht="15" hidden="false" customHeight="true" outlineLevel="0" collapsed="false">
      <c r="A1969" s="6"/>
      <c r="B1969" s="6"/>
      <c r="C1969" s="6"/>
      <c r="D1969" s="6"/>
      <c r="E1969" s="6"/>
      <c r="F1969" s="6"/>
      <c r="G1969" s="6"/>
      <c r="H1969" s="6"/>
      <c r="I1969" s="6"/>
      <c r="J1969" s="6"/>
      <c r="K1969" s="18"/>
      <c r="L1969" s="19" t="str">
        <f aca="false">IF(A1969="","",G1969*K1969)</f>
        <v/>
      </c>
      <c r="M1969" s="20"/>
      <c r="N1969" s="6"/>
      <c r="O1969" s="6"/>
      <c r="P1969" s="5" t="str">
        <f aca="false">IF(A1969="","",H1969/90)</f>
        <v/>
      </c>
      <c r="Q1969" s="5" t="str">
        <f aca="false">IF(A1969="","",IFERROR(INDEX(Parâmetros!$C$6:$C$10,MATCH(F1969,Parâmetros!$B$6:$B$10,0)),""))</f>
        <v/>
      </c>
      <c r="R1969" s="5" t="str">
        <f aca="false">IF(OR(A1969="",P1969="",Q1969=""),"",P1969*Q1969)</f>
        <v/>
      </c>
      <c r="S1969" s="5" t="str">
        <f aca="false">IF(R1969="","",MAX(0,R1969-G1969))</f>
        <v/>
      </c>
      <c r="T1969" s="21" t="str">
        <f aca="false">IF(S1969="","",S1969*K1969)</f>
        <v/>
      </c>
      <c r="U1969" s="5" t="str">
        <f aca="false">IF(A1969="","",IF(J1969&gt;Parâmetros!$C$14,"SIM","NAO"))</f>
        <v/>
      </c>
      <c r="V1969" s="5" t="str">
        <f aca="false">IF(B1969="","",TRIM(LEFT(B1969,IFERROR(FIND(" ",B1969)-1,LEN(B1969)))))</f>
        <v/>
      </c>
      <c r="W1969" s="22"/>
      <c r="X1969" s="5" t="str">
        <f aca="false">IF(A1969="","",IF(W1969&lt;&gt;"",W1969,V1969))</f>
        <v/>
      </c>
      <c r="Y1969" s="5" t="str">
        <f aca="false">IF(A1969="","",IF(COUNTIFS($X$2:$X$2001,X1969,$D$2:$D$2001,"&lt;&gt;"&amp;D1969,$C$2:$C$2001,C1969)&gt;0,"SIM","NAO"))</f>
        <v/>
      </c>
      <c r="Z1969" s="5" t="str">
        <f aca="false">IF(A1969="","",IF(J1969="","",IFERROR(360/J1969,"")))</f>
        <v/>
      </c>
      <c r="AA1969" s="5" t="str">
        <f aca="false">IF(A1969="","",IF(H1969=0,"Parado (sem venda 90d)",IF(Z1969&gt;12,"Alto (&gt;12x/ano)",IF(Z1969&gt;=4,"Medio (4-12x/ano)","Baixo (&lt;4x/ano)"))))</f>
        <v/>
      </c>
    </row>
    <row r="1970" customFormat="false" ht="15" hidden="false" customHeight="true" outlineLevel="0" collapsed="false">
      <c r="A1970" s="6"/>
      <c r="B1970" s="6"/>
      <c r="C1970" s="6"/>
      <c r="D1970" s="6"/>
      <c r="E1970" s="6"/>
      <c r="F1970" s="6"/>
      <c r="G1970" s="6"/>
      <c r="H1970" s="6"/>
      <c r="I1970" s="6"/>
      <c r="J1970" s="6"/>
      <c r="K1970" s="18"/>
      <c r="L1970" s="19" t="str">
        <f aca="false">IF(A1970="","",G1970*K1970)</f>
        <v/>
      </c>
      <c r="M1970" s="20"/>
      <c r="N1970" s="6"/>
      <c r="O1970" s="6"/>
      <c r="P1970" s="5" t="str">
        <f aca="false">IF(A1970="","",H1970/90)</f>
        <v/>
      </c>
      <c r="Q1970" s="5" t="str">
        <f aca="false">IF(A1970="","",IFERROR(INDEX(Parâmetros!$C$6:$C$10,MATCH(F1970,Parâmetros!$B$6:$B$10,0)),""))</f>
        <v/>
      </c>
      <c r="R1970" s="5" t="str">
        <f aca="false">IF(OR(A1970="",P1970="",Q1970=""),"",P1970*Q1970)</f>
        <v/>
      </c>
      <c r="S1970" s="5" t="str">
        <f aca="false">IF(R1970="","",MAX(0,R1970-G1970))</f>
        <v/>
      </c>
      <c r="T1970" s="21" t="str">
        <f aca="false">IF(S1970="","",S1970*K1970)</f>
        <v/>
      </c>
      <c r="U1970" s="5" t="str">
        <f aca="false">IF(A1970="","",IF(J1970&gt;Parâmetros!$C$14,"SIM","NAO"))</f>
        <v/>
      </c>
      <c r="V1970" s="5" t="str">
        <f aca="false">IF(B1970="","",TRIM(LEFT(B1970,IFERROR(FIND(" ",B1970)-1,LEN(B1970)))))</f>
        <v/>
      </c>
      <c r="W1970" s="22"/>
      <c r="X1970" s="5" t="str">
        <f aca="false">IF(A1970="","",IF(W1970&lt;&gt;"",W1970,V1970))</f>
        <v/>
      </c>
      <c r="Y1970" s="5" t="str">
        <f aca="false">IF(A1970="","",IF(COUNTIFS($X$2:$X$2001,X1970,$D$2:$D$2001,"&lt;&gt;"&amp;D1970,$C$2:$C$2001,C1970)&gt;0,"SIM","NAO"))</f>
        <v/>
      </c>
      <c r="Z1970" s="5" t="str">
        <f aca="false">IF(A1970="","",IF(J1970="","",IFERROR(360/J1970,"")))</f>
        <v/>
      </c>
      <c r="AA1970" s="5" t="str">
        <f aca="false">IF(A1970="","",IF(H1970=0,"Parado (sem venda 90d)",IF(Z1970&gt;12,"Alto (&gt;12x/ano)",IF(Z1970&gt;=4,"Medio (4-12x/ano)","Baixo (&lt;4x/ano)"))))</f>
        <v/>
      </c>
    </row>
    <row r="1971" customFormat="false" ht="15" hidden="false" customHeight="true" outlineLevel="0" collapsed="false">
      <c r="A1971" s="6"/>
      <c r="B1971" s="6"/>
      <c r="C1971" s="6"/>
      <c r="D1971" s="6"/>
      <c r="E1971" s="6"/>
      <c r="F1971" s="6"/>
      <c r="G1971" s="6"/>
      <c r="H1971" s="6"/>
      <c r="I1971" s="6"/>
      <c r="J1971" s="6"/>
      <c r="K1971" s="18"/>
      <c r="L1971" s="19" t="str">
        <f aca="false">IF(A1971="","",G1971*K1971)</f>
        <v/>
      </c>
      <c r="M1971" s="20"/>
      <c r="N1971" s="6"/>
      <c r="O1971" s="6"/>
      <c r="P1971" s="5" t="str">
        <f aca="false">IF(A1971="","",H1971/90)</f>
        <v/>
      </c>
      <c r="Q1971" s="5" t="str">
        <f aca="false">IF(A1971="","",IFERROR(INDEX(Parâmetros!$C$6:$C$10,MATCH(F1971,Parâmetros!$B$6:$B$10,0)),""))</f>
        <v/>
      </c>
      <c r="R1971" s="5" t="str">
        <f aca="false">IF(OR(A1971="",P1971="",Q1971=""),"",P1971*Q1971)</f>
        <v/>
      </c>
      <c r="S1971" s="5" t="str">
        <f aca="false">IF(R1971="","",MAX(0,R1971-G1971))</f>
        <v/>
      </c>
      <c r="T1971" s="21" t="str">
        <f aca="false">IF(S1971="","",S1971*K1971)</f>
        <v/>
      </c>
      <c r="U1971" s="5" t="str">
        <f aca="false">IF(A1971="","",IF(J1971&gt;Parâmetros!$C$14,"SIM","NAO"))</f>
        <v/>
      </c>
      <c r="V1971" s="5" t="str">
        <f aca="false">IF(B1971="","",TRIM(LEFT(B1971,IFERROR(FIND(" ",B1971)-1,LEN(B1971)))))</f>
        <v/>
      </c>
      <c r="W1971" s="22"/>
      <c r="X1971" s="5" t="str">
        <f aca="false">IF(A1971="","",IF(W1971&lt;&gt;"",W1971,V1971))</f>
        <v/>
      </c>
      <c r="Y1971" s="5" t="str">
        <f aca="false">IF(A1971="","",IF(COUNTIFS($X$2:$X$2001,X1971,$D$2:$D$2001,"&lt;&gt;"&amp;D1971,$C$2:$C$2001,C1971)&gt;0,"SIM","NAO"))</f>
        <v/>
      </c>
      <c r="Z1971" s="5" t="str">
        <f aca="false">IF(A1971="","",IF(J1971="","",IFERROR(360/J1971,"")))</f>
        <v/>
      </c>
      <c r="AA1971" s="5" t="str">
        <f aca="false">IF(A1971="","",IF(H1971=0,"Parado (sem venda 90d)",IF(Z1971&gt;12,"Alto (&gt;12x/ano)",IF(Z1971&gt;=4,"Medio (4-12x/ano)","Baixo (&lt;4x/ano)"))))</f>
        <v/>
      </c>
    </row>
    <row r="1972" customFormat="false" ht="15" hidden="false" customHeight="true" outlineLevel="0" collapsed="false">
      <c r="A1972" s="6"/>
      <c r="B1972" s="6"/>
      <c r="C1972" s="6"/>
      <c r="D1972" s="6"/>
      <c r="E1972" s="6"/>
      <c r="F1972" s="6"/>
      <c r="G1972" s="6"/>
      <c r="H1972" s="6"/>
      <c r="I1972" s="6"/>
      <c r="J1972" s="6"/>
      <c r="K1972" s="18"/>
      <c r="L1972" s="19" t="str">
        <f aca="false">IF(A1972="","",G1972*K1972)</f>
        <v/>
      </c>
      <c r="M1972" s="20"/>
      <c r="N1972" s="6"/>
      <c r="O1972" s="6"/>
      <c r="P1972" s="5" t="str">
        <f aca="false">IF(A1972="","",H1972/90)</f>
        <v/>
      </c>
      <c r="Q1972" s="5" t="str">
        <f aca="false">IF(A1972="","",IFERROR(INDEX(Parâmetros!$C$6:$C$10,MATCH(F1972,Parâmetros!$B$6:$B$10,0)),""))</f>
        <v/>
      </c>
      <c r="R1972" s="5" t="str">
        <f aca="false">IF(OR(A1972="",P1972="",Q1972=""),"",P1972*Q1972)</f>
        <v/>
      </c>
      <c r="S1972" s="5" t="str">
        <f aca="false">IF(R1972="","",MAX(0,R1972-G1972))</f>
        <v/>
      </c>
      <c r="T1972" s="21" t="str">
        <f aca="false">IF(S1972="","",S1972*K1972)</f>
        <v/>
      </c>
      <c r="U1972" s="5" t="str">
        <f aca="false">IF(A1972="","",IF(J1972&gt;Parâmetros!$C$14,"SIM","NAO"))</f>
        <v/>
      </c>
      <c r="V1972" s="5" t="str">
        <f aca="false">IF(B1972="","",TRIM(LEFT(B1972,IFERROR(FIND(" ",B1972)-1,LEN(B1972)))))</f>
        <v/>
      </c>
      <c r="W1972" s="22"/>
      <c r="X1972" s="5" t="str">
        <f aca="false">IF(A1972="","",IF(W1972&lt;&gt;"",W1972,V1972))</f>
        <v/>
      </c>
      <c r="Y1972" s="5" t="str">
        <f aca="false">IF(A1972="","",IF(COUNTIFS($X$2:$X$2001,X1972,$D$2:$D$2001,"&lt;&gt;"&amp;D1972,$C$2:$C$2001,C1972)&gt;0,"SIM","NAO"))</f>
        <v/>
      </c>
      <c r="Z1972" s="5" t="str">
        <f aca="false">IF(A1972="","",IF(J1972="","",IFERROR(360/J1972,"")))</f>
        <v/>
      </c>
      <c r="AA1972" s="5" t="str">
        <f aca="false">IF(A1972="","",IF(H1972=0,"Parado (sem venda 90d)",IF(Z1972&gt;12,"Alto (&gt;12x/ano)",IF(Z1972&gt;=4,"Medio (4-12x/ano)","Baixo (&lt;4x/ano)"))))</f>
        <v/>
      </c>
    </row>
    <row r="1973" customFormat="false" ht="15" hidden="false" customHeight="true" outlineLevel="0" collapsed="false">
      <c r="A1973" s="6"/>
      <c r="B1973" s="6"/>
      <c r="C1973" s="6"/>
      <c r="D1973" s="6"/>
      <c r="E1973" s="6"/>
      <c r="F1973" s="6"/>
      <c r="G1973" s="6"/>
      <c r="H1973" s="6"/>
      <c r="I1973" s="6"/>
      <c r="J1973" s="6"/>
      <c r="K1973" s="18"/>
      <c r="L1973" s="19" t="str">
        <f aca="false">IF(A1973="","",G1973*K1973)</f>
        <v/>
      </c>
      <c r="M1973" s="20"/>
      <c r="N1973" s="6"/>
      <c r="O1973" s="6"/>
      <c r="P1973" s="5" t="str">
        <f aca="false">IF(A1973="","",H1973/90)</f>
        <v/>
      </c>
      <c r="Q1973" s="5" t="str">
        <f aca="false">IF(A1973="","",IFERROR(INDEX(Parâmetros!$C$6:$C$10,MATCH(F1973,Parâmetros!$B$6:$B$10,0)),""))</f>
        <v/>
      </c>
      <c r="R1973" s="5" t="str">
        <f aca="false">IF(OR(A1973="",P1973="",Q1973=""),"",P1973*Q1973)</f>
        <v/>
      </c>
      <c r="S1973" s="5" t="str">
        <f aca="false">IF(R1973="","",MAX(0,R1973-G1973))</f>
        <v/>
      </c>
      <c r="T1973" s="21" t="str">
        <f aca="false">IF(S1973="","",S1973*K1973)</f>
        <v/>
      </c>
      <c r="U1973" s="5" t="str">
        <f aca="false">IF(A1973="","",IF(J1973&gt;Parâmetros!$C$14,"SIM","NAO"))</f>
        <v/>
      </c>
      <c r="V1973" s="5" t="str">
        <f aca="false">IF(B1973="","",TRIM(LEFT(B1973,IFERROR(FIND(" ",B1973)-1,LEN(B1973)))))</f>
        <v/>
      </c>
      <c r="W1973" s="22"/>
      <c r="X1973" s="5" t="str">
        <f aca="false">IF(A1973="","",IF(W1973&lt;&gt;"",W1973,V1973))</f>
        <v/>
      </c>
      <c r="Y1973" s="5" t="str">
        <f aca="false">IF(A1973="","",IF(COUNTIFS($X$2:$X$2001,X1973,$D$2:$D$2001,"&lt;&gt;"&amp;D1973,$C$2:$C$2001,C1973)&gt;0,"SIM","NAO"))</f>
        <v/>
      </c>
      <c r="Z1973" s="5" t="str">
        <f aca="false">IF(A1973="","",IF(J1973="","",IFERROR(360/J1973,"")))</f>
        <v/>
      </c>
      <c r="AA1973" s="5" t="str">
        <f aca="false">IF(A1973="","",IF(H1973=0,"Parado (sem venda 90d)",IF(Z1973&gt;12,"Alto (&gt;12x/ano)",IF(Z1973&gt;=4,"Medio (4-12x/ano)","Baixo (&lt;4x/ano)"))))</f>
        <v/>
      </c>
    </row>
    <row r="1974" customFormat="false" ht="15" hidden="false" customHeight="true" outlineLevel="0" collapsed="false">
      <c r="A1974" s="6"/>
      <c r="B1974" s="6"/>
      <c r="C1974" s="6"/>
      <c r="D1974" s="6"/>
      <c r="E1974" s="6"/>
      <c r="F1974" s="6"/>
      <c r="G1974" s="6"/>
      <c r="H1974" s="6"/>
      <c r="I1974" s="6"/>
      <c r="J1974" s="6"/>
      <c r="K1974" s="18"/>
      <c r="L1974" s="19" t="str">
        <f aca="false">IF(A1974="","",G1974*K1974)</f>
        <v/>
      </c>
      <c r="M1974" s="20"/>
      <c r="N1974" s="6"/>
      <c r="O1974" s="6"/>
      <c r="P1974" s="5" t="str">
        <f aca="false">IF(A1974="","",H1974/90)</f>
        <v/>
      </c>
      <c r="Q1974" s="5" t="str">
        <f aca="false">IF(A1974="","",IFERROR(INDEX(Parâmetros!$C$6:$C$10,MATCH(F1974,Parâmetros!$B$6:$B$10,0)),""))</f>
        <v/>
      </c>
      <c r="R1974" s="5" t="str">
        <f aca="false">IF(OR(A1974="",P1974="",Q1974=""),"",P1974*Q1974)</f>
        <v/>
      </c>
      <c r="S1974" s="5" t="str">
        <f aca="false">IF(R1974="","",MAX(0,R1974-G1974))</f>
        <v/>
      </c>
      <c r="T1974" s="21" t="str">
        <f aca="false">IF(S1974="","",S1974*K1974)</f>
        <v/>
      </c>
      <c r="U1974" s="5" t="str">
        <f aca="false">IF(A1974="","",IF(J1974&gt;Parâmetros!$C$14,"SIM","NAO"))</f>
        <v/>
      </c>
      <c r="V1974" s="5" t="str">
        <f aca="false">IF(B1974="","",TRIM(LEFT(B1974,IFERROR(FIND(" ",B1974)-1,LEN(B1974)))))</f>
        <v/>
      </c>
      <c r="W1974" s="22"/>
      <c r="X1974" s="5" t="str">
        <f aca="false">IF(A1974="","",IF(W1974&lt;&gt;"",W1974,V1974))</f>
        <v/>
      </c>
      <c r="Y1974" s="5" t="str">
        <f aca="false">IF(A1974="","",IF(COUNTIFS($X$2:$X$2001,X1974,$D$2:$D$2001,"&lt;&gt;"&amp;D1974,$C$2:$C$2001,C1974)&gt;0,"SIM","NAO"))</f>
        <v/>
      </c>
      <c r="Z1974" s="5" t="str">
        <f aca="false">IF(A1974="","",IF(J1974="","",IFERROR(360/J1974,"")))</f>
        <v/>
      </c>
      <c r="AA1974" s="5" t="str">
        <f aca="false">IF(A1974="","",IF(H1974=0,"Parado (sem venda 90d)",IF(Z1974&gt;12,"Alto (&gt;12x/ano)",IF(Z1974&gt;=4,"Medio (4-12x/ano)","Baixo (&lt;4x/ano)"))))</f>
        <v/>
      </c>
    </row>
    <row r="1975" customFormat="false" ht="15" hidden="false" customHeight="true" outlineLevel="0" collapsed="false">
      <c r="A1975" s="6"/>
      <c r="B1975" s="6"/>
      <c r="C1975" s="6"/>
      <c r="D1975" s="6"/>
      <c r="E1975" s="6"/>
      <c r="F1975" s="6"/>
      <c r="G1975" s="6"/>
      <c r="H1975" s="6"/>
      <c r="I1975" s="6"/>
      <c r="J1975" s="6"/>
      <c r="K1975" s="18"/>
      <c r="L1975" s="19" t="str">
        <f aca="false">IF(A1975="","",G1975*K1975)</f>
        <v/>
      </c>
      <c r="M1975" s="20"/>
      <c r="N1975" s="6"/>
      <c r="O1975" s="6"/>
      <c r="P1975" s="5" t="str">
        <f aca="false">IF(A1975="","",H1975/90)</f>
        <v/>
      </c>
      <c r="Q1975" s="5" t="str">
        <f aca="false">IF(A1975="","",IFERROR(INDEX(Parâmetros!$C$6:$C$10,MATCH(F1975,Parâmetros!$B$6:$B$10,0)),""))</f>
        <v/>
      </c>
      <c r="R1975" s="5" t="str">
        <f aca="false">IF(OR(A1975="",P1975="",Q1975=""),"",P1975*Q1975)</f>
        <v/>
      </c>
      <c r="S1975" s="5" t="str">
        <f aca="false">IF(R1975="","",MAX(0,R1975-G1975))</f>
        <v/>
      </c>
      <c r="T1975" s="21" t="str">
        <f aca="false">IF(S1975="","",S1975*K1975)</f>
        <v/>
      </c>
      <c r="U1975" s="5" t="str">
        <f aca="false">IF(A1975="","",IF(J1975&gt;Parâmetros!$C$14,"SIM","NAO"))</f>
        <v/>
      </c>
      <c r="V1975" s="5" t="str">
        <f aca="false">IF(B1975="","",TRIM(LEFT(B1975,IFERROR(FIND(" ",B1975)-1,LEN(B1975)))))</f>
        <v/>
      </c>
      <c r="W1975" s="22"/>
      <c r="X1975" s="5" t="str">
        <f aca="false">IF(A1975="","",IF(W1975&lt;&gt;"",W1975,V1975))</f>
        <v/>
      </c>
      <c r="Y1975" s="5" t="str">
        <f aca="false">IF(A1975="","",IF(COUNTIFS($X$2:$X$2001,X1975,$D$2:$D$2001,"&lt;&gt;"&amp;D1975,$C$2:$C$2001,C1975)&gt;0,"SIM","NAO"))</f>
        <v/>
      </c>
      <c r="Z1975" s="5" t="str">
        <f aca="false">IF(A1975="","",IF(J1975="","",IFERROR(360/J1975,"")))</f>
        <v/>
      </c>
      <c r="AA1975" s="5" t="str">
        <f aca="false">IF(A1975="","",IF(H1975=0,"Parado (sem venda 90d)",IF(Z1975&gt;12,"Alto (&gt;12x/ano)",IF(Z1975&gt;=4,"Medio (4-12x/ano)","Baixo (&lt;4x/ano)"))))</f>
        <v/>
      </c>
    </row>
    <row r="1976" customFormat="false" ht="15" hidden="false" customHeight="true" outlineLevel="0" collapsed="false">
      <c r="A1976" s="6"/>
      <c r="B1976" s="6"/>
      <c r="C1976" s="6"/>
      <c r="D1976" s="6"/>
      <c r="E1976" s="6"/>
      <c r="F1976" s="6"/>
      <c r="G1976" s="6"/>
      <c r="H1976" s="6"/>
      <c r="I1976" s="6"/>
      <c r="J1976" s="6"/>
      <c r="K1976" s="18"/>
      <c r="L1976" s="19" t="str">
        <f aca="false">IF(A1976="","",G1976*K1976)</f>
        <v/>
      </c>
      <c r="M1976" s="20"/>
      <c r="N1976" s="6"/>
      <c r="O1976" s="6"/>
      <c r="P1976" s="5" t="str">
        <f aca="false">IF(A1976="","",H1976/90)</f>
        <v/>
      </c>
      <c r="Q1976" s="5" t="str">
        <f aca="false">IF(A1976="","",IFERROR(INDEX(Parâmetros!$C$6:$C$10,MATCH(F1976,Parâmetros!$B$6:$B$10,0)),""))</f>
        <v/>
      </c>
      <c r="R1976" s="5" t="str">
        <f aca="false">IF(OR(A1976="",P1976="",Q1976=""),"",P1976*Q1976)</f>
        <v/>
      </c>
      <c r="S1976" s="5" t="str">
        <f aca="false">IF(R1976="","",MAX(0,R1976-G1976))</f>
        <v/>
      </c>
      <c r="T1976" s="21" t="str">
        <f aca="false">IF(S1976="","",S1976*K1976)</f>
        <v/>
      </c>
      <c r="U1976" s="5" t="str">
        <f aca="false">IF(A1976="","",IF(J1976&gt;Parâmetros!$C$14,"SIM","NAO"))</f>
        <v/>
      </c>
      <c r="V1976" s="5" t="str">
        <f aca="false">IF(B1976="","",TRIM(LEFT(B1976,IFERROR(FIND(" ",B1976)-1,LEN(B1976)))))</f>
        <v/>
      </c>
      <c r="W1976" s="22"/>
      <c r="X1976" s="5" t="str">
        <f aca="false">IF(A1976="","",IF(W1976&lt;&gt;"",W1976,V1976))</f>
        <v/>
      </c>
      <c r="Y1976" s="5" t="str">
        <f aca="false">IF(A1976="","",IF(COUNTIFS($X$2:$X$2001,X1976,$D$2:$D$2001,"&lt;&gt;"&amp;D1976,$C$2:$C$2001,C1976)&gt;0,"SIM","NAO"))</f>
        <v/>
      </c>
      <c r="Z1976" s="5" t="str">
        <f aca="false">IF(A1976="","",IF(J1976="","",IFERROR(360/J1976,"")))</f>
        <v/>
      </c>
      <c r="AA1976" s="5" t="str">
        <f aca="false">IF(A1976="","",IF(H1976=0,"Parado (sem venda 90d)",IF(Z1976&gt;12,"Alto (&gt;12x/ano)",IF(Z1976&gt;=4,"Medio (4-12x/ano)","Baixo (&lt;4x/ano)"))))</f>
        <v/>
      </c>
    </row>
    <row r="1977" customFormat="false" ht="15" hidden="false" customHeight="true" outlineLevel="0" collapsed="false">
      <c r="A1977" s="6"/>
      <c r="B1977" s="6"/>
      <c r="C1977" s="6"/>
      <c r="D1977" s="6"/>
      <c r="E1977" s="6"/>
      <c r="F1977" s="6"/>
      <c r="G1977" s="6"/>
      <c r="H1977" s="6"/>
      <c r="I1977" s="6"/>
      <c r="J1977" s="6"/>
      <c r="K1977" s="18"/>
      <c r="L1977" s="19" t="str">
        <f aca="false">IF(A1977="","",G1977*K1977)</f>
        <v/>
      </c>
      <c r="M1977" s="20"/>
      <c r="N1977" s="6"/>
      <c r="O1977" s="6"/>
      <c r="P1977" s="5" t="str">
        <f aca="false">IF(A1977="","",H1977/90)</f>
        <v/>
      </c>
      <c r="Q1977" s="5" t="str">
        <f aca="false">IF(A1977="","",IFERROR(INDEX(Parâmetros!$C$6:$C$10,MATCH(F1977,Parâmetros!$B$6:$B$10,0)),""))</f>
        <v/>
      </c>
      <c r="R1977" s="5" t="str">
        <f aca="false">IF(OR(A1977="",P1977="",Q1977=""),"",P1977*Q1977)</f>
        <v/>
      </c>
      <c r="S1977" s="5" t="str">
        <f aca="false">IF(R1977="","",MAX(0,R1977-G1977))</f>
        <v/>
      </c>
      <c r="T1977" s="21" t="str">
        <f aca="false">IF(S1977="","",S1977*K1977)</f>
        <v/>
      </c>
      <c r="U1977" s="5" t="str">
        <f aca="false">IF(A1977="","",IF(J1977&gt;Parâmetros!$C$14,"SIM","NAO"))</f>
        <v/>
      </c>
      <c r="V1977" s="5" t="str">
        <f aca="false">IF(B1977="","",TRIM(LEFT(B1977,IFERROR(FIND(" ",B1977)-1,LEN(B1977)))))</f>
        <v/>
      </c>
      <c r="W1977" s="22"/>
      <c r="X1977" s="5" t="str">
        <f aca="false">IF(A1977="","",IF(W1977&lt;&gt;"",W1977,V1977))</f>
        <v/>
      </c>
      <c r="Y1977" s="5" t="str">
        <f aca="false">IF(A1977="","",IF(COUNTIFS($X$2:$X$2001,X1977,$D$2:$D$2001,"&lt;&gt;"&amp;D1977,$C$2:$C$2001,C1977)&gt;0,"SIM","NAO"))</f>
        <v/>
      </c>
      <c r="Z1977" s="5" t="str">
        <f aca="false">IF(A1977="","",IF(J1977="","",IFERROR(360/J1977,"")))</f>
        <v/>
      </c>
      <c r="AA1977" s="5" t="str">
        <f aca="false">IF(A1977="","",IF(H1977=0,"Parado (sem venda 90d)",IF(Z1977&gt;12,"Alto (&gt;12x/ano)",IF(Z1977&gt;=4,"Medio (4-12x/ano)","Baixo (&lt;4x/ano)"))))</f>
        <v/>
      </c>
    </row>
    <row r="1978" customFormat="false" ht="15" hidden="false" customHeight="true" outlineLevel="0" collapsed="false">
      <c r="A1978" s="6"/>
      <c r="B1978" s="6"/>
      <c r="C1978" s="6"/>
      <c r="D1978" s="6"/>
      <c r="E1978" s="6"/>
      <c r="F1978" s="6"/>
      <c r="G1978" s="6"/>
      <c r="H1978" s="6"/>
      <c r="I1978" s="6"/>
      <c r="J1978" s="6"/>
      <c r="K1978" s="18"/>
      <c r="L1978" s="19" t="str">
        <f aca="false">IF(A1978="","",G1978*K1978)</f>
        <v/>
      </c>
      <c r="M1978" s="20"/>
      <c r="N1978" s="6"/>
      <c r="O1978" s="6"/>
      <c r="P1978" s="5" t="str">
        <f aca="false">IF(A1978="","",H1978/90)</f>
        <v/>
      </c>
      <c r="Q1978" s="5" t="str">
        <f aca="false">IF(A1978="","",IFERROR(INDEX(Parâmetros!$C$6:$C$10,MATCH(F1978,Parâmetros!$B$6:$B$10,0)),""))</f>
        <v/>
      </c>
      <c r="R1978" s="5" t="str">
        <f aca="false">IF(OR(A1978="",P1978="",Q1978=""),"",P1978*Q1978)</f>
        <v/>
      </c>
      <c r="S1978" s="5" t="str">
        <f aca="false">IF(R1978="","",MAX(0,R1978-G1978))</f>
        <v/>
      </c>
      <c r="T1978" s="21" t="str">
        <f aca="false">IF(S1978="","",S1978*K1978)</f>
        <v/>
      </c>
      <c r="U1978" s="5" t="str">
        <f aca="false">IF(A1978="","",IF(J1978&gt;Parâmetros!$C$14,"SIM","NAO"))</f>
        <v/>
      </c>
      <c r="V1978" s="5" t="str">
        <f aca="false">IF(B1978="","",TRIM(LEFT(B1978,IFERROR(FIND(" ",B1978)-1,LEN(B1978)))))</f>
        <v/>
      </c>
      <c r="W1978" s="22"/>
      <c r="X1978" s="5" t="str">
        <f aca="false">IF(A1978="","",IF(W1978&lt;&gt;"",W1978,V1978))</f>
        <v/>
      </c>
      <c r="Y1978" s="5" t="str">
        <f aca="false">IF(A1978="","",IF(COUNTIFS($X$2:$X$2001,X1978,$D$2:$D$2001,"&lt;&gt;"&amp;D1978,$C$2:$C$2001,C1978)&gt;0,"SIM","NAO"))</f>
        <v/>
      </c>
      <c r="Z1978" s="5" t="str">
        <f aca="false">IF(A1978="","",IF(J1978="","",IFERROR(360/J1978,"")))</f>
        <v/>
      </c>
      <c r="AA1978" s="5" t="str">
        <f aca="false">IF(A1978="","",IF(H1978=0,"Parado (sem venda 90d)",IF(Z1978&gt;12,"Alto (&gt;12x/ano)",IF(Z1978&gt;=4,"Medio (4-12x/ano)","Baixo (&lt;4x/ano)"))))</f>
        <v/>
      </c>
    </row>
    <row r="1979" customFormat="false" ht="15" hidden="false" customHeight="true" outlineLevel="0" collapsed="false">
      <c r="A1979" s="6"/>
      <c r="B1979" s="6"/>
      <c r="C1979" s="6"/>
      <c r="D1979" s="6"/>
      <c r="E1979" s="6"/>
      <c r="F1979" s="6"/>
      <c r="G1979" s="6"/>
      <c r="H1979" s="6"/>
      <c r="I1979" s="6"/>
      <c r="J1979" s="6"/>
      <c r="K1979" s="18"/>
      <c r="L1979" s="19" t="str">
        <f aca="false">IF(A1979="","",G1979*K1979)</f>
        <v/>
      </c>
      <c r="M1979" s="20"/>
      <c r="N1979" s="6"/>
      <c r="O1979" s="6"/>
      <c r="P1979" s="5" t="str">
        <f aca="false">IF(A1979="","",H1979/90)</f>
        <v/>
      </c>
      <c r="Q1979" s="5" t="str">
        <f aca="false">IF(A1979="","",IFERROR(INDEX(Parâmetros!$C$6:$C$10,MATCH(F1979,Parâmetros!$B$6:$B$10,0)),""))</f>
        <v/>
      </c>
      <c r="R1979" s="5" t="str">
        <f aca="false">IF(OR(A1979="",P1979="",Q1979=""),"",P1979*Q1979)</f>
        <v/>
      </c>
      <c r="S1979" s="5" t="str">
        <f aca="false">IF(R1979="","",MAX(0,R1979-G1979))</f>
        <v/>
      </c>
      <c r="T1979" s="21" t="str">
        <f aca="false">IF(S1979="","",S1979*K1979)</f>
        <v/>
      </c>
      <c r="U1979" s="5" t="str">
        <f aca="false">IF(A1979="","",IF(J1979&gt;Parâmetros!$C$14,"SIM","NAO"))</f>
        <v/>
      </c>
      <c r="V1979" s="5" t="str">
        <f aca="false">IF(B1979="","",TRIM(LEFT(B1979,IFERROR(FIND(" ",B1979)-1,LEN(B1979)))))</f>
        <v/>
      </c>
      <c r="W1979" s="22"/>
      <c r="X1979" s="5" t="str">
        <f aca="false">IF(A1979="","",IF(W1979&lt;&gt;"",W1979,V1979))</f>
        <v/>
      </c>
      <c r="Y1979" s="5" t="str">
        <f aca="false">IF(A1979="","",IF(COUNTIFS($X$2:$X$2001,X1979,$D$2:$D$2001,"&lt;&gt;"&amp;D1979,$C$2:$C$2001,C1979)&gt;0,"SIM","NAO"))</f>
        <v/>
      </c>
      <c r="Z1979" s="5" t="str">
        <f aca="false">IF(A1979="","",IF(J1979="","",IFERROR(360/J1979,"")))</f>
        <v/>
      </c>
      <c r="AA1979" s="5" t="str">
        <f aca="false">IF(A1979="","",IF(H1979=0,"Parado (sem venda 90d)",IF(Z1979&gt;12,"Alto (&gt;12x/ano)",IF(Z1979&gt;=4,"Medio (4-12x/ano)","Baixo (&lt;4x/ano)"))))</f>
        <v/>
      </c>
    </row>
    <row r="1980" customFormat="false" ht="15" hidden="false" customHeight="true" outlineLevel="0" collapsed="false">
      <c r="A1980" s="6"/>
      <c r="B1980" s="6"/>
      <c r="C1980" s="6"/>
      <c r="D1980" s="6"/>
      <c r="E1980" s="6"/>
      <c r="F1980" s="6"/>
      <c r="G1980" s="6"/>
      <c r="H1980" s="6"/>
      <c r="I1980" s="6"/>
      <c r="J1980" s="6"/>
      <c r="K1980" s="18"/>
      <c r="L1980" s="19" t="str">
        <f aca="false">IF(A1980="","",G1980*K1980)</f>
        <v/>
      </c>
      <c r="M1980" s="20"/>
      <c r="N1980" s="6"/>
      <c r="O1980" s="6"/>
      <c r="P1980" s="5" t="str">
        <f aca="false">IF(A1980="","",H1980/90)</f>
        <v/>
      </c>
      <c r="Q1980" s="5" t="str">
        <f aca="false">IF(A1980="","",IFERROR(INDEX(Parâmetros!$C$6:$C$10,MATCH(F1980,Parâmetros!$B$6:$B$10,0)),""))</f>
        <v/>
      </c>
      <c r="R1980" s="5" t="str">
        <f aca="false">IF(OR(A1980="",P1980="",Q1980=""),"",P1980*Q1980)</f>
        <v/>
      </c>
      <c r="S1980" s="5" t="str">
        <f aca="false">IF(R1980="","",MAX(0,R1980-G1980))</f>
        <v/>
      </c>
      <c r="T1980" s="21" t="str">
        <f aca="false">IF(S1980="","",S1980*K1980)</f>
        <v/>
      </c>
      <c r="U1980" s="5" t="str">
        <f aca="false">IF(A1980="","",IF(J1980&gt;Parâmetros!$C$14,"SIM","NAO"))</f>
        <v/>
      </c>
      <c r="V1980" s="5" t="str">
        <f aca="false">IF(B1980="","",TRIM(LEFT(B1980,IFERROR(FIND(" ",B1980)-1,LEN(B1980)))))</f>
        <v/>
      </c>
      <c r="W1980" s="22"/>
      <c r="X1980" s="5" t="str">
        <f aca="false">IF(A1980="","",IF(W1980&lt;&gt;"",W1980,V1980))</f>
        <v/>
      </c>
      <c r="Y1980" s="5" t="str">
        <f aca="false">IF(A1980="","",IF(COUNTIFS($X$2:$X$2001,X1980,$D$2:$D$2001,"&lt;&gt;"&amp;D1980,$C$2:$C$2001,C1980)&gt;0,"SIM","NAO"))</f>
        <v/>
      </c>
      <c r="Z1980" s="5" t="str">
        <f aca="false">IF(A1980="","",IF(J1980="","",IFERROR(360/J1980,"")))</f>
        <v/>
      </c>
      <c r="AA1980" s="5" t="str">
        <f aca="false">IF(A1980="","",IF(H1980=0,"Parado (sem venda 90d)",IF(Z1980&gt;12,"Alto (&gt;12x/ano)",IF(Z1980&gt;=4,"Medio (4-12x/ano)","Baixo (&lt;4x/ano)"))))</f>
        <v/>
      </c>
    </row>
    <row r="1981" customFormat="false" ht="15" hidden="false" customHeight="true" outlineLevel="0" collapsed="false">
      <c r="A1981" s="6"/>
      <c r="B1981" s="6"/>
      <c r="C1981" s="6"/>
      <c r="D1981" s="6"/>
      <c r="E1981" s="6"/>
      <c r="F1981" s="6"/>
      <c r="G1981" s="6"/>
      <c r="H1981" s="6"/>
      <c r="I1981" s="6"/>
      <c r="J1981" s="6"/>
      <c r="K1981" s="18"/>
      <c r="L1981" s="19" t="str">
        <f aca="false">IF(A1981="","",G1981*K1981)</f>
        <v/>
      </c>
      <c r="M1981" s="20"/>
      <c r="N1981" s="6"/>
      <c r="O1981" s="6"/>
      <c r="P1981" s="5" t="str">
        <f aca="false">IF(A1981="","",H1981/90)</f>
        <v/>
      </c>
      <c r="Q1981" s="5" t="str">
        <f aca="false">IF(A1981="","",IFERROR(INDEX(Parâmetros!$C$6:$C$10,MATCH(F1981,Parâmetros!$B$6:$B$10,0)),""))</f>
        <v/>
      </c>
      <c r="R1981" s="5" t="str">
        <f aca="false">IF(OR(A1981="",P1981="",Q1981=""),"",P1981*Q1981)</f>
        <v/>
      </c>
      <c r="S1981" s="5" t="str">
        <f aca="false">IF(R1981="","",MAX(0,R1981-G1981))</f>
        <v/>
      </c>
      <c r="T1981" s="21" t="str">
        <f aca="false">IF(S1981="","",S1981*K1981)</f>
        <v/>
      </c>
      <c r="U1981" s="5" t="str">
        <f aca="false">IF(A1981="","",IF(J1981&gt;Parâmetros!$C$14,"SIM","NAO"))</f>
        <v/>
      </c>
      <c r="V1981" s="5" t="str">
        <f aca="false">IF(B1981="","",TRIM(LEFT(B1981,IFERROR(FIND(" ",B1981)-1,LEN(B1981)))))</f>
        <v/>
      </c>
      <c r="W1981" s="22"/>
      <c r="X1981" s="5" t="str">
        <f aca="false">IF(A1981="","",IF(W1981&lt;&gt;"",W1981,V1981))</f>
        <v/>
      </c>
      <c r="Y1981" s="5" t="str">
        <f aca="false">IF(A1981="","",IF(COUNTIFS($X$2:$X$2001,X1981,$D$2:$D$2001,"&lt;&gt;"&amp;D1981,$C$2:$C$2001,C1981)&gt;0,"SIM","NAO"))</f>
        <v/>
      </c>
      <c r="Z1981" s="5" t="str">
        <f aca="false">IF(A1981="","",IF(J1981="","",IFERROR(360/J1981,"")))</f>
        <v/>
      </c>
      <c r="AA1981" s="5" t="str">
        <f aca="false">IF(A1981="","",IF(H1981=0,"Parado (sem venda 90d)",IF(Z1981&gt;12,"Alto (&gt;12x/ano)",IF(Z1981&gt;=4,"Medio (4-12x/ano)","Baixo (&lt;4x/ano)"))))</f>
        <v/>
      </c>
    </row>
    <row r="1982" customFormat="false" ht="15" hidden="false" customHeight="true" outlineLevel="0" collapsed="false">
      <c r="A1982" s="6"/>
      <c r="B1982" s="6"/>
      <c r="C1982" s="6"/>
      <c r="D1982" s="6"/>
      <c r="E1982" s="6"/>
      <c r="F1982" s="6"/>
      <c r="G1982" s="6"/>
      <c r="H1982" s="6"/>
      <c r="I1982" s="6"/>
      <c r="J1982" s="6"/>
      <c r="K1982" s="18"/>
      <c r="L1982" s="19" t="str">
        <f aca="false">IF(A1982="","",G1982*K1982)</f>
        <v/>
      </c>
      <c r="M1982" s="20"/>
      <c r="N1982" s="6"/>
      <c r="O1982" s="6"/>
      <c r="P1982" s="5" t="str">
        <f aca="false">IF(A1982="","",H1982/90)</f>
        <v/>
      </c>
      <c r="Q1982" s="5" t="str">
        <f aca="false">IF(A1982="","",IFERROR(INDEX(Parâmetros!$C$6:$C$10,MATCH(F1982,Parâmetros!$B$6:$B$10,0)),""))</f>
        <v/>
      </c>
      <c r="R1982" s="5" t="str">
        <f aca="false">IF(OR(A1982="",P1982="",Q1982=""),"",P1982*Q1982)</f>
        <v/>
      </c>
      <c r="S1982" s="5" t="str">
        <f aca="false">IF(R1982="","",MAX(0,R1982-G1982))</f>
        <v/>
      </c>
      <c r="T1982" s="21" t="str">
        <f aca="false">IF(S1982="","",S1982*K1982)</f>
        <v/>
      </c>
      <c r="U1982" s="5" t="str">
        <f aca="false">IF(A1982="","",IF(J1982&gt;Parâmetros!$C$14,"SIM","NAO"))</f>
        <v/>
      </c>
      <c r="V1982" s="5" t="str">
        <f aca="false">IF(B1982="","",TRIM(LEFT(B1982,IFERROR(FIND(" ",B1982)-1,LEN(B1982)))))</f>
        <v/>
      </c>
      <c r="W1982" s="22"/>
      <c r="X1982" s="5" t="str">
        <f aca="false">IF(A1982="","",IF(W1982&lt;&gt;"",W1982,V1982))</f>
        <v/>
      </c>
      <c r="Y1982" s="5" t="str">
        <f aca="false">IF(A1982="","",IF(COUNTIFS($X$2:$X$2001,X1982,$D$2:$D$2001,"&lt;&gt;"&amp;D1982,$C$2:$C$2001,C1982)&gt;0,"SIM","NAO"))</f>
        <v/>
      </c>
      <c r="Z1982" s="5" t="str">
        <f aca="false">IF(A1982="","",IF(J1982="","",IFERROR(360/J1982,"")))</f>
        <v/>
      </c>
      <c r="AA1982" s="5" t="str">
        <f aca="false">IF(A1982="","",IF(H1982=0,"Parado (sem venda 90d)",IF(Z1982&gt;12,"Alto (&gt;12x/ano)",IF(Z1982&gt;=4,"Medio (4-12x/ano)","Baixo (&lt;4x/ano)"))))</f>
        <v/>
      </c>
    </row>
    <row r="1983" customFormat="false" ht="15" hidden="false" customHeight="true" outlineLevel="0" collapsed="false">
      <c r="A1983" s="6"/>
      <c r="B1983" s="6"/>
      <c r="C1983" s="6"/>
      <c r="D1983" s="6"/>
      <c r="E1983" s="6"/>
      <c r="F1983" s="6"/>
      <c r="G1983" s="6"/>
      <c r="H1983" s="6"/>
      <c r="I1983" s="6"/>
      <c r="J1983" s="6"/>
      <c r="K1983" s="18"/>
      <c r="L1983" s="19" t="str">
        <f aca="false">IF(A1983="","",G1983*K1983)</f>
        <v/>
      </c>
      <c r="M1983" s="20"/>
      <c r="N1983" s="6"/>
      <c r="O1983" s="6"/>
      <c r="P1983" s="5" t="str">
        <f aca="false">IF(A1983="","",H1983/90)</f>
        <v/>
      </c>
      <c r="Q1983" s="5" t="str">
        <f aca="false">IF(A1983="","",IFERROR(INDEX(Parâmetros!$C$6:$C$10,MATCH(F1983,Parâmetros!$B$6:$B$10,0)),""))</f>
        <v/>
      </c>
      <c r="R1983" s="5" t="str">
        <f aca="false">IF(OR(A1983="",P1983="",Q1983=""),"",P1983*Q1983)</f>
        <v/>
      </c>
      <c r="S1983" s="5" t="str">
        <f aca="false">IF(R1983="","",MAX(0,R1983-G1983))</f>
        <v/>
      </c>
      <c r="T1983" s="21" t="str">
        <f aca="false">IF(S1983="","",S1983*K1983)</f>
        <v/>
      </c>
      <c r="U1983" s="5" t="str">
        <f aca="false">IF(A1983="","",IF(J1983&gt;Parâmetros!$C$14,"SIM","NAO"))</f>
        <v/>
      </c>
      <c r="V1983" s="5" t="str">
        <f aca="false">IF(B1983="","",TRIM(LEFT(B1983,IFERROR(FIND(" ",B1983)-1,LEN(B1983)))))</f>
        <v/>
      </c>
      <c r="W1983" s="22"/>
      <c r="X1983" s="5" t="str">
        <f aca="false">IF(A1983="","",IF(W1983&lt;&gt;"",W1983,V1983))</f>
        <v/>
      </c>
      <c r="Y1983" s="5" t="str">
        <f aca="false">IF(A1983="","",IF(COUNTIFS($X$2:$X$2001,X1983,$D$2:$D$2001,"&lt;&gt;"&amp;D1983,$C$2:$C$2001,C1983)&gt;0,"SIM","NAO"))</f>
        <v/>
      </c>
      <c r="Z1983" s="5" t="str">
        <f aca="false">IF(A1983="","",IF(J1983="","",IFERROR(360/J1983,"")))</f>
        <v/>
      </c>
      <c r="AA1983" s="5" t="str">
        <f aca="false">IF(A1983="","",IF(H1983=0,"Parado (sem venda 90d)",IF(Z1983&gt;12,"Alto (&gt;12x/ano)",IF(Z1983&gt;=4,"Medio (4-12x/ano)","Baixo (&lt;4x/ano)"))))</f>
        <v/>
      </c>
    </row>
    <row r="1984" customFormat="false" ht="15" hidden="false" customHeight="true" outlineLevel="0" collapsed="false">
      <c r="A1984" s="6"/>
      <c r="B1984" s="6"/>
      <c r="C1984" s="6"/>
      <c r="D1984" s="6"/>
      <c r="E1984" s="6"/>
      <c r="F1984" s="6"/>
      <c r="G1984" s="6"/>
      <c r="H1984" s="6"/>
      <c r="I1984" s="6"/>
      <c r="J1984" s="6"/>
      <c r="K1984" s="18"/>
      <c r="L1984" s="19" t="str">
        <f aca="false">IF(A1984="","",G1984*K1984)</f>
        <v/>
      </c>
      <c r="M1984" s="20"/>
      <c r="N1984" s="6"/>
      <c r="O1984" s="6"/>
      <c r="P1984" s="5" t="str">
        <f aca="false">IF(A1984="","",H1984/90)</f>
        <v/>
      </c>
      <c r="Q1984" s="5" t="str">
        <f aca="false">IF(A1984="","",IFERROR(INDEX(Parâmetros!$C$6:$C$10,MATCH(F1984,Parâmetros!$B$6:$B$10,0)),""))</f>
        <v/>
      </c>
      <c r="R1984" s="5" t="str">
        <f aca="false">IF(OR(A1984="",P1984="",Q1984=""),"",P1984*Q1984)</f>
        <v/>
      </c>
      <c r="S1984" s="5" t="str">
        <f aca="false">IF(R1984="","",MAX(0,R1984-G1984))</f>
        <v/>
      </c>
      <c r="T1984" s="21" t="str">
        <f aca="false">IF(S1984="","",S1984*K1984)</f>
        <v/>
      </c>
      <c r="U1984" s="5" t="str">
        <f aca="false">IF(A1984="","",IF(J1984&gt;Parâmetros!$C$14,"SIM","NAO"))</f>
        <v/>
      </c>
      <c r="V1984" s="5" t="str">
        <f aca="false">IF(B1984="","",TRIM(LEFT(B1984,IFERROR(FIND(" ",B1984)-1,LEN(B1984)))))</f>
        <v/>
      </c>
      <c r="W1984" s="22"/>
      <c r="X1984" s="5" t="str">
        <f aca="false">IF(A1984="","",IF(W1984&lt;&gt;"",W1984,V1984))</f>
        <v/>
      </c>
      <c r="Y1984" s="5" t="str">
        <f aca="false">IF(A1984="","",IF(COUNTIFS($X$2:$X$2001,X1984,$D$2:$D$2001,"&lt;&gt;"&amp;D1984,$C$2:$C$2001,C1984)&gt;0,"SIM","NAO"))</f>
        <v/>
      </c>
      <c r="Z1984" s="5" t="str">
        <f aca="false">IF(A1984="","",IF(J1984="","",IFERROR(360/J1984,"")))</f>
        <v/>
      </c>
      <c r="AA1984" s="5" t="str">
        <f aca="false">IF(A1984="","",IF(H1984=0,"Parado (sem venda 90d)",IF(Z1984&gt;12,"Alto (&gt;12x/ano)",IF(Z1984&gt;=4,"Medio (4-12x/ano)","Baixo (&lt;4x/ano)"))))</f>
        <v/>
      </c>
    </row>
    <row r="1985" customFormat="false" ht="15" hidden="false" customHeight="true" outlineLevel="0" collapsed="false">
      <c r="A1985" s="6"/>
      <c r="B1985" s="6"/>
      <c r="C1985" s="6"/>
      <c r="D1985" s="6"/>
      <c r="E1985" s="6"/>
      <c r="F1985" s="6"/>
      <c r="G1985" s="6"/>
      <c r="H1985" s="6"/>
      <c r="I1985" s="6"/>
      <c r="J1985" s="6"/>
      <c r="K1985" s="18"/>
      <c r="L1985" s="19" t="str">
        <f aca="false">IF(A1985="","",G1985*K1985)</f>
        <v/>
      </c>
      <c r="M1985" s="20"/>
      <c r="N1985" s="6"/>
      <c r="O1985" s="6"/>
      <c r="P1985" s="5" t="str">
        <f aca="false">IF(A1985="","",H1985/90)</f>
        <v/>
      </c>
      <c r="Q1985" s="5" t="str">
        <f aca="false">IF(A1985="","",IFERROR(INDEX(Parâmetros!$C$6:$C$10,MATCH(F1985,Parâmetros!$B$6:$B$10,0)),""))</f>
        <v/>
      </c>
      <c r="R1985" s="5" t="str">
        <f aca="false">IF(OR(A1985="",P1985="",Q1985=""),"",P1985*Q1985)</f>
        <v/>
      </c>
      <c r="S1985" s="5" t="str">
        <f aca="false">IF(R1985="","",MAX(0,R1985-G1985))</f>
        <v/>
      </c>
      <c r="T1985" s="21" t="str">
        <f aca="false">IF(S1985="","",S1985*K1985)</f>
        <v/>
      </c>
      <c r="U1985" s="5" t="str">
        <f aca="false">IF(A1985="","",IF(J1985&gt;Parâmetros!$C$14,"SIM","NAO"))</f>
        <v/>
      </c>
      <c r="V1985" s="5" t="str">
        <f aca="false">IF(B1985="","",TRIM(LEFT(B1985,IFERROR(FIND(" ",B1985)-1,LEN(B1985)))))</f>
        <v/>
      </c>
      <c r="W1985" s="22"/>
      <c r="X1985" s="5" t="str">
        <f aca="false">IF(A1985="","",IF(W1985&lt;&gt;"",W1985,V1985))</f>
        <v/>
      </c>
      <c r="Y1985" s="5" t="str">
        <f aca="false">IF(A1985="","",IF(COUNTIFS($X$2:$X$2001,X1985,$D$2:$D$2001,"&lt;&gt;"&amp;D1985,$C$2:$C$2001,C1985)&gt;0,"SIM","NAO"))</f>
        <v/>
      </c>
      <c r="Z1985" s="5" t="str">
        <f aca="false">IF(A1985="","",IF(J1985="","",IFERROR(360/J1985,"")))</f>
        <v/>
      </c>
      <c r="AA1985" s="5" t="str">
        <f aca="false">IF(A1985="","",IF(H1985=0,"Parado (sem venda 90d)",IF(Z1985&gt;12,"Alto (&gt;12x/ano)",IF(Z1985&gt;=4,"Medio (4-12x/ano)","Baixo (&lt;4x/ano)"))))</f>
        <v/>
      </c>
    </row>
    <row r="1986" customFormat="false" ht="15" hidden="false" customHeight="true" outlineLevel="0" collapsed="false">
      <c r="A1986" s="6"/>
      <c r="B1986" s="6"/>
      <c r="C1986" s="6"/>
      <c r="D1986" s="6"/>
      <c r="E1986" s="6"/>
      <c r="F1986" s="6"/>
      <c r="G1986" s="6"/>
      <c r="H1986" s="6"/>
      <c r="I1986" s="6"/>
      <c r="J1986" s="6"/>
      <c r="K1986" s="18"/>
      <c r="L1986" s="19" t="str">
        <f aca="false">IF(A1986="","",G1986*K1986)</f>
        <v/>
      </c>
      <c r="M1986" s="20"/>
      <c r="N1986" s="6"/>
      <c r="O1986" s="6"/>
      <c r="P1986" s="5" t="str">
        <f aca="false">IF(A1986="","",H1986/90)</f>
        <v/>
      </c>
      <c r="Q1986" s="5" t="str">
        <f aca="false">IF(A1986="","",IFERROR(INDEX(Parâmetros!$C$6:$C$10,MATCH(F1986,Parâmetros!$B$6:$B$10,0)),""))</f>
        <v/>
      </c>
      <c r="R1986" s="5" t="str">
        <f aca="false">IF(OR(A1986="",P1986="",Q1986=""),"",P1986*Q1986)</f>
        <v/>
      </c>
      <c r="S1986" s="5" t="str">
        <f aca="false">IF(R1986="","",MAX(0,R1986-G1986))</f>
        <v/>
      </c>
      <c r="T1986" s="21" t="str">
        <f aca="false">IF(S1986="","",S1986*K1986)</f>
        <v/>
      </c>
      <c r="U1986" s="5" t="str">
        <f aca="false">IF(A1986="","",IF(J1986&gt;Parâmetros!$C$14,"SIM","NAO"))</f>
        <v/>
      </c>
      <c r="V1986" s="5" t="str">
        <f aca="false">IF(B1986="","",TRIM(LEFT(B1986,IFERROR(FIND(" ",B1986)-1,LEN(B1986)))))</f>
        <v/>
      </c>
      <c r="W1986" s="22"/>
      <c r="X1986" s="5" t="str">
        <f aca="false">IF(A1986="","",IF(W1986&lt;&gt;"",W1986,V1986))</f>
        <v/>
      </c>
      <c r="Y1986" s="5" t="str">
        <f aca="false">IF(A1986="","",IF(COUNTIFS($X$2:$X$2001,X1986,$D$2:$D$2001,"&lt;&gt;"&amp;D1986,$C$2:$C$2001,C1986)&gt;0,"SIM","NAO"))</f>
        <v/>
      </c>
      <c r="Z1986" s="5" t="str">
        <f aca="false">IF(A1986="","",IF(J1986="","",IFERROR(360/J1986,"")))</f>
        <v/>
      </c>
      <c r="AA1986" s="5" t="str">
        <f aca="false">IF(A1986="","",IF(H1986=0,"Parado (sem venda 90d)",IF(Z1986&gt;12,"Alto (&gt;12x/ano)",IF(Z1986&gt;=4,"Medio (4-12x/ano)","Baixo (&lt;4x/ano)"))))</f>
        <v/>
      </c>
    </row>
    <row r="1987" customFormat="false" ht="15" hidden="false" customHeight="true" outlineLevel="0" collapsed="false">
      <c r="A1987" s="6"/>
      <c r="B1987" s="6"/>
      <c r="C1987" s="6"/>
      <c r="D1987" s="6"/>
      <c r="E1987" s="6"/>
      <c r="F1987" s="6"/>
      <c r="G1987" s="6"/>
      <c r="H1987" s="6"/>
      <c r="I1987" s="6"/>
      <c r="J1987" s="6"/>
      <c r="K1987" s="18"/>
      <c r="L1987" s="19" t="str">
        <f aca="false">IF(A1987="","",G1987*K1987)</f>
        <v/>
      </c>
      <c r="M1987" s="20"/>
      <c r="N1987" s="6"/>
      <c r="O1987" s="6"/>
      <c r="P1987" s="5" t="str">
        <f aca="false">IF(A1987="","",H1987/90)</f>
        <v/>
      </c>
      <c r="Q1987" s="5" t="str">
        <f aca="false">IF(A1987="","",IFERROR(INDEX(Parâmetros!$C$6:$C$10,MATCH(F1987,Parâmetros!$B$6:$B$10,0)),""))</f>
        <v/>
      </c>
      <c r="R1987" s="5" t="str">
        <f aca="false">IF(OR(A1987="",P1987="",Q1987=""),"",P1987*Q1987)</f>
        <v/>
      </c>
      <c r="S1987" s="5" t="str">
        <f aca="false">IF(R1987="","",MAX(0,R1987-G1987))</f>
        <v/>
      </c>
      <c r="T1987" s="21" t="str">
        <f aca="false">IF(S1987="","",S1987*K1987)</f>
        <v/>
      </c>
      <c r="U1987" s="5" t="str">
        <f aca="false">IF(A1987="","",IF(J1987&gt;Parâmetros!$C$14,"SIM","NAO"))</f>
        <v/>
      </c>
      <c r="V1987" s="5" t="str">
        <f aca="false">IF(B1987="","",TRIM(LEFT(B1987,IFERROR(FIND(" ",B1987)-1,LEN(B1987)))))</f>
        <v/>
      </c>
      <c r="W1987" s="22"/>
      <c r="X1987" s="5" t="str">
        <f aca="false">IF(A1987="","",IF(W1987&lt;&gt;"",W1987,V1987))</f>
        <v/>
      </c>
      <c r="Y1987" s="5" t="str">
        <f aca="false">IF(A1987="","",IF(COUNTIFS($X$2:$X$2001,X1987,$D$2:$D$2001,"&lt;&gt;"&amp;D1987,$C$2:$C$2001,C1987)&gt;0,"SIM","NAO"))</f>
        <v/>
      </c>
      <c r="Z1987" s="5" t="str">
        <f aca="false">IF(A1987="","",IF(J1987="","",IFERROR(360/J1987,"")))</f>
        <v/>
      </c>
      <c r="AA1987" s="5" t="str">
        <f aca="false">IF(A1987="","",IF(H1987=0,"Parado (sem venda 90d)",IF(Z1987&gt;12,"Alto (&gt;12x/ano)",IF(Z1987&gt;=4,"Medio (4-12x/ano)","Baixo (&lt;4x/ano)"))))</f>
        <v/>
      </c>
    </row>
    <row r="1988" customFormat="false" ht="15" hidden="false" customHeight="true" outlineLevel="0" collapsed="false">
      <c r="A1988" s="6"/>
      <c r="B1988" s="6"/>
      <c r="C1988" s="6"/>
      <c r="D1988" s="6"/>
      <c r="E1988" s="6"/>
      <c r="F1988" s="6"/>
      <c r="G1988" s="6"/>
      <c r="H1988" s="6"/>
      <c r="I1988" s="6"/>
      <c r="J1988" s="6"/>
      <c r="K1988" s="18"/>
      <c r="L1988" s="19" t="str">
        <f aca="false">IF(A1988="","",G1988*K1988)</f>
        <v/>
      </c>
      <c r="M1988" s="20"/>
      <c r="N1988" s="6"/>
      <c r="O1988" s="6"/>
      <c r="P1988" s="5" t="str">
        <f aca="false">IF(A1988="","",H1988/90)</f>
        <v/>
      </c>
      <c r="Q1988" s="5" t="str">
        <f aca="false">IF(A1988="","",IFERROR(INDEX(Parâmetros!$C$6:$C$10,MATCH(F1988,Parâmetros!$B$6:$B$10,0)),""))</f>
        <v/>
      </c>
      <c r="R1988" s="5" t="str">
        <f aca="false">IF(OR(A1988="",P1988="",Q1988=""),"",P1988*Q1988)</f>
        <v/>
      </c>
      <c r="S1988" s="5" t="str">
        <f aca="false">IF(R1988="","",MAX(0,R1988-G1988))</f>
        <v/>
      </c>
      <c r="T1988" s="21" t="str">
        <f aca="false">IF(S1988="","",S1988*K1988)</f>
        <v/>
      </c>
      <c r="U1988" s="5" t="str">
        <f aca="false">IF(A1988="","",IF(J1988&gt;Parâmetros!$C$14,"SIM","NAO"))</f>
        <v/>
      </c>
      <c r="V1988" s="5" t="str">
        <f aca="false">IF(B1988="","",TRIM(LEFT(B1988,IFERROR(FIND(" ",B1988)-1,LEN(B1988)))))</f>
        <v/>
      </c>
      <c r="W1988" s="22"/>
      <c r="X1988" s="5" t="str">
        <f aca="false">IF(A1988="","",IF(W1988&lt;&gt;"",W1988,V1988))</f>
        <v/>
      </c>
      <c r="Y1988" s="5" t="str">
        <f aca="false">IF(A1988="","",IF(COUNTIFS($X$2:$X$2001,X1988,$D$2:$D$2001,"&lt;&gt;"&amp;D1988,$C$2:$C$2001,C1988)&gt;0,"SIM","NAO"))</f>
        <v/>
      </c>
      <c r="Z1988" s="5" t="str">
        <f aca="false">IF(A1988="","",IF(J1988="","",IFERROR(360/J1988,"")))</f>
        <v/>
      </c>
      <c r="AA1988" s="5" t="str">
        <f aca="false">IF(A1988="","",IF(H1988=0,"Parado (sem venda 90d)",IF(Z1988&gt;12,"Alto (&gt;12x/ano)",IF(Z1988&gt;=4,"Medio (4-12x/ano)","Baixo (&lt;4x/ano)"))))</f>
        <v/>
      </c>
    </row>
    <row r="1989" customFormat="false" ht="15" hidden="false" customHeight="true" outlineLevel="0" collapsed="false">
      <c r="A1989" s="6"/>
      <c r="B1989" s="6"/>
      <c r="C1989" s="6"/>
      <c r="D1989" s="6"/>
      <c r="E1989" s="6"/>
      <c r="F1989" s="6"/>
      <c r="G1989" s="6"/>
      <c r="H1989" s="6"/>
      <c r="I1989" s="6"/>
      <c r="J1989" s="6"/>
      <c r="K1989" s="18"/>
      <c r="L1989" s="19" t="str">
        <f aca="false">IF(A1989="","",G1989*K1989)</f>
        <v/>
      </c>
      <c r="M1989" s="20"/>
      <c r="N1989" s="6"/>
      <c r="O1989" s="6"/>
      <c r="P1989" s="5" t="str">
        <f aca="false">IF(A1989="","",H1989/90)</f>
        <v/>
      </c>
      <c r="Q1989" s="5" t="str">
        <f aca="false">IF(A1989="","",IFERROR(INDEX(Parâmetros!$C$6:$C$10,MATCH(F1989,Parâmetros!$B$6:$B$10,0)),""))</f>
        <v/>
      </c>
      <c r="R1989" s="5" t="str">
        <f aca="false">IF(OR(A1989="",P1989="",Q1989=""),"",P1989*Q1989)</f>
        <v/>
      </c>
      <c r="S1989" s="5" t="str">
        <f aca="false">IF(R1989="","",MAX(0,R1989-G1989))</f>
        <v/>
      </c>
      <c r="T1989" s="21" t="str">
        <f aca="false">IF(S1989="","",S1989*K1989)</f>
        <v/>
      </c>
      <c r="U1989" s="5" t="str">
        <f aca="false">IF(A1989="","",IF(J1989&gt;Parâmetros!$C$14,"SIM","NAO"))</f>
        <v/>
      </c>
      <c r="V1989" s="5" t="str">
        <f aca="false">IF(B1989="","",TRIM(LEFT(B1989,IFERROR(FIND(" ",B1989)-1,LEN(B1989)))))</f>
        <v/>
      </c>
      <c r="W1989" s="22"/>
      <c r="X1989" s="5" t="str">
        <f aca="false">IF(A1989="","",IF(W1989&lt;&gt;"",W1989,V1989))</f>
        <v/>
      </c>
      <c r="Y1989" s="5" t="str">
        <f aca="false">IF(A1989="","",IF(COUNTIFS($X$2:$X$2001,X1989,$D$2:$D$2001,"&lt;&gt;"&amp;D1989,$C$2:$C$2001,C1989)&gt;0,"SIM","NAO"))</f>
        <v/>
      </c>
      <c r="Z1989" s="5" t="str">
        <f aca="false">IF(A1989="","",IF(J1989="","",IFERROR(360/J1989,"")))</f>
        <v/>
      </c>
      <c r="AA1989" s="5" t="str">
        <f aca="false">IF(A1989="","",IF(H1989=0,"Parado (sem venda 90d)",IF(Z1989&gt;12,"Alto (&gt;12x/ano)",IF(Z1989&gt;=4,"Medio (4-12x/ano)","Baixo (&lt;4x/ano)"))))</f>
        <v/>
      </c>
    </row>
    <row r="1990" customFormat="false" ht="15" hidden="false" customHeight="true" outlineLevel="0" collapsed="false">
      <c r="A1990" s="6"/>
      <c r="B1990" s="6"/>
      <c r="C1990" s="6"/>
      <c r="D1990" s="6"/>
      <c r="E1990" s="6"/>
      <c r="F1990" s="6"/>
      <c r="G1990" s="6"/>
      <c r="H1990" s="6"/>
      <c r="I1990" s="6"/>
      <c r="J1990" s="6"/>
      <c r="K1990" s="18"/>
      <c r="L1990" s="19" t="str">
        <f aca="false">IF(A1990="","",G1990*K1990)</f>
        <v/>
      </c>
      <c r="M1990" s="20"/>
      <c r="N1990" s="6"/>
      <c r="O1990" s="6"/>
      <c r="P1990" s="5" t="str">
        <f aca="false">IF(A1990="","",H1990/90)</f>
        <v/>
      </c>
      <c r="Q1990" s="5" t="str">
        <f aca="false">IF(A1990="","",IFERROR(INDEX(Parâmetros!$C$6:$C$10,MATCH(F1990,Parâmetros!$B$6:$B$10,0)),""))</f>
        <v/>
      </c>
      <c r="R1990" s="5" t="str">
        <f aca="false">IF(OR(A1990="",P1990="",Q1990=""),"",P1990*Q1990)</f>
        <v/>
      </c>
      <c r="S1990" s="5" t="str">
        <f aca="false">IF(R1990="","",MAX(0,R1990-G1990))</f>
        <v/>
      </c>
      <c r="T1990" s="21" t="str">
        <f aca="false">IF(S1990="","",S1990*K1990)</f>
        <v/>
      </c>
      <c r="U1990" s="5" t="str">
        <f aca="false">IF(A1990="","",IF(J1990&gt;Parâmetros!$C$14,"SIM","NAO"))</f>
        <v/>
      </c>
      <c r="V1990" s="5" t="str">
        <f aca="false">IF(B1990="","",TRIM(LEFT(B1990,IFERROR(FIND(" ",B1990)-1,LEN(B1990)))))</f>
        <v/>
      </c>
      <c r="W1990" s="22"/>
      <c r="X1990" s="5" t="str">
        <f aca="false">IF(A1990="","",IF(W1990&lt;&gt;"",W1990,V1990))</f>
        <v/>
      </c>
      <c r="Y1990" s="5" t="str">
        <f aca="false">IF(A1990="","",IF(COUNTIFS($X$2:$X$2001,X1990,$D$2:$D$2001,"&lt;&gt;"&amp;D1990,$C$2:$C$2001,C1990)&gt;0,"SIM","NAO"))</f>
        <v/>
      </c>
      <c r="Z1990" s="5" t="str">
        <f aca="false">IF(A1990="","",IF(J1990="","",IFERROR(360/J1990,"")))</f>
        <v/>
      </c>
      <c r="AA1990" s="5" t="str">
        <f aca="false">IF(A1990="","",IF(H1990=0,"Parado (sem venda 90d)",IF(Z1990&gt;12,"Alto (&gt;12x/ano)",IF(Z1990&gt;=4,"Medio (4-12x/ano)","Baixo (&lt;4x/ano)"))))</f>
        <v/>
      </c>
    </row>
    <row r="1991" customFormat="false" ht="15" hidden="false" customHeight="true" outlineLevel="0" collapsed="false">
      <c r="A1991" s="6"/>
      <c r="B1991" s="6"/>
      <c r="C1991" s="6"/>
      <c r="D1991" s="6"/>
      <c r="E1991" s="6"/>
      <c r="F1991" s="6"/>
      <c r="G1991" s="6"/>
      <c r="H1991" s="6"/>
      <c r="I1991" s="6"/>
      <c r="J1991" s="6"/>
      <c r="K1991" s="18"/>
      <c r="L1991" s="19" t="str">
        <f aca="false">IF(A1991="","",G1991*K1991)</f>
        <v/>
      </c>
      <c r="M1991" s="20"/>
      <c r="N1991" s="6"/>
      <c r="O1991" s="6"/>
      <c r="P1991" s="5" t="str">
        <f aca="false">IF(A1991="","",H1991/90)</f>
        <v/>
      </c>
      <c r="Q1991" s="5" t="str">
        <f aca="false">IF(A1991="","",IFERROR(INDEX(Parâmetros!$C$6:$C$10,MATCH(F1991,Parâmetros!$B$6:$B$10,0)),""))</f>
        <v/>
      </c>
      <c r="R1991" s="5" t="str">
        <f aca="false">IF(OR(A1991="",P1991="",Q1991=""),"",P1991*Q1991)</f>
        <v/>
      </c>
      <c r="S1991" s="5" t="str">
        <f aca="false">IF(R1991="","",MAX(0,R1991-G1991))</f>
        <v/>
      </c>
      <c r="T1991" s="21" t="str">
        <f aca="false">IF(S1991="","",S1991*K1991)</f>
        <v/>
      </c>
      <c r="U1991" s="5" t="str">
        <f aca="false">IF(A1991="","",IF(J1991&gt;Parâmetros!$C$14,"SIM","NAO"))</f>
        <v/>
      </c>
      <c r="V1991" s="5" t="str">
        <f aca="false">IF(B1991="","",TRIM(LEFT(B1991,IFERROR(FIND(" ",B1991)-1,LEN(B1991)))))</f>
        <v/>
      </c>
      <c r="W1991" s="22"/>
      <c r="X1991" s="5" t="str">
        <f aca="false">IF(A1991="","",IF(W1991&lt;&gt;"",W1991,V1991))</f>
        <v/>
      </c>
      <c r="Y1991" s="5" t="str">
        <f aca="false">IF(A1991="","",IF(COUNTIFS($X$2:$X$2001,X1991,$D$2:$D$2001,"&lt;&gt;"&amp;D1991,$C$2:$C$2001,C1991)&gt;0,"SIM","NAO"))</f>
        <v/>
      </c>
      <c r="Z1991" s="5" t="str">
        <f aca="false">IF(A1991="","",IF(J1991="","",IFERROR(360/J1991,"")))</f>
        <v/>
      </c>
      <c r="AA1991" s="5" t="str">
        <f aca="false">IF(A1991="","",IF(H1991=0,"Parado (sem venda 90d)",IF(Z1991&gt;12,"Alto (&gt;12x/ano)",IF(Z1991&gt;=4,"Medio (4-12x/ano)","Baixo (&lt;4x/ano)"))))</f>
        <v/>
      </c>
    </row>
    <row r="1992" customFormat="false" ht="15" hidden="false" customHeight="true" outlineLevel="0" collapsed="false">
      <c r="A1992" s="6"/>
      <c r="B1992" s="6"/>
      <c r="C1992" s="6"/>
      <c r="D1992" s="6"/>
      <c r="E1992" s="6"/>
      <c r="F1992" s="6"/>
      <c r="G1992" s="6"/>
      <c r="H1992" s="6"/>
      <c r="I1992" s="6"/>
      <c r="J1992" s="6"/>
      <c r="K1992" s="18"/>
      <c r="L1992" s="19" t="str">
        <f aca="false">IF(A1992="","",G1992*K1992)</f>
        <v/>
      </c>
      <c r="M1992" s="20"/>
      <c r="N1992" s="6"/>
      <c r="O1992" s="6"/>
      <c r="P1992" s="5" t="str">
        <f aca="false">IF(A1992="","",H1992/90)</f>
        <v/>
      </c>
      <c r="Q1992" s="5" t="str">
        <f aca="false">IF(A1992="","",IFERROR(INDEX(Parâmetros!$C$6:$C$10,MATCH(F1992,Parâmetros!$B$6:$B$10,0)),""))</f>
        <v/>
      </c>
      <c r="R1992" s="5" t="str">
        <f aca="false">IF(OR(A1992="",P1992="",Q1992=""),"",P1992*Q1992)</f>
        <v/>
      </c>
      <c r="S1992" s="5" t="str">
        <f aca="false">IF(R1992="","",MAX(0,R1992-G1992))</f>
        <v/>
      </c>
      <c r="T1992" s="21" t="str">
        <f aca="false">IF(S1992="","",S1992*K1992)</f>
        <v/>
      </c>
      <c r="U1992" s="5" t="str">
        <f aca="false">IF(A1992="","",IF(J1992&gt;Parâmetros!$C$14,"SIM","NAO"))</f>
        <v/>
      </c>
      <c r="V1992" s="5" t="str">
        <f aca="false">IF(B1992="","",TRIM(LEFT(B1992,IFERROR(FIND(" ",B1992)-1,LEN(B1992)))))</f>
        <v/>
      </c>
      <c r="W1992" s="22"/>
      <c r="X1992" s="5" t="str">
        <f aca="false">IF(A1992="","",IF(W1992&lt;&gt;"",W1992,V1992))</f>
        <v/>
      </c>
      <c r="Y1992" s="5" t="str">
        <f aca="false">IF(A1992="","",IF(COUNTIFS($X$2:$X$2001,X1992,$D$2:$D$2001,"&lt;&gt;"&amp;D1992,$C$2:$C$2001,C1992)&gt;0,"SIM","NAO"))</f>
        <v/>
      </c>
      <c r="Z1992" s="5" t="str">
        <f aca="false">IF(A1992="","",IF(J1992="","",IFERROR(360/J1992,"")))</f>
        <v/>
      </c>
      <c r="AA1992" s="5" t="str">
        <f aca="false">IF(A1992="","",IF(H1992=0,"Parado (sem venda 90d)",IF(Z1992&gt;12,"Alto (&gt;12x/ano)",IF(Z1992&gt;=4,"Medio (4-12x/ano)","Baixo (&lt;4x/ano)"))))</f>
        <v/>
      </c>
    </row>
    <row r="1993" customFormat="false" ht="15" hidden="false" customHeight="true" outlineLevel="0" collapsed="false">
      <c r="A1993" s="6"/>
      <c r="B1993" s="6"/>
      <c r="C1993" s="6"/>
      <c r="D1993" s="6"/>
      <c r="E1993" s="6"/>
      <c r="F1993" s="6"/>
      <c r="G1993" s="6"/>
      <c r="H1993" s="6"/>
      <c r="I1993" s="6"/>
      <c r="J1993" s="6"/>
      <c r="K1993" s="18"/>
      <c r="L1993" s="19" t="str">
        <f aca="false">IF(A1993="","",G1993*K1993)</f>
        <v/>
      </c>
      <c r="M1993" s="20"/>
      <c r="N1993" s="6"/>
      <c r="O1993" s="6"/>
      <c r="P1993" s="5" t="str">
        <f aca="false">IF(A1993="","",H1993/90)</f>
        <v/>
      </c>
      <c r="Q1993" s="5" t="str">
        <f aca="false">IF(A1993="","",IFERROR(INDEX(Parâmetros!$C$6:$C$10,MATCH(F1993,Parâmetros!$B$6:$B$10,0)),""))</f>
        <v/>
      </c>
      <c r="R1993" s="5" t="str">
        <f aca="false">IF(OR(A1993="",P1993="",Q1993=""),"",P1993*Q1993)</f>
        <v/>
      </c>
      <c r="S1993" s="5" t="str">
        <f aca="false">IF(R1993="","",MAX(0,R1993-G1993))</f>
        <v/>
      </c>
      <c r="T1993" s="21" t="str">
        <f aca="false">IF(S1993="","",S1993*K1993)</f>
        <v/>
      </c>
      <c r="U1993" s="5" t="str">
        <f aca="false">IF(A1993="","",IF(J1993&gt;Parâmetros!$C$14,"SIM","NAO"))</f>
        <v/>
      </c>
      <c r="V1993" s="5" t="str">
        <f aca="false">IF(B1993="","",TRIM(LEFT(B1993,IFERROR(FIND(" ",B1993)-1,LEN(B1993)))))</f>
        <v/>
      </c>
      <c r="W1993" s="22"/>
      <c r="X1993" s="5" t="str">
        <f aca="false">IF(A1993="","",IF(W1993&lt;&gt;"",W1993,V1993))</f>
        <v/>
      </c>
      <c r="Y1993" s="5" t="str">
        <f aca="false">IF(A1993="","",IF(COUNTIFS($X$2:$X$2001,X1993,$D$2:$D$2001,"&lt;&gt;"&amp;D1993,$C$2:$C$2001,C1993)&gt;0,"SIM","NAO"))</f>
        <v/>
      </c>
      <c r="Z1993" s="5" t="str">
        <f aca="false">IF(A1993="","",IF(J1993="","",IFERROR(360/J1993,"")))</f>
        <v/>
      </c>
      <c r="AA1993" s="5" t="str">
        <f aca="false">IF(A1993="","",IF(H1993=0,"Parado (sem venda 90d)",IF(Z1993&gt;12,"Alto (&gt;12x/ano)",IF(Z1993&gt;=4,"Medio (4-12x/ano)","Baixo (&lt;4x/ano)"))))</f>
        <v/>
      </c>
    </row>
    <row r="1994" customFormat="false" ht="15" hidden="false" customHeight="true" outlineLevel="0" collapsed="false">
      <c r="A1994" s="6"/>
      <c r="B1994" s="6"/>
      <c r="C1994" s="6"/>
      <c r="D1994" s="6"/>
      <c r="E1994" s="6"/>
      <c r="F1994" s="6"/>
      <c r="G1994" s="6"/>
      <c r="H1994" s="6"/>
      <c r="I1994" s="6"/>
      <c r="J1994" s="6"/>
      <c r="K1994" s="18"/>
      <c r="L1994" s="19" t="str">
        <f aca="false">IF(A1994="","",G1994*K1994)</f>
        <v/>
      </c>
      <c r="M1994" s="20"/>
      <c r="N1994" s="6"/>
      <c r="O1994" s="6"/>
      <c r="P1994" s="5" t="str">
        <f aca="false">IF(A1994="","",H1994/90)</f>
        <v/>
      </c>
      <c r="Q1994" s="5" t="str">
        <f aca="false">IF(A1994="","",IFERROR(INDEX(Parâmetros!$C$6:$C$10,MATCH(F1994,Parâmetros!$B$6:$B$10,0)),""))</f>
        <v/>
      </c>
      <c r="R1994" s="5" t="str">
        <f aca="false">IF(OR(A1994="",P1994="",Q1994=""),"",P1994*Q1994)</f>
        <v/>
      </c>
      <c r="S1994" s="5" t="str">
        <f aca="false">IF(R1994="","",MAX(0,R1994-G1994))</f>
        <v/>
      </c>
      <c r="T1994" s="21" t="str">
        <f aca="false">IF(S1994="","",S1994*K1994)</f>
        <v/>
      </c>
      <c r="U1994" s="5" t="str">
        <f aca="false">IF(A1994="","",IF(J1994&gt;Parâmetros!$C$14,"SIM","NAO"))</f>
        <v/>
      </c>
      <c r="V1994" s="5" t="str">
        <f aca="false">IF(B1994="","",TRIM(LEFT(B1994,IFERROR(FIND(" ",B1994)-1,LEN(B1994)))))</f>
        <v/>
      </c>
      <c r="W1994" s="22"/>
      <c r="X1994" s="5" t="str">
        <f aca="false">IF(A1994="","",IF(W1994&lt;&gt;"",W1994,V1994))</f>
        <v/>
      </c>
      <c r="Y1994" s="5" t="str">
        <f aca="false">IF(A1994="","",IF(COUNTIFS($X$2:$X$2001,X1994,$D$2:$D$2001,"&lt;&gt;"&amp;D1994,$C$2:$C$2001,C1994)&gt;0,"SIM","NAO"))</f>
        <v/>
      </c>
      <c r="Z1994" s="5" t="str">
        <f aca="false">IF(A1994="","",IF(J1994="","",IFERROR(360/J1994,"")))</f>
        <v/>
      </c>
      <c r="AA1994" s="5" t="str">
        <f aca="false">IF(A1994="","",IF(H1994=0,"Parado (sem venda 90d)",IF(Z1994&gt;12,"Alto (&gt;12x/ano)",IF(Z1994&gt;=4,"Medio (4-12x/ano)","Baixo (&lt;4x/ano)"))))</f>
        <v/>
      </c>
    </row>
    <row r="1995" customFormat="false" ht="15" hidden="false" customHeight="true" outlineLevel="0" collapsed="false">
      <c r="A1995" s="6"/>
      <c r="B1995" s="6"/>
      <c r="C1995" s="6"/>
      <c r="D1995" s="6"/>
      <c r="E1995" s="6"/>
      <c r="F1995" s="6"/>
      <c r="G1995" s="6"/>
      <c r="H1995" s="6"/>
      <c r="I1995" s="6"/>
      <c r="J1995" s="6"/>
      <c r="K1995" s="18"/>
      <c r="L1995" s="19" t="str">
        <f aca="false">IF(A1995="","",G1995*K1995)</f>
        <v/>
      </c>
      <c r="M1995" s="20"/>
      <c r="N1995" s="6"/>
      <c r="O1995" s="6"/>
      <c r="P1995" s="5" t="str">
        <f aca="false">IF(A1995="","",H1995/90)</f>
        <v/>
      </c>
      <c r="Q1995" s="5" t="str">
        <f aca="false">IF(A1995="","",IFERROR(INDEX(Parâmetros!$C$6:$C$10,MATCH(F1995,Parâmetros!$B$6:$B$10,0)),""))</f>
        <v/>
      </c>
      <c r="R1995" s="5" t="str">
        <f aca="false">IF(OR(A1995="",P1995="",Q1995=""),"",P1995*Q1995)</f>
        <v/>
      </c>
      <c r="S1995" s="5" t="str">
        <f aca="false">IF(R1995="","",MAX(0,R1995-G1995))</f>
        <v/>
      </c>
      <c r="T1995" s="21" t="str">
        <f aca="false">IF(S1995="","",S1995*K1995)</f>
        <v/>
      </c>
      <c r="U1995" s="5" t="str">
        <f aca="false">IF(A1995="","",IF(J1995&gt;Parâmetros!$C$14,"SIM","NAO"))</f>
        <v/>
      </c>
      <c r="V1995" s="5" t="str">
        <f aca="false">IF(B1995="","",TRIM(LEFT(B1995,IFERROR(FIND(" ",B1995)-1,LEN(B1995)))))</f>
        <v/>
      </c>
      <c r="W1995" s="22"/>
      <c r="X1995" s="5" t="str">
        <f aca="false">IF(A1995="","",IF(W1995&lt;&gt;"",W1995,V1995))</f>
        <v/>
      </c>
      <c r="Y1995" s="5" t="str">
        <f aca="false">IF(A1995="","",IF(COUNTIFS($X$2:$X$2001,X1995,$D$2:$D$2001,"&lt;&gt;"&amp;D1995,$C$2:$C$2001,C1995)&gt;0,"SIM","NAO"))</f>
        <v/>
      </c>
      <c r="Z1995" s="5" t="str">
        <f aca="false">IF(A1995="","",IF(J1995="","",IFERROR(360/J1995,"")))</f>
        <v/>
      </c>
      <c r="AA1995" s="5" t="str">
        <f aca="false">IF(A1995="","",IF(H1995=0,"Parado (sem venda 90d)",IF(Z1995&gt;12,"Alto (&gt;12x/ano)",IF(Z1995&gt;=4,"Medio (4-12x/ano)","Baixo (&lt;4x/ano)"))))</f>
        <v/>
      </c>
    </row>
    <row r="1996" customFormat="false" ht="15" hidden="false" customHeight="true" outlineLevel="0" collapsed="false">
      <c r="A1996" s="6"/>
      <c r="B1996" s="6"/>
      <c r="C1996" s="6"/>
      <c r="D1996" s="6"/>
      <c r="E1996" s="6"/>
      <c r="F1996" s="6"/>
      <c r="G1996" s="6"/>
      <c r="H1996" s="6"/>
      <c r="I1996" s="6"/>
      <c r="J1996" s="6"/>
      <c r="K1996" s="18"/>
      <c r="L1996" s="19" t="str">
        <f aca="false">IF(A1996="","",G1996*K1996)</f>
        <v/>
      </c>
      <c r="M1996" s="20"/>
      <c r="N1996" s="6"/>
      <c r="O1996" s="6"/>
      <c r="P1996" s="5" t="str">
        <f aca="false">IF(A1996="","",H1996/90)</f>
        <v/>
      </c>
      <c r="Q1996" s="5" t="str">
        <f aca="false">IF(A1996="","",IFERROR(INDEX(Parâmetros!$C$6:$C$10,MATCH(F1996,Parâmetros!$B$6:$B$10,0)),""))</f>
        <v/>
      </c>
      <c r="R1996" s="5" t="str">
        <f aca="false">IF(OR(A1996="",P1996="",Q1996=""),"",P1996*Q1996)</f>
        <v/>
      </c>
      <c r="S1996" s="5" t="str">
        <f aca="false">IF(R1996="","",MAX(0,R1996-G1996))</f>
        <v/>
      </c>
      <c r="T1996" s="21" t="str">
        <f aca="false">IF(S1996="","",S1996*K1996)</f>
        <v/>
      </c>
      <c r="U1996" s="5" t="str">
        <f aca="false">IF(A1996="","",IF(J1996&gt;Parâmetros!$C$14,"SIM","NAO"))</f>
        <v/>
      </c>
      <c r="V1996" s="5" t="str">
        <f aca="false">IF(B1996="","",TRIM(LEFT(B1996,IFERROR(FIND(" ",B1996)-1,LEN(B1996)))))</f>
        <v/>
      </c>
      <c r="W1996" s="22"/>
      <c r="X1996" s="5" t="str">
        <f aca="false">IF(A1996="","",IF(W1996&lt;&gt;"",W1996,V1996))</f>
        <v/>
      </c>
      <c r="Y1996" s="5" t="str">
        <f aca="false">IF(A1996="","",IF(COUNTIFS($X$2:$X$2001,X1996,$D$2:$D$2001,"&lt;&gt;"&amp;D1996,$C$2:$C$2001,C1996)&gt;0,"SIM","NAO"))</f>
        <v/>
      </c>
      <c r="Z1996" s="5" t="str">
        <f aca="false">IF(A1996="","",IF(J1996="","",IFERROR(360/J1996,"")))</f>
        <v/>
      </c>
      <c r="AA1996" s="5" t="str">
        <f aca="false">IF(A1996="","",IF(H1996=0,"Parado (sem venda 90d)",IF(Z1996&gt;12,"Alto (&gt;12x/ano)",IF(Z1996&gt;=4,"Medio (4-12x/ano)","Baixo (&lt;4x/ano)"))))</f>
        <v/>
      </c>
    </row>
    <row r="1997" customFormat="false" ht="15" hidden="false" customHeight="true" outlineLevel="0" collapsed="false">
      <c r="A1997" s="6"/>
      <c r="B1997" s="6"/>
      <c r="C1997" s="6"/>
      <c r="D1997" s="6"/>
      <c r="E1997" s="6"/>
      <c r="F1997" s="6"/>
      <c r="G1997" s="6"/>
      <c r="H1997" s="6"/>
      <c r="I1997" s="6"/>
      <c r="J1997" s="6"/>
      <c r="K1997" s="18"/>
      <c r="L1997" s="19" t="str">
        <f aca="false">IF(A1997="","",G1997*K1997)</f>
        <v/>
      </c>
      <c r="M1997" s="20"/>
      <c r="N1997" s="6"/>
      <c r="O1997" s="6"/>
      <c r="P1997" s="5" t="str">
        <f aca="false">IF(A1997="","",H1997/90)</f>
        <v/>
      </c>
      <c r="Q1997" s="5" t="str">
        <f aca="false">IF(A1997="","",IFERROR(INDEX(Parâmetros!$C$6:$C$10,MATCH(F1997,Parâmetros!$B$6:$B$10,0)),""))</f>
        <v/>
      </c>
      <c r="R1997" s="5" t="str">
        <f aca="false">IF(OR(A1997="",P1997="",Q1997=""),"",P1997*Q1997)</f>
        <v/>
      </c>
      <c r="S1997" s="5" t="str">
        <f aca="false">IF(R1997="","",MAX(0,R1997-G1997))</f>
        <v/>
      </c>
      <c r="T1997" s="21" t="str">
        <f aca="false">IF(S1997="","",S1997*K1997)</f>
        <v/>
      </c>
      <c r="U1997" s="5" t="str">
        <f aca="false">IF(A1997="","",IF(J1997&gt;Parâmetros!$C$14,"SIM","NAO"))</f>
        <v/>
      </c>
      <c r="V1997" s="5" t="str">
        <f aca="false">IF(B1997="","",TRIM(LEFT(B1997,IFERROR(FIND(" ",B1997)-1,LEN(B1997)))))</f>
        <v/>
      </c>
      <c r="W1997" s="22"/>
      <c r="X1997" s="5" t="str">
        <f aca="false">IF(A1997="","",IF(W1997&lt;&gt;"",W1997,V1997))</f>
        <v/>
      </c>
      <c r="Y1997" s="5" t="str">
        <f aca="false">IF(A1997="","",IF(COUNTIFS($X$2:$X$2001,X1997,$D$2:$D$2001,"&lt;&gt;"&amp;D1997,$C$2:$C$2001,C1997)&gt;0,"SIM","NAO"))</f>
        <v/>
      </c>
      <c r="Z1997" s="5" t="str">
        <f aca="false">IF(A1997="","",IF(J1997="","",IFERROR(360/J1997,"")))</f>
        <v/>
      </c>
      <c r="AA1997" s="5" t="str">
        <f aca="false">IF(A1997="","",IF(H1997=0,"Parado (sem venda 90d)",IF(Z1997&gt;12,"Alto (&gt;12x/ano)",IF(Z1997&gt;=4,"Medio (4-12x/ano)","Baixo (&lt;4x/ano)"))))</f>
        <v/>
      </c>
    </row>
    <row r="1998" customFormat="false" ht="15" hidden="false" customHeight="true" outlineLevel="0" collapsed="false">
      <c r="A1998" s="6"/>
      <c r="B1998" s="6"/>
      <c r="C1998" s="6"/>
      <c r="D1998" s="6"/>
      <c r="E1998" s="6"/>
      <c r="F1998" s="6"/>
      <c r="G1998" s="6"/>
      <c r="H1998" s="6"/>
      <c r="I1998" s="6"/>
      <c r="J1998" s="6"/>
      <c r="K1998" s="18"/>
      <c r="L1998" s="19" t="str">
        <f aca="false">IF(A1998="","",G1998*K1998)</f>
        <v/>
      </c>
      <c r="M1998" s="20"/>
      <c r="N1998" s="6"/>
      <c r="O1998" s="6"/>
      <c r="P1998" s="5" t="str">
        <f aca="false">IF(A1998="","",H1998/90)</f>
        <v/>
      </c>
      <c r="Q1998" s="5" t="str">
        <f aca="false">IF(A1998="","",IFERROR(INDEX(Parâmetros!$C$6:$C$10,MATCH(F1998,Parâmetros!$B$6:$B$10,0)),""))</f>
        <v/>
      </c>
      <c r="R1998" s="5" t="str">
        <f aca="false">IF(OR(A1998="",P1998="",Q1998=""),"",P1998*Q1998)</f>
        <v/>
      </c>
      <c r="S1998" s="5" t="str">
        <f aca="false">IF(R1998="","",MAX(0,R1998-G1998))</f>
        <v/>
      </c>
      <c r="T1998" s="21" t="str">
        <f aca="false">IF(S1998="","",S1998*K1998)</f>
        <v/>
      </c>
      <c r="U1998" s="5" t="str">
        <f aca="false">IF(A1998="","",IF(J1998&gt;Parâmetros!$C$14,"SIM","NAO"))</f>
        <v/>
      </c>
      <c r="V1998" s="5" t="str">
        <f aca="false">IF(B1998="","",TRIM(LEFT(B1998,IFERROR(FIND(" ",B1998)-1,LEN(B1998)))))</f>
        <v/>
      </c>
      <c r="W1998" s="22"/>
      <c r="X1998" s="5" t="str">
        <f aca="false">IF(A1998="","",IF(W1998&lt;&gt;"",W1998,V1998))</f>
        <v/>
      </c>
      <c r="Y1998" s="5" t="str">
        <f aca="false">IF(A1998="","",IF(COUNTIFS($X$2:$X$2001,X1998,$D$2:$D$2001,"&lt;&gt;"&amp;D1998,$C$2:$C$2001,C1998)&gt;0,"SIM","NAO"))</f>
        <v/>
      </c>
      <c r="Z1998" s="5" t="str">
        <f aca="false">IF(A1998="","",IF(J1998="","",IFERROR(360/J1998,"")))</f>
        <v/>
      </c>
      <c r="AA1998" s="5" t="str">
        <f aca="false">IF(A1998="","",IF(H1998=0,"Parado (sem venda 90d)",IF(Z1998&gt;12,"Alto (&gt;12x/ano)",IF(Z1998&gt;=4,"Medio (4-12x/ano)","Baixo (&lt;4x/ano)"))))</f>
        <v/>
      </c>
    </row>
    <row r="1999" customFormat="false" ht="15" hidden="false" customHeight="true" outlineLevel="0" collapsed="false">
      <c r="A1999" s="6"/>
      <c r="B1999" s="6"/>
      <c r="C1999" s="6"/>
      <c r="D1999" s="6"/>
      <c r="E1999" s="6"/>
      <c r="F1999" s="6"/>
      <c r="G1999" s="6"/>
      <c r="H1999" s="6"/>
      <c r="I1999" s="6"/>
      <c r="J1999" s="6"/>
      <c r="K1999" s="18"/>
      <c r="L1999" s="19" t="str">
        <f aca="false">IF(A1999="","",G1999*K1999)</f>
        <v/>
      </c>
      <c r="M1999" s="20"/>
      <c r="N1999" s="6"/>
      <c r="O1999" s="6"/>
      <c r="P1999" s="5" t="str">
        <f aca="false">IF(A1999="","",H1999/90)</f>
        <v/>
      </c>
      <c r="Q1999" s="5" t="str">
        <f aca="false">IF(A1999="","",IFERROR(INDEX(Parâmetros!$C$6:$C$10,MATCH(F1999,Parâmetros!$B$6:$B$10,0)),""))</f>
        <v/>
      </c>
      <c r="R1999" s="5" t="str">
        <f aca="false">IF(OR(A1999="",P1999="",Q1999=""),"",P1999*Q1999)</f>
        <v/>
      </c>
      <c r="S1999" s="5" t="str">
        <f aca="false">IF(R1999="","",MAX(0,R1999-G1999))</f>
        <v/>
      </c>
      <c r="T1999" s="21" t="str">
        <f aca="false">IF(S1999="","",S1999*K1999)</f>
        <v/>
      </c>
      <c r="U1999" s="5" t="str">
        <f aca="false">IF(A1999="","",IF(J1999&gt;Parâmetros!$C$14,"SIM","NAO"))</f>
        <v/>
      </c>
      <c r="V1999" s="5" t="str">
        <f aca="false">IF(B1999="","",TRIM(LEFT(B1999,IFERROR(FIND(" ",B1999)-1,LEN(B1999)))))</f>
        <v/>
      </c>
      <c r="W1999" s="22"/>
      <c r="X1999" s="5" t="str">
        <f aca="false">IF(A1999="","",IF(W1999&lt;&gt;"",W1999,V1999))</f>
        <v/>
      </c>
      <c r="Y1999" s="5" t="str">
        <f aca="false">IF(A1999="","",IF(COUNTIFS($X$2:$X$2001,X1999,$D$2:$D$2001,"&lt;&gt;"&amp;D1999,$C$2:$C$2001,C1999)&gt;0,"SIM","NAO"))</f>
        <v/>
      </c>
      <c r="Z1999" s="5" t="str">
        <f aca="false">IF(A1999="","",IF(J1999="","",IFERROR(360/J1999,"")))</f>
        <v/>
      </c>
      <c r="AA1999" s="5" t="str">
        <f aca="false">IF(A1999="","",IF(H1999=0,"Parado (sem venda 90d)",IF(Z1999&gt;12,"Alto (&gt;12x/ano)",IF(Z1999&gt;=4,"Medio (4-12x/ano)","Baixo (&lt;4x/ano)"))))</f>
        <v/>
      </c>
    </row>
    <row r="2000" customFormat="false" ht="15" hidden="false" customHeight="true" outlineLevel="0" collapsed="false">
      <c r="A2000" s="6"/>
      <c r="B2000" s="6"/>
      <c r="C2000" s="6"/>
      <c r="D2000" s="6"/>
      <c r="E2000" s="6"/>
      <c r="F2000" s="6"/>
      <c r="G2000" s="6"/>
      <c r="H2000" s="6"/>
      <c r="I2000" s="6"/>
      <c r="J2000" s="6"/>
      <c r="K2000" s="18"/>
      <c r="L2000" s="19" t="str">
        <f aca="false">IF(A2000="","",G2000*K2000)</f>
        <v/>
      </c>
      <c r="M2000" s="20"/>
      <c r="N2000" s="6"/>
      <c r="O2000" s="6"/>
      <c r="P2000" s="5" t="str">
        <f aca="false">IF(A2000="","",H2000/90)</f>
        <v/>
      </c>
      <c r="Q2000" s="5" t="str">
        <f aca="false">IF(A2000="","",IFERROR(INDEX(Parâmetros!$C$6:$C$10,MATCH(F2000,Parâmetros!$B$6:$B$10,0)),""))</f>
        <v/>
      </c>
      <c r="R2000" s="5" t="str">
        <f aca="false">IF(OR(A2000="",P2000="",Q2000=""),"",P2000*Q2000)</f>
        <v/>
      </c>
      <c r="S2000" s="5" t="str">
        <f aca="false">IF(R2000="","",MAX(0,R2000-G2000))</f>
        <v/>
      </c>
      <c r="T2000" s="21" t="str">
        <f aca="false">IF(S2000="","",S2000*K2000)</f>
        <v/>
      </c>
      <c r="U2000" s="5" t="str">
        <f aca="false">IF(A2000="","",IF(J2000&gt;Parâmetros!$C$14,"SIM","NAO"))</f>
        <v/>
      </c>
      <c r="V2000" s="5" t="str">
        <f aca="false">IF(B2000="","",TRIM(LEFT(B2000,IFERROR(FIND(" ",B2000)-1,LEN(B2000)))))</f>
        <v/>
      </c>
      <c r="W2000" s="22"/>
      <c r="X2000" s="5" t="str">
        <f aca="false">IF(A2000="","",IF(W2000&lt;&gt;"",W2000,V2000))</f>
        <v/>
      </c>
      <c r="Y2000" s="5" t="str">
        <f aca="false">IF(A2000="","",IF(COUNTIFS($X$2:$X$2001,X2000,$D$2:$D$2001,"&lt;&gt;"&amp;D2000,$C$2:$C$2001,C2000)&gt;0,"SIM","NAO"))</f>
        <v/>
      </c>
      <c r="Z2000" s="5" t="str">
        <f aca="false">IF(A2000="","",IF(J2000="","",IFERROR(360/J2000,"")))</f>
        <v/>
      </c>
      <c r="AA2000" s="5" t="str">
        <f aca="false">IF(A2000="","",IF(H2000=0,"Parado (sem venda 90d)",IF(Z2000&gt;12,"Alto (&gt;12x/ano)",IF(Z2000&gt;=4,"Medio (4-12x/ano)","Baixo (&lt;4x/ano)"))))</f>
        <v/>
      </c>
    </row>
    <row r="2001" customFormat="false" ht="15" hidden="false" customHeight="true" outlineLevel="0" collapsed="false">
      <c r="A2001" s="6"/>
      <c r="B2001" s="6"/>
      <c r="C2001" s="6"/>
      <c r="D2001" s="6"/>
      <c r="E2001" s="6"/>
      <c r="F2001" s="6"/>
      <c r="G2001" s="6"/>
      <c r="H2001" s="6"/>
      <c r="I2001" s="6"/>
      <c r="J2001" s="6"/>
      <c r="K2001" s="18"/>
      <c r="L2001" s="19" t="str">
        <f aca="false">IF(A2001="","",G2001*K2001)</f>
        <v/>
      </c>
      <c r="M2001" s="20"/>
      <c r="N2001" s="6"/>
      <c r="O2001" s="6"/>
      <c r="P2001" s="5" t="str">
        <f aca="false">IF(A2001="","",H2001/90)</f>
        <v/>
      </c>
      <c r="Q2001" s="5" t="str">
        <f aca="false">IF(A2001="","",IFERROR(INDEX(Parâmetros!$C$6:$C$10,MATCH(F2001,Parâmetros!$B$6:$B$10,0)),""))</f>
        <v/>
      </c>
      <c r="R2001" s="5" t="str">
        <f aca="false">IF(OR(A2001="",P2001="",Q2001=""),"",P2001*Q2001)</f>
        <v/>
      </c>
      <c r="S2001" s="5" t="str">
        <f aca="false">IF(R2001="","",MAX(0,R2001-G2001))</f>
        <v/>
      </c>
      <c r="T2001" s="21" t="str">
        <f aca="false">IF(S2001="","",S2001*K2001)</f>
        <v/>
      </c>
      <c r="U2001" s="5" t="str">
        <f aca="false">IF(A2001="","",IF(J2001&gt;Parâmetros!$C$14,"SIM","NAO"))</f>
        <v/>
      </c>
      <c r="V2001" s="5" t="str">
        <f aca="false">IF(B2001="","",TRIM(LEFT(B2001,IFERROR(FIND(" ",B2001)-1,LEN(B2001)))))</f>
        <v/>
      </c>
      <c r="W2001" s="22"/>
      <c r="X2001" s="5" t="str">
        <f aca="false">IF(A2001="","",IF(W2001&lt;&gt;"",W2001,V2001))</f>
        <v/>
      </c>
      <c r="Y2001" s="5" t="str">
        <f aca="false">IF(A2001="","",IF(COUNTIFS($X$2:$X$2001,X2001,$D$2:$D$2001,"&lt;&gt;"&amp;D2001,$C$2:$C$2001,C2001)&gt;0,"SIM","NAO"))</f>
        <v/>
      </c>
      <c r="Z2001" s="5" t="str">
        <f aca="false">IF(A2001="","",IF(J2001="","",IFERROR(360/J2001,"")))</f>
        <v/>
      </c>
      <c r="AA2001" s="5" t="str">
        <f aca="false">IF(A2001="","",IF(H2001=0,"Parado (sem venda 90d)",IF(Z2001&gt;12,"Alto (&gt;12x/ano)",IF(Z2001&gt;=4,"Medio (4-12x/ano)","Baixo (&lt;4x/ano)"))))</f>
        <v/>
      </c>
    </row>
  </sheetData>
  <autoFilter ref="A1:AA2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3" min="2" style="1" width="12"/>
    <col collapsed="false" customWidth="true" hidden="false" outlineLevel="0" max="4" min="4" style="1" width="18"/>
    <col collapsed="false" customWidth="true" hidden="false" outlineLevel="0" max="5" min="5" style="1" width="14"/>
    <col collapsed="false" customWidth="true" hidden="false" outlineLevel="0" max="6" min="6" style="1" width="20"/>
    <col collapsed="false" customWidth="true" hidden="false" outlineLevel="0" max="7" min="7" style="1" width="14"/>
    <col collapsed="false" customWidth="true" hidden="false" outlineLevel="0" max="8" min="8" style="1" width="16"/>
  </cols>
  <sheetData>
    <row r="2" customFormat="false" ht="17.25" hidden="false" customHeight="true" outlineLevel="0" collapsed="false">
      <c r="B2" s="2" t="s">
        <v>76</v>
      </c>
    </row>
    <row r="4" customFormat="false" ht="27.75" hidden="false" customHeight="true" outlineLevel="0" collapsed="false">
      <c r="B4" s="12" t="s">
        <v>28</v>
      </c>
      <c r="C4" s="12" t="s">
        <v>77</v>
      </c>
      <c r="D4" s="12" t="s">
        <v>78</v>
      </c>
      <c r="E4" s="12" t="s">
        <v>79</v>
      </c>
      <c r="F4" s="12" t="s">
        <v>80</v>
      </c>
      <c r="G4" s="12" t="s">
        <v>81</v>
      </c>
      <c r="H4" s="12" t="s">
        <v>82</v>
      </c>
    </row>
    <row r="5" customFormat="false" ht="15" hidden="false" customHeight="true" outlineLevel="0" collapsed="false">
      <c r="B5" s="13" t="s">
        <v>30</v>
      </c>
      <c r="C5" s="23" t="n">
        <f aca="false">COUNTIFS(Base!$F$2:$F$2001,B5)</f>
        <v>0</v>
      </c>
      <c r="D5" s="24" t="n">
        <f aca="false">SUMIFS(Base!$L$2:$L$2001,Base!$F$2:$F$2001,B5)</f>
        <v>0</v>
      </c>
      <c r="E5" s="25" t="n">
        <f aca="false">IF($D$10=0,"",D5/$D$10)</f>
        <v>0</v>
      </c>
      <c r="F5" s="24" t="n">
        <f aca="false">SUMIFS(Base!$T$2:$T$2001,Base!$F$2:$F$2001,B5)</f>
        <v>0</v>
      </c>
      <c r="G5" s="26" t="str">
        <f aca="false">IFERROR(AVERAGEIFS(Base!$Z$2:$Z$2001,Base!$F$2:$F$2001,B5),"")</f>
        <v/>
      </c>
      <c r="H5" s="27" t="str">
        <f aca="false">IFERROR(AVERAGEIFS(Base!$J$2:$J$2001,Base!$F$2:$F$2001,B5),"")</f>
        <v/>
      </c>
    </row>
    <row r="6" customFormat="false" ht="15" hidden="false" customHeight="true" outlineLevel="0" collapsed="false">
      <c r="B6" s="13" t="s">
        <v>31</v>
      </c>
      <c r="C6" s="23" t="n">
        <f aca="false">COUNTIFS(Base!$F$2:$F$2001,B6)</f>
        <v>0</v>
      </c>
      <c r="D6" s="24" t="n">
        <f aca="false">SUMIFS(Base!$L$2:$L$2001,Base!$F$2:$F$2001,B6)</f>
        <v>0</v>
      </c>
      <c r="E6" s="25" t="n">
        <f aca="false">IF($D$10=0,"",D6/$D$10)</f>
        <v>0</v>
      </c>
      <c r="F6" s="24" t="n">
        <f aca="false">SUMIFS(Base!$T$2:$T$2001,Base!$F$2:$F$2001,B6)</f>
        <v>0</v>
      </c>
      <c r="G6" s="26" t="str">
        <f aca="false">IFERROR(AVERAGEIFS(Base!$Z$2:$Z$2001,Base!$F$2:$F$2001,B6),"")</f>
        <v/>
      </c>
      <c r="H6" s="27" t="str">
        <f aca="false">IFERROR(AVERAGEIFS(Base!$J$2:$J$2001,Base!$F$2:$F$2001,B6),"")</f>
        <v/>
      </c>
    </row>
    <row r="7" customFormat="false" ht="15" hidden="false" customHeight="true" outlineLevel="0" collapsed="false">
      <c r="B7" s="13" t="s">
        <v>32</v>
      </c>
      <c r="C7" s="23" t="n">
        <f aca="false">COUNTIFS(Base!$F$2:$F$2001,B7)</f>
        <v>0</v>
      </c>
      <c r="D7" s="24" t="n">
        <f aca="false">SUMIFS(Base!$L$2:$L$2001,Base!$F$2:$F$2001,B7)</f>
        <v>0</v>
      </c>
      <c r="E7" s="25" t="n">
        <f aca="false">IF($D$10=0,"",D7/$D$10)</f>
        <v>0</v>
      </c>
      <c r="F7" s="24" t="n">
        <f aca="false">SUMIFS(Base!$T$2:$T$2001,Base!$F$2:$F$2001,B7)</f>
        <v>0</v>
      </c>
      <c r="G7" s="26" t="str">
        <f aca="false">IFERROR(AVERAGEIFS(Base!$Z$2:$Z$2001,Base!$F$2:$F$2001,B7),"")</f>
        <v/>
      </c>
      <c r="H7" s="27" t="str">
        <f aca="false">IFERROR(AVERAGEIFS(Base!$J$2:$J$2001,Base!$F$2:$F$2001,B7),"")</f>
        <v/>
      </c>
    </row>
    <row r="8" customFormat="false" ht="15" hidden="false" customHeight="true" outlineLevel="0" collapsed="false">
      <c r="B8" s="13" t="s">
        <v>33</v>
      </c>
      <c r="C8" s="23" t="n">
        <f aca="false">COUNTIFS(Base!$F$2:$F$2001,B8)</f>
        <v>0</v>
      </c>
      <c r="D8" s="24" t="n">
        <f aca="false">SUMIFS(Base!$L$2:$L$2001,Base!$F$2:$F$2001,B8)</f>
        <v>0</v>
      </c>
      <c r="E8" s="25" t="n">
        <f aca="false">IF($D$10=0,"",D8/$D$10)</f>
        <v>0</v>
      </c>
      <c r="F8" s="24" t="n">
        <f aca="false">SUMIFS(Base!$T$2:$T$2001,Base!$F$2:$F$2001,B8)</f>
        <v>0</v>
      </c>
      <c r="G8" s="26" t="str">
        <f aca="false">IFERROR(AVERAGEIFS(Base!$Z$2:$Z$2001,Base!$F$2:$F$2001,B8),"")</f>
        <v/>
      </c>
      <c r="H8" s="27" t="str">
        <f aca="false">IFERROR(AVERAGEIFS(Base!$J$2:$J$2001,Base!$F$2:$F$2001,B8),"")</f>
        <v/>
      </c>
    </row>
    <row r="9" customFormat="false" ht="15" hidden="false" customHeight="true" outlineLevel="0" collapsed="false">
      <c r="B9" s="13" t="s">
        <v>34</v>
      </c>
      <c r="C9" s="23" t="n">
        <f aca="false">COUNTIFS(Base!$F$2:$F$2001,B9)</f>
        <v>1</v>
      </c>
      <c r="D9" s="24" t="n">
        <f aca="false">SUMIFS(Base!$L$2:$L$2001,Base!$F$2:$F$2001,B9)</f>
        <v>134960</v>
      </c>
      <c r="E9" s="25" t="n">
        <f aca="false">IF($D$10=0,"",D9/$D$10)</f>
        <v>1</v>
      </c>
      <c r="F9" s="24" t="n">
        <f aca="false">SUMIFS(Base!$T$2:$T$2001,Base!$F$2:$F$2001,B9)</f>
        <v>0</v>
      </c>
      <c r="G9" s="26" t="n">
        <f aca="false">IFERROR(AVERAGEIFS(Base!$Z$2:$Z$2001,Base!$F$2:$F$2001,B9),"")</f>
        <v>2</v>
      </c>
      <c r="H9" s="27" t="n">
        <f aca="false">IFERROR(AVERAGEIFS(Base!$J$2:$J$2001,Base!$F$2:$F$2001,B9),"")</f>
        <v>180</v>
      </c>
    </row>
    <row r="10" customFormat="false" ht="15" hidden="false" customHeight="true" outlineLevel="0" collapsed="false">
      <c r="B10" s="28" t="s">
        <v>83</v>
      </c>
      <c r="C10" s="28" t="n">
        <f aca="false">SUM(C5:C9)</f>
        <v>1</v>
      </c>
      <c r="D10" s="29" t="n">
        <f aca="false">SUM(D5:D9)</f>
        <v>134960</v>
      </c>
      <c r="E10" s="30" t="n">
        <f aca="false">IF($D$10=0,"",D10/$D$10)</f>
        <v>1</v>
      </c>
      <c r="F10" s="29" t="n">
        <f aca="false">SUM(F5:F9)</f>
        <v>0</v>
      </c>
      <c r="G10" s="23"/>
      <c r="H10" s="23"/>
    </row>
    <row r="12" customFormat="false" ht="15" hidden="false" customHeight="true" outlineLevel="0" collapsed="false">
      <c r="B12" s="31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12"/>
    <col collapsed="false" customWidth="true" hidden="false" outlineLevel="0" max="4" min="4" style="1" width="18"/>
    <col collapsed="false" customWidth="true" hidden="false" outlineLevel="0" max="5" min="5" style="1" width="14"/>
  </cols>
  <sheetData>
    <row r="2" customFormat="false" ht="17.25" hidden="false" customHeight="true" outlineLevel="0" collapsed="false">
      <c r="B2" s="2" t="s">
        <v>85</v>
      </c>
    </row>
    <row r="4" customFormat="false" ht="27.75" hidden="false" customHeight="true" outlineLevel="0" collapsed="false">
      <c r="B4" s="12" t="s">
        <v>69</v>
      </c>
      <c r="C4" s="12" t="s">
        <v>77</v>
      </c>
      <c r="D4" s="12" t="s">
        <v>78</v>
      </c>
      <c r="E4" s="12" t="s">
        <v>79</v>
      </c>
    </row>
    <row r="5" customFormat="false" ht="15" hidden="false" customHeight="true" outlineLevel="0" collapsed="false">
      <c r="B5" s="13" t="s">
        <v>86</v>
      </c>
      <c r="C5" s="23" t="n">
        <f aca="false">COUNTIFS(Base!$AA$2:$AA$2001,B5)</f>
        <v>0</v>
      </c>
      <c r="D5" s="24" t="n">
        <f aca="false">SUMIFS(Base!$L$2:$L$2001,Base!$AA$2:$AA$2001,B5)</f>
        <v>0</v>
      </c>
      <c r="E5" s="25" t="n">
        <f aca="false">IF($C$9=0,"",D5/$D$9)</f>
        <v>0</v>
      </c>
    </row>
    <row r="6" customFormat="false" ht="15" hidden="false" customHeight="true" outlineLevel="0" collapsed="false">
      <c r="B6" s="13" t="s">
        <v>87</v>
      </c>
      <c r="C6" s="23" t="n">
        <f aca="false">COUNTIFS(Base!$AA$2:$AA$2001,B6)</f>
        <v>0</v>
      </c>
      <c r="D6" s="24" t="n">
        <f aca="false">SUMIFS(Base!$L$2:$L$2001,Base!$AA$2:$AA$2001,B6)</f>
        <v>0</v>
      </c>
      <c r="E6" s="25" t="n">
        <f aca="false">IF($C$9=0,"",D6/$D$9)</f>
        <v>0</v>
      </c>
    </row>
    <row r="7" customFormat="false" ht="15" hidden="false" customHeight="true" outlineLevel="0" collapsed="false">
      <c r="B7" s="13" t="s">
        <v>88</v>
      </c>
      <c r="C7" s="23" t="n">
        <f aca="false">COUNTIFS(Base!$AA$2:$AA$2001,B7)</f>
        <v>1</v>
      </c>
      <c r="D7" s="24" t="n">
        <f aca="false">SUMIFS(Base!$L$2:$L$2001,Base!$AA$2:$AA$2001,B7)</f>
        <v>134960</v>
      </c>
      <c r="E7" s="25" t="n">
        <f aca="false">IF($C$9=0,"",D7/$D$9)</f>
        <v>1</v>
      </c>
    </row>
    <row r="8" customFormat="false" ht="15" hidden="false" customHeight="true" outlineLevel="0" collapsed="false">
      <c r="B8" s="13" t="s">
        <v>89</v>
      </c>
      <c r="C8" s="23" t="n">
        <f aca="false">COUNTIFS(Base!$AA$2:$AA$2001,B8)</f>
        <v>0</v>
      </c>
      <c r="D8" s="24" t="n">
        <f aca="false">SUMIFS(Base!$L$2:$L$2001,Base!$AA$2:$AA$2001,B8)</f>
        <v>0</v>
      </c>
      <c r="E8" s="25" t="n">
        <f aca="false">IF($C$9=0,"",D8/$D$9)</f>
        <v>0</v>
      </c>
    </row>
    <row r="9" customFormat="false" ht="15" hidden="false" customHeight="true" outlineLevel="0" collapsed="false">
      <c r="B9" s="28" t="s">
        <v>83</v>
      </c>
      <c r="C9" s="28" t="n">
        <f aca="false">SUM(C5:C8)</f>
        <v>1</v>
      </c>
      <c r="D9" s="29" t="n">
        <f aca="false">SUM(D5:D8)</f>
        <v>134960</v>
      </c>
      <c r="E9" s="23"/>
    </row>
    <row r="12" customFormat="false" ht="15" hidden="false" customHeight="true" outlineLevel="0" collapsed="false">
      <c r="B12" s="10" t="s">
        <v>90</v>
      </c>
      <c r="C12" s="32" t="n">
        <f aca="false">IFERROR(AVERAGE(Base!$Z$2:$Z$2001),"")</f>
        <v>2</v>
      </c>
    </row>
    <row r="14" customFormat="false" ht="15" hidden="false" customHeight="true" outlineLevel="0" collapsed="false">
      <c r="B14" s="31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20"/>
    <col collapsed="false" customWidth="true" hidden="false" outlineLevel="0" max="4" min="4" style="1" width="16"/>
  </cols>
  <sheetData>
    <row r="2" customFormat="false" ht="17.25" hidden="false" customHeight="true" outlineLevel="0" collapsed="false">
      <c r="B2" s="2" t="s">
        <v>92</v>
      </c>
    </row>
    <row r="4" customFormat="false" ht="15" hidden="false" customHeight="true" outlineLevel="0" collapsed="false">
      <c r="B4" s="10" t="s">
        <v>93</v>
      </c>
      <c r="C4" s="33" t="n">
        <f aca="false">SUM(Base!$L$2:$L$2001)</f>
        <v>134960</v>
      </c>
    </row>
    <row r="5" customFormat="false" ht="15" hidden="false" customHeight="true" outlineLevel="0" collapsed="false">
      <c r="B5" s="10" t="s">
        <v>94</v>
      </c>
      <c r="C5" s="33" t="n">
        <f aca="false">SUMIFS(Base!$L$2:$L$2001,Base!$U$2:$U$2001,"SIM")</f>
        <v>134960</v>
      </c>
    </row>
    <row r="6" customFormat="false" ht="15" hidden="false" customHeight="true" outlineLevel="0" collapsed="false">
      <c r="B6" s="10" t="s">
        <v>95</v>
      </c>
      <c r="C6" s="34" t="n">
        <f aca="false">IF(C4=0,"",C5/C4)</f>
        <v>1</v>
      </c>
      <c r="D6" s="31" t="s">
        <v>96</v>
      </c>
    </row>
    <row r="7" customFormat="false" ht="15" hidden="false" customHeight="true" outlineLevel="0" collapsed="false">
      <c r="B7" s="10" t="s">
        <v>97</v>
      </c>
      <c r="C7" s="35" t="n">
        <f aca="false">COUNTIF(Base!$U$2:$U$2001,"SIM")</f>
        <v>1</v>
      </c>
    </row>
    <row r="10" customFormat="false" ht="15" hidden="false" customHeight="true" outlineLevel="0" collapsed="false">
      <c r="B10" s="10" t="s">
        <v>98</v>
      </c>
    </row>
    <row r="11" customFormat="false" ht="27.75" hidden="false" customHeight="true" outlineLevel="0" collapsed="false">
      <c r="B11" s="12" t="s">
        <v>99</v>
      </c>
      <c r="C11" s="12" t="s">
        <v>77</v>
      </c>
      <c r="D11" s="12" t="s">
        <v>78</v>
      </c>
      <c r="E11" s="12" t="s">
        <v>79</v>
      </c>
    </row>
    <row r="12" customFormat="false" ht="15" hidden="false" customHeight="true" outlineLevel="0" collapsed="false">
      <c r="B12" s="13" t="s">
        <v>100</v>
      </c>
      <c r="C12" s="23" t="n">
        <f aca="false">COUNTIFS(Base!$J$2:$J$2001,"&gt;30",Base!$J$2:$J$2001,"&lt;=60")</f>
        <v>0</v>
      </c>
      <c r="D12" s="24" t="n">
        <f aca="false">SUMIFS(Base!$L$2:$L$2001,Base!$J$2:$J$2001,"&gt;30",Base!$J$2:$J$2001,"&lt;=60")</f>
        <v>0</v>
      </c>
      <c r="E12" s="25" t="n">
        <f aca="false">IF($C$4=0,"",D12/$C$4)</f>
        <v>0</v>
      </c>
    </row>
    <row r="13" customFormat="false" ht="15" hidden="false" customHeight="true" outlineLevel="0" collapsed="false">
      <c r="B13" s="13" t="s">
        <v>101</v>
      </c>
      <c r="C13" s="23" t="n">
        <f aca="false">COUNTIFS(Base!$J$2:$J$2001,"&gt;60",Base!$J$2:$J$2001,"&lt;=90")</f>
        <v>0</v>
      </c>
      <c r="D13" s="24" t="n">
        <f aca="false">SUMIFS(Base!$L$2:$L$2001,Base!$J$2:$J$2001,"&gt;60",Base!$J$2:$J$2001,"&lt;=90")</f>
        <v>0</v>
      </c>
      <c r="E13" s="25" t="n">
        <f aca="false">IF($C$4=0,"",D13/$C$4)</f>
        <v>0</v>
      </c>
    </row>
    <row r="14" customFormat="false" ht="15" hidden="false" customHeight="true" outlineLevel="0" collapsed="false">
      <c r="B14" s="13" t="s">
        <v>102</v>
      </c>
      <c r="C14" s="23" t="n">
        <f aca="false">COUNTIFS(Base!$J$2:$J$2001,"&gt;90",Base!$J$2:$J$2001,"&lt;=180")</f>
        <v>1</v>
      </c>
      <c r="D14" s="24" t="n">
        <f aca="false">SUMIFS(Base!$L$2:$L$2001,Base!$J$2:$J$2001,"&gt;90",Base!$J$2:$J$2001,"&lt;=180")</f>
        <v>134960</v>
      </c>
      <c r="E14" s="25" t="n">
        <f aca="false">IF($C$4=0,"",D14/$C$4)</f>
        <v>1</v>
      </c>
    </row>
    <row r="15" customFormat="false" ht="15" hidden="false" customHeight="true" outlineLevel="0" collapsed="false">
      <c r="B15" s="13" t="s">
        <v>103</v>
      </c>
      <c r="C15" s="23" t="n">
        <f aca="false">COUNTIF(Base!$J$2:$J$2001,"&gt;180")</f>
        <v>0</v>
      </c>
      <c r="D15" s="24" t="n">
        <f aca="false">SUMIF(Base!$J$2:$J$2001,"&gt;180",Base!$L$2:$L$2001)</f>
        <v>0</v>
      </c>
      <c r="E15" s="25" t="n">
        <f aca="false">IF($C$4=0,"",D15/$C$4)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3" min="3" style="1" width="20"/>
    <col collapsed="false" customWidth="true" hidden="false" outlineLevel="0" max="4" min="4" style="1" width="16"/>
  </cols>
  <sheetData>
    <row r="2" customFormat="false" ht="17.25" hidden="false" customHeight="true" outlineLevel="0" collapsed="false">
      <c r="B2" s="2" t="s">
        <v>104</v>
      </c>
    </row>
    <row r="4" customFormat="false" ht="15" hidden="false" customHeight="true" outlineLevel="0" collapsed="false">
      <c r="B4" s="10" t="s">
        <v>105</v>
      </c>
      <c r="C4" s="35" t="n">
        <f aca="false">COUNTIF(Base!$Y$2:$Y$2001,"SIM")</f>
        <v>0</v>
      </c>
    </row>
    <row r="5" customFormat="false" ht="15" hidden="false" customHeight="true" outlineLevel="0" collapsed="false">
      <c r="B5" s="10" t="s">
        <v>106</v>
      </c>
      <c r="C5" s="33" t="n">
        <f aca="false">SUMIFS(Base!$L$2:$L$2001,Base!$Y$2:$Y$2001,"SIM")</f>
        <v>0</v>
      </c>
    </row>
    <row r="6" customFormat="false" ht="15" hidden="false" customHeight="true" outlineLevel="0" collapsed="false">
      <c r="B6" s="10" t="s">
        <v>107</v>
      </c>
      <c r="C6" s="34" t="n">
        <f aca="false">IF(SUM(Base!$L$2:$L$2001)=0,"",C5/SUM(Base!$L$2:$L$2001))</f>
        <v>0</v>
      </c>
    </row>
    <row r="9" customFormat="false" ht="15" hidden="false" customHeight="true" outlineLevel="0" collapsed="false">
      <c r="B9" s="10" t="s">
        <v>108</v>
      </c>
    </row>
    <row r="10" customFormat="false" ht="15" hidden="false" customHeight="true" outlineLevel="0" collapsed="false">
      <c r="B10" s="31" t="s">
        <v>109</v>
      </c>
    </row>
    <row r="11" customFormat="false" ht="15" hidden="false" customHeight="true" outlineLevel="0" collapsed="false">
      <c r="B11" s="31" t="s">
        <v>110</v>
      </c>
    </row>
    <row r="12" customFormat="false" ht="15" hidden="false" customHeight="true" outlineLevel="0" collapsed="false">
      <c r="B12" s="31" t="s">
        <v>111</v>
      </c>
    </row>
    <row r="13" customFormat="false" ht="15" hidden="false" customHeight="true" outlineLevel="0" collapsed="false">
      <c r="B13" s="31"/>
    </row>
    <row r="14" customFormat="false" ht="15" hidden="false" customHeight="true" outlineLevel="0" collapsed="false">
      <c r="B14" s="31" t="s">
        <v>112</v>
      </c>
    </row>
    <row r="15" customFormat="false" ht="15" hidden="false" customHeight="true" outlineLevel="0" collapsed="false">
      <c r="B15" s="31" t="s">
        <v>113</v>
      </c>
    </row>
    <row r="16" customFormat="false" ht="15" hidden="false" customHeight="true" outlineLevel="0" collapsed="false">
      <c r="B16" s="31" t="s">
        <v>114</v>
      </c>
    </row>
    <row r="17" customFormat="false" ht="15" hidden="false" customHeight="true" outlineLevel="0" collapsed="false">
      <c r="B17" s="31"/>
    </row>
    <row r="18" customFormat="false" ht="15" hidden="false" customHeight="true" outlineLevel="0" collapsed="false">
      <c r="B18" s="31" t="s">
        <v>115</v>
      </c>
    </row>
    <row r="19" customFormat="false" ht="15" hidden="false" customHeight="true" outlineLevel="0" collapsed="false">
      <c r="B19" s="31" t="s">
        <v>116</v>
      </c>
    </row>
    <row r="20" customFormat="false" ht="15" hidden="false" customHeight="true" outlineLevel="0" collapsed="false">
      <c r="B20" s="31" t="s">
        <v>117</v>
      </c>
    </row>
    <row r="21" customFormat="false" ht="15" hidden="false" customHeight="true" outlineLevel="0" collapsed="false">
      <c r="B21" s="31" t="s">
        <v>118</v>
      </c>
    </row>
    <row r="22" customFormat="false" ht="15" hidden="false" customHeight="true" outlineLevel="0" collapsed="false">
      <c r="B22" s="31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20"/>
    <col collapsed="false" customWidth="true" hidden="false" outlineLevel="0" max="4" min="4" style="1" width="16"/>
  </cols>
  <sheetData>
    <row r="2" customFormat="false" ht="17.25" hidden="false" customHeight="true" outlineLevel="0" collapsed="false">
      <c r="B2" s="2" t="s">
        <v>120</v>
      </c>
    </row>
    <row r="4" customFormat="false" ht="15" hidden="false" customHeight="true" outlineLevel="0" collapsed="false">
      <c r="B4" s="10" t="s">
        <v>121</v>
      </c>
      <c r="C4" s="33" t="n">
        <f aca="false">SUM(Base!$T$2:$T$2001)</f>
        <v>0</v>
      </c>
      <c r="D4" s="31" t="s">
        <v>122</v>
      </c>
    </row>
    <row r="5" customFormat="false" ht="15" hidden="false" customHeight="true" outlineLevel="0" collapsed="false">
      <c r="B5" s="10" t="s">
        <v>123</v>
      </c>
      <c r="C5" s="35" t="n">
        <f aca="false">COUNTIF(Base!$S$2:$S$2001,"&gt;0")</f>
        <v>0</v>
      </c>
    </row>
    <row r="6" customFormat="false" ht="15" hidden="false" customHeight="true" outlineLevel="0" collapsed="false">
      <c r="B6" s="10" t="s">
        <v>124</v>
      </c>
      <c r="C6" s="33" t="n">
        <f aca="false">SUM(Base!$L$2:$L$2001)</f>
        <v>134960</v>
      </c>
    </row>
    <row r="7" customFormat="false" ht="15" hidden="false" customHeight="true" outlineLevel="0" collapsed="false">
      <c r="B7" s="10" t="s">
        <v>125</v>
      </c>
      <c r="C7" s="34" t="str">
        <f aca="false">IF(Parâmetros!$C$19=0,"",C4/Parâmetros!$C$19)</f>
        <v/>
      </c>
      <c r="D7" s="31" t="s">
        <v>126</v>
      </c>
    </row>
    <row r="10" customFormat="false" ht="15" hidden="false" customHeight="true" outlineLevel="0" collapsed="false">
      <c r="B10" s="10" t="s">
        <v>127</v>
      </c>
    </row>
    <row r="11" customFormat="false" ht="15" hidden="false" customHeight="true" outlineLevel="0" collapsed="false">
      <c r="B11" s="31" t="s">
        <v>128</v>
      </c>
    </row>
    <row r="12" customFormat="false" ht="15" hidden="false" customHeight="true" outlineLevel="0" collapsed="false">
      <c r="B12" s="31" t="s">
        <v>129</v>
      </c>
    </row>
    <row r="13" customFormat="false" ht="15" hidden="false" customHeight="true" outlineLevel="0" collapsed="false">
      <c r="B13" s="31"/>
    </row>
    <row r="14" customFormat="false" ht="15" hidden="false" customHeight="true" outlineLevel="0" collapsed="false">
      <c r="B14" s="31" t="s">
        <v>130</v>
      </c>
    </row>
    <row r="15" customFormat="false" ht="15" hidden="false" customHeight="true" outlineLevel="0" collapsed="false">
      <c r="B15" s="31" t="s">
        <v>131</v>
      </c>
    </row>
    <row r="16" customFormat="false" ht="15" hidden="false" customHeight="true" outlineLevel="0" collapsed="false">
      <c r="B16" s="31"/>
    </row>
    <row r="17" customFormat="false" ht="15" hidden="false" customHeight="true" outlineLevel="0" collapsed="false">
      <c r="B17" s="31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3" min="3" style="1" width="20"/>
    <col collapsed="false" customWidth="true" hidden="false" outlineLevel="0" max="4" min="4" style="1" width="45"/>
  </cols>
  <sheetData>
    <row r="2" customFormat="false" ht="17.25" hidden="false" customHeight="true" outlineLevel="0" collapsed="false">
      <c r="B2" s="2" t="s">
        <v>133</v>
      </c>
    </row>
    <row r="4" customFormat="false" ht="15" hidden="false" customHeight="true" outlineLevel="0" collapsed="false">
      <c r="B4" s="10" t="s">
        <v>93</v>
      </c>
      <c r="C4" s="33" t="n">
        <f aca="false">'Custo Estoque Minimo'!C6</f>
        <v>134960</v>
      </c>
    </row>
    <row r="5" customFormat="false" ht="15" hidden="false" customHeight="true" outlineLevel="0" collapsed="false">
      <c r="B5" s="10" t="s">
        <v>134</v>
      </c>
      <c r="C5" s="33" t="n">
        <f aca="false">'Custo Estoque Minimo'!C4</f>
        <v>0</v>
      </c>
      <c r="D5" s="31" t="s">
        <v>135</v>
      </c>
    </row>
    <row r="6" customFormat="false" ht="15" hidden="false" customHeight="true" outlineLevel="0" collapsed="false">
      <c r="B6" s="10" t="s">
        <v>136</v>
      </c>
      <c r="C6" s="34" t="str">
        <f aca="false">'Custo Estoque Minimo'!C7</f>
        <v/>
      </c>
    </row>
    <row r="8" customFormat="false" ht="15" hidden="false" customHeight="true" outlineLevel="0" collapsed="false">
      <c r="B8" s="10" t="s">
        <v>137</v>
      </c>
      <c r="C8" s="34" t="n">
        <f aca="false">'Estoque Parado'!C6</f>
        <v>1</v>
      </c>
      <c r="D8" s="31" t="s">
        <v>138</v>
      </c>
    </row>
    <row r="9" customFormat="false" ht="15" hidden="false" customHeight="true" outlineLevel="0" collapsed="false">
      <c r="B9" s="10" t="s">
        <v>139</v>
      </c>
      <c r="C9" s="33" t="n">
        <f aca="false">'Estoque Parado'!C5</f>
        <v>134960</v>
      </c>
    </row>
    <row r="10" customFormat="false" ht="15" hidden="false" customHeight="true" outlineLevel="0" collapsed="false">
      <c r="B10" s="10" t="s">
        <v>90</v>
      </c>
      <c r="C10" s="32" t="n">
        <f aca="false">'Giro de Estoque'!C12</f>
        <v>2</v>
      </c>
    </row>
    <row r="12" customFormat="false" ht="15" hidden="false" customHeight="true" outlineLevel="0" collapsed="false">
      <c r="B12" s="10" t="s">
        <v>140</v>
      </c>
      <c r="C12" s="33" t="n">
        <f aca="false">'Mix e Canibalizacao'!C5</f>
        <v>0</v>
      </c>
    </row>
    <row r="13" customFormat="false" ht="15" hidden="false" customHeight="true" outlineLevel="0" collapsed="false">
      <c r="B13" s="10" t="s">
        <v>141</v>
      </c>
      <c r="C13" s="34" t="n">
        <f aca="false">'Mix e Canibalizacao'!C6</f>
        <v>0</v>
      </c>
    </row>
    <row r="15" customFormat="false" ht="15" hidden="false" customHeight="true" outlineLevel="0" collapsed="false">
      <c r="B15" s="10" t="s">
        <v>142</v>
      </c>
      <c r="C15" s="33" t="n">
        <f aca="false">Parâmetros!C19</f>
        <v>0</v>
      </c>
    </row>
    <row r="16" customFormat="false" ht="15" hidden="false" customHeight="true" outlineLevel="0" collapsed="false">
      <c r="B16" s="10" t="s">
        <v>143</v>
      </c>
      <c r="C16" s="33" t="n">
        <f aca="false">Parâmetros!C20</f>
        <v>0</v>
      </c>
    </row>
    <row r="17" customFormat="false" ht="15" hidden="false" customHeight="true" outlineLevel="0" collapsed="false">
      <c r="B17" s="10" t="s">
        <v>144</v>
      </c>
      <c r="C17" s="34" t="str">
        <f aca="false">Parâmetros!C21</f>
        <v/>
      </c>
    </row>
    <row r="18" customFormat="false" ht="15" hidden="false" customHeight="true" outlineLevel="0" collapsed="false">
      <c r="B18" s="10" t="s">
        <v>145</v>
      </c>
      <c r="C18" s="35" t="str">
        <f aca="false">Parâmetros!C22</f>
        <v/>
      </c>
    </row>
    <row r="21" customFormat="false" ht="15" hidden="false" customHeight="true" outlineLevel="0" collapsed="false">
      <c r="B21" s="10" t="s">
        <v>146</v>
      </c>
    </row>
    <row r="22" customFormat="false" ht="15" hidden="false" customHeight="true" outlineLevel="0" collapsed="false">
      <c r="B22" s="31" t="s">
        <v>147</v>
      </c>
    </row>
    <row r="23" customFormat="false" ht="15" hidden="false" customHeight="true" outlineLevel="0" collapsed="false">
      <c r="B23" s="31" t="s">
        <v>148</v>
      </c>
    </row>
    <row r="24" customFormat="false" ht="15" hidden="false" customHeight="true" outlineLevel="0" collapsed="false">
      <c r="B24" s="31" t="s">
        <v>149</v>
      </c>
    </row>
    <row r="25" customFormat="false" ht="15" hidden="false" customHeight="true" outlineLevel="0" collapsed="false">
      <c r="B25" s="31" t="s">
        <v>150</v>
      </c>
    </row>
    <row r="26" customFormat="false" ht="15" hidden="false" customHeight="true" outlineLevel="0" collapsed="false">
      <c r="B26" s="31" t="s">
        <v>151</v>
      </c>
    </row>
    <row r="27" customFormat="false" ht="15" hidden="false" customHeight="true" outlineLevel="0" collapsed="false">
      <c r="B27" s="31" t="s">
        <v>152</v>
      </c>
    </row>
    <row r="28" customFormat="false" ht="15" hidden="false" customHeight="true" outlineLevel="0" collapsed="false">
      <c r="B28" s="31" t="s">
        <v>153</v>
      </c>
    </row>
    <row r="29" customFormat="false" ht="15" hidden="false" customHeight="true" outlineLevel="0" collapsed="false">
      <c r="B29" s="31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2026-09-02T11:21:30Z</dcterms:created>
  <dc:creator>openpyxl</dc:creator>
  <dc:description/>
  <dc:language>en-US</dc:language>
  <cp:lastModifiedBy/>
  <dcterms:modified xsi:type="dcterms:W3CDTF">2026-09-02T11:40:05Z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