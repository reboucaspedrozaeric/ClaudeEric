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Diagnostico" sheetId="2" state="visible" r:id="rId4"/>
    <sheet name="Estoque Parado" sheetId="3" state="visible" r:id="rId5"/>
    <sheet name="Giro de Estoque" sheetId="4" state="visible" r:id="rId6"/>
    <sheet name="Curva ABC" sheetId="5" state="visible" r:id="rId7"/>
    <sheet name="Custo Estoque Minimo" sheetId="6" state="visible" r:id="rId8"/>
    <sheet name="Mix e Produtos concorrentes" sheetId="7" state="visible" r:id="rId9"/>
    <sheet name="Orcamento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<sst xmlns="http://schemas.openxmlformats.org/spreadsheetml/2006/main" count="3306" uniqueCount="1558">
  <si>
    <t xml:space="preserve">Diagnostico de Estoque e Compras - MMARRA</t>
  </si>
  <si>
    <t xml:space="preserve">Preparei esta analise a partir da nossa base de estoque por filial (WMS) e do relatorio Curva ABC da rede,</t>
  </si>
  <si>
    <t xml:space="preserve">para embasar a discussao sobre os R$20 milhoes parados em estoque e o orcamento de compras.</t>
  </si>
  <si>
    <t xml:space="preserve">Como estou apresentando isto</t>
  </si>
  <si>
    <t xml:space="preserve">1. Comeco pelo 'Diagnostico' - o resumo com o veredito de cada indicador e minha leitura para a reuniao.</t>
  </si>
  <si>
    <t xml:space="preserve">2. As abas seguintes detalham cada analise, com as listas dos piores casos para acionarmos.</t>
  </si>
  <si>
    <t xml:space="preserve">3. A aba 'Orcamento' tem o orcamento do mes que ja lancamos no sistema, comparado com o que precisamos</t>
  </si>
  <si>
    <t xml:space="preserve">   gastar so para repor o estoque minimo.</t>
  </si>
  <si>
    <t xml:space="preserve">Qual custo estou usando em cada calculo</t>
  </si>
  <si>
    <t xml:space="preserve">Usei o Custo Unit. (R$) por produto, que e o custo da ultima compra registrada na nossa base de estoque -</t>
  </si>
  <si>
    <t xml:space="preserve">nao e custo medio (CMV). Onde um produto nao tem estoque em nenhuma filial hoje (por isso sem custo</t>
  </si>
  <si>
    <t xml:space="preserve">cadastrado na base), estimei o custo pela mediana do mesmo produto &gt; mesma marca &gt; mesma curva &gt; mediana</t>
  </si>
  <si>
    <t xml:space="preserve">geral, nessa ordem - e sinalizei onde isso acontece (coluna 'Custo Unit Origem').</t>
  </si>
  <si>
    <t xml:space="preserve">O que corrigi nesta versao (estoque WMS)</t>
  </si>
  <si>
    <t xml:space="preserve">Na reuniao identificamos que a primeira versao usava estoque gerencial, que inclui posicoes que nao sao</t>
  </si>
  <si>
    <t xml:space="preserve">estoque fisico disponivel de fato. Corrigi isso:</t>
  </si>
  <si>
    <t xml:space="preserve">- Estoque agora vem da coluna 'Estoque Disp. WMS' - fisico e disponivel de verdade.</t>
  </si>
  <si>
    <t xml:space="preserve">- Passei a usar o campo 'Situacao' (Sem Giro / Normal / Excesso), que ja vem pronto do Sankhya, no lugar</t>
  </si>
  <si>
    <t xml:space="preserve">  da minha aproximacao anterior (zero venda em 90 dias).</t>
  </si>
  <si>
    <t xml:space="preserve">- Parei de usar o campo 'Est.Min' por filial do relatorio Curva ABC - confirmamos que ele na verdade calcula</t>
  </si>
  <si>
    <t xml:space="preserve">  venda media, nao um minimo cadastrado. O custo de reposicao do minimo agora vem 100% do campo</t>
  </si>
  <si>
    <t xml:space="preserve">  'Sugestao Compras' do proprio Sankhya, cruzado com o status 'Reposicao'.</t>
  </si>
  <si>
    <t xml:space="preserve">- Passei a usar 'Disponivel' + 'Transito' por filial no lugar do campo 'Estoque' do relatorio Curva ABC.</t>
  </si>
  <si>
    <t xml:space="preserve">O diagnostico mudou com a correcao? Praticamente nao.</t>
  </si>
  <si>
    <t xml:space="preserve">O valor total ficou praticamente igual (R$ 19,634,139, era R$ 19.922.839 antes -</t>
  </si>
  <si>
    <t xml:space="preserve">diferenca de menos de 2%). A fatia de estoque problematico (Sem Giro + Excesso) ficou em</t>
  </si>
  <si>
    <t xml:space="preserve">63% do valor - o plano que levamos pra reuniao continua de pe, so os numeros exatos mudaram.</t>
  </si>
  <si>
    <t xml:space="preserve">Ressalvas de qualidade de dado que continuam valendo</t>
  </si>
  <si>
    <t xml:space="preserve">- A coluna 'Curva' da base de estoque por filial nao e confiavel para itens 'E' (quase 90% deles nao tem</t>
  </si>
  <si>
    <t xml:space="preserve">  historico no relatorio Curva ABC). Por isso, toda analise por curva usa a Curva do relatorio Curva ABC.</t>
  </si>
  <si>
    <t xml:space="preserve">- 4 linhas de cada arquivo vieram com quebra de linha dentro da descricao do produto - corrigi juntando</t>
  </si>
  <si>
    <t xml:space="preserve">  as linhas de volta. Textos com acentuacao corrompida tambem foram corrigidos onde possivel.</t>
  </si>
  <si>
    <t xml:space="preserve">Diagnostico - Estoque e Compras</t>
  </si>
  <si>
    <t xml:space="preserve">Valor total em estoque: R$ 19,634,139.44</t>
  </si>
  <si>
    <t xml:space="preserve">1. QUALIDADE DO ESTOQUE (classificacao oficial do Sankhya)</t>
  </si>
  <si>
    <t xml:space="preserve">Estoque classificado 'Sem Giro'</t>
  </si>
  <si>
    <t xml:space="preserve">R$ 7,958,320 - nunca vendeu ou vende tao pouco que nem se calcula giro</t>
  </si>
  <si>
    <t xml:space="preserve">Estoque classificado 'Excesso'</t>
  </si>
  <si>
    <t xml:space="preserve">R$ 4,329,256 - vende, mas estoque desproporcional ao ritmo</t>
  </si>
  <si>
    <t xml:space="preserve">Total problematico (Sem Giro + Excesso)</t>
  </si>
  <si>
    <t xml:space="preserve">Estoque em produtos SEM historico no relatorio Curva ABC</t>
  </si>
  <si>
    <t xml:space="preserve">R$ 4,942,137 - fora do mix que a gente vende normalmente</t>
  </si>
  <si>
    <t xml:space="preserve">2. GIRO DE ESTOQUE</t>
  </si>
  <si>
    <t xml:space="preserve">Giro anual medio (ponderado por valor)</t>
  </si>
  <si>
    <t xml:space="preserve">A media parece ok, mas seria bem maior se o estoque parado estivesse sob controle</t>
  </si>
  <si>
    <t xml:space="preserve">Valor em estoque com giro &lt; 1x/ano</t>
  </si>
  <si>
    <t xml:space="preserve">R$ 3,328,920</t>
  </si>
  <si>
    <t xml:space="preserve">Valor em estoque com giro &lt; 2x/ano</t>
  </si>
  <si>
    <t xml:space="preserve">R$ 5,396,198</t>
  </si>
  <si>
    <t xml:space="preserve">Giro AA / A / B / C / D (x/ano)</t>
  </si>
  <si>
    <t xml:space="preserve">12.9 / 7.1 / 4.4 / 2.3 / 1.0</t>
  </si>
  <si>
    <t xml:space="preserve">Um produto AA deveria girar de 8 a 12x/ano - temos AA girando igual a D</t>
  </si>
  <si>
    <t xml:space="preserve">3. COMPRAS / ESTOQUE MINIMO</t>
  </si>
  <si>
    <t xml:space="preserve">Custo p/ repor Estoque Minimo (Sugestao de Compras do Sankhya)</t>
  </si>
  <si>
    <t xml:space="preserve">So 6.3% do valor total em estoque - nao e falta de minimo (mas 3.653 itens sem minimo cadastrado, alguns AA)</t>
  </si>
  <si>
    <t xml:space="preserve">Custo p/ resolver RUPTURA (itens zerados)</t>
  </si>
  <si>
    <t xml:space="preserve">479 produtos - na minha visao, e prioridade</t>
  </si>
  <si>
    <t xml:space="preserve">Custo p/ itens em REPOSICAO (abaixo do minimo, nao zerados)</t>
  </si>
  <si>
    <t xml:space="preserve">Produtos SEM Estoque Minimo cadastrado no sistema</t>
  </si>
  <si>
    <t xml:space="preserve">Sem minimo definido - sem controle automatico de compra</t>
  </si>
  <si>
    <t xml:space="preserve">4. MIX DE PRODUTOS / PRODUTOS CONCORRENTES</t>
  </si>
  <si>
    <t xml:space="preserve">Estoque em produtos com a MESMA descricao vendidos por 2+ marcas</t>
  </si>
  <si>
    <t xml:space="preserve">R$ 4,426,876 em 1808 grupos - capital duplicado no mesmo item</t>
  </si>
  <si>
    <t xml:space="preserve">Faturamento anual movimentado nesses grupos</t>
  </si>
  <si>
    <t xml:space="preserve">Mostra que a concorrencia de marca acontece em itens relevantes, nao so na cauda</t>
  </si>
  <si>
    <t xml:space="preserve">Resumo de leitura para a reuniao</t>
  </si>
  <si>
    <t xml:space="preserve">- O caixa preso em estoque nao esta preso por falta de minimo: repor tudo que falta custaria so</t>
  </si>
  <si>
    <t xml:space="preserve">  R$ 1.2 milhao (6.3% do estoque). O problema e excesso/estoque parado.</t>
  </si>
  <si>
    <t xml:space="preserve">  Obs.: temos 3.653 itens sem estoque minimo cadastrado.</t>
  </si>
  <si>
    <t xml:space="preserve">- 63% do valor em estoque (cerca de R$ 12.3 milhoes) esta Sem Giro ou em Excesso;</t>
  </si>
  <si>
    <t xml:space="preserve">  R$ 4.9 milhoes disso sao produtos que nem aparecem no relatorio de Curva ABC de vendas -</t>
  </si>
  <si>
    <t xml:space="preserve">  ou seja, fora do mix que a gente vende normalmente.</t>
  </si>
  <si>
    <t xml:space="preserve">- Temos itens de baixo giro dentro das curvas boas: um produto AA deveria girar de 8 a 12x no ano, e temos</t>
  </si>
  <si>
    <t xml:space="preserve">  produto AA girando igual a produto D (media da curva D: 0.99x/ano).</t>
  </si>
  <si>
    <t xml:space="preserve">- R$ 4.43 milhoes (23%) do estoque esta em itens onde 2+ marcas competem pelo mesmo produto.</t>
  </si>
  <si>
    <t xml:space="preserve">Possiveis solucoes</t>
  </si>
  <si>
    <t xml:space="preserve">Prioridade de compras:</t>
  </si>
  <si>
    <t xml:space="preserve">Na minha opiniao, prioridade de compras nao e venda casada, e estancar a Ruptura; depois reposicao de</t>
  </si>
  <si>
    <t xml:space="preserve">itens, e ai sim, se sobrar orcamento, venda casada com historico de vendas. Nao deveriamos aprovar</t>
  </si>
  <si>
    <t xml:space="preserve">automaticamente item de venda casada sem historico - alguem deveria aprovar (sugestao: Gestor de</t>
  </si>
  <si>
    <t xml:space="preserve">Compras), que vai avaliar se temos orcamento disponivel pra assumir esse risco, pra impedir o estoque</t>
  </si>
  <si>
    <t xml:space="preserve">parado de crescer de novo.</t>
  </si>
  <si>
    <t xml:space="preserve">Resolver o estoque parado:</t>
  </si>
  <si>
    <t xml:space="preserve">R$ 8.0M esta classificado Sem Giro pelo proprio Sankhya. Nao vou tratar isso como "estoque",</t>
  </si>
  <si>
    <t xml:space="preserve">vou tratar como um projeto de recuperacao de caixa (lista completa na aba "Estoque Parado").</t>
  </si>
  <si>
    <t xml:space="preserve">- Devolucao a fornecedor: para compras recentes (ultimos 6-12 meses) ainda dentro de politica comercial.</t>
  </si>
  <si>
    <t xml:space="preserve">  Prioridade: itens caros e concentrados (ex.: aqueles R$95K de "DIFERENCIAL VW", R$75K de motor</t>
  </si>
  <si>
    <t xml:space="preserve">  recondicionado - poucos itens, valor alto, vale a ligacao individual).</t>
  </si>
  <si>
    <t xml:space="preserve">- Liquidacao/queima: itens vendaveis mas encalhados, com desconto agressivo ou repasse entre filiais</t>
  </si>
  <si>
    <t xml:space="preserve">  (Varejo RP e Rio Verde estao com percentual alto parado - pode ser que o mix desses pontos esteja</t>
  </si>
  <si>
    <t xml:space="preserve">  errado pra demanda local; vale investigar antes de liquidar, pode ser problema de alocacao, nao de compra).</t>
  </si>
  <si>
    <t xml:space="preserve">- Baixa/descarte contabil: o que sobrar, sem operacao e sem fornecedor disposto a devolver.</t>
  </si>
  <si>
    <t xml:space="preserve">Consertar a politica de minimo, nao so executa-la:</t>
  </si>
  <si>
    <t xml:space="preserve">3.653 produtos nao tem estoque minimo cadastrado. Precisamos decidir, produto a produto, se ele</t>
  </si>
  <si>
    <t xml:space="preserve">permanece no nosso mix ou nao - so depois disso cadastramos o minimo.</t>
  </si>
  <si>
    <t xml:space="preserve">Produtos que concorrem entre si, em marcas diferentes:</t>
  </si>
  <si>
    <t xml:space="preserve">R$ 4.43M em itens onde 2+ marcas competem pelo mesmo produto exato (lista completa na aba "Mix e Produtos concorrentes").</t>
  </si>
  <si>
    <t xml:space="preserve">Analise e trava de orcamento:</t>
  </si>
  <si>
    <t xml:space="preserve">- Rodar esse diagnostico mensalmente, pra acompanhar a variacao dos numeros.</t>
  </si>
  <si>
    <t xml:space="preserve">- Colocar um gatilho no sistema pra travar o orcamento primeiro pra itens sem historico de vendas -</t>
  </si>
  <si>
    <t xml:space="preserve">  ver aba "Orcamento": no ritmo de compra deste mes, nao sobra orcamento nem pra cobrir o minimo.</t>
  </si>
  <si>
    <t xml:space="preserve">Estoque Sem Giro e em Excesso</t>
  </si>
  <si>
    <t xml:space="preserve">Uso a classificacao 'Situacao' que ja vem pronta do Sankhya (Sem Giro / Normal / Excesso).</t>
  </si>
  <si>
    <t xml:space="preserve">Valor Total em Estoque (R$)</t>
  </si>
  <si>
    <t xml:space="preserve">Valor 'Sem Giro' (R$)</t>
  </si>
  <si>
    <t xml:space="preserve">% do estoque total Sem Giro</t>
  </si>
  <si>
    <t xml:space="preserve">Valor 'Excesso' (R$)</t>
  </si>
  <si>
    <t xml:space="preserve">% do estoque total em Excesso</t>
  </si>
  <si>
    <t xml:space="preserve">Por filial - minha leitura de cada uma</t>
  </si>
  <si>
    <t xml:space="preserve">Filial</t>
  </si>
  <si>
    <t xml:space="preserve">Valor Total (R$)</t>
  </si>
  <si>
    <t xml:space="preserve">Valor Sem Giro (R$)</t>
  </si>
  <si>
    <t xml:space="preserve">Estoque Disponivel (R$)</t>
  </si>
  <si>
    <t xml:space="preserve">Valor Excesso (R$)</t>
  </si>
  <si>
    <t xml:space="preserve">% Sem Giro</t>
  </si>
  <si>
    <t xml:space="preserve">% Excesso</t>
  </si>
  <si>
    <t xml:space="preserve">Minha leitura</t>
  </si>
  <si>
    <t xml:space="preserve">MMARRA - RIBEIRAO PRETO (SP)</t>
  </si>
  <si>
    <t xml:space="preserve">Critico</t>
  </si>
  <si>
    <t xml:space="preserve">MMARRA - ITUMBIARA (GO)</t>
  </si>
  <si>
    <t xml:space="preserve">MMARRA - UBERLANDIA (MG)</t>
  </si>
  <si>
    <t xml:space="preserve">MMARRA - VAREJO RIBEIRÃO PRETO (SP)</t>
  </si>
  <si>
    <t xml:space="preserve">Loja Maturando</t>
  </si>
  <si>
    <t xml:space="preserve">MMARRA - RIO VERDE (GO)</t>
  </si>
  <si>
    <t xml:space="preserve">MMARRA - ARACATUBA (SP)</t>
  </si>
  <si>
    <t xml:space="preserve">&lt; Imaterial</t>
  </si>
  <si>
    <t xml:space="preserve">Achado interessante: no relatorio antigo (estoque gerencial), 'Service Ribeirao Preto' e 'Service Aracatuba'</t>
  </si>
  <si>
    <t xml:space="preserve">apareciam como filiais separadas, so com sujeira de sistema (quase tudo parado). No relatorio WMS elas</t>
  </si>
  <si>
    <t xml:space="preserve">somem por completo - ou seja, nao tinham estoque fisico real, so posicao gerencial/virtual. Confirma que</t>
  </si>
  <si>
    <t xml:space="preserve">a correcao pro WMS foi a decisao certa.</t>
  </si>
  <si>
    <t xml:space="preserve">Top 200 itens 'Sem Giro' por valor</t>
  </si>
  <si>
    <t xml:space="preserve">Cod Produto</t>
  </si>
  <si>
    <t xml:space="preserve">Descricao</t>
  </si>
  <si>
    <t xml:space="preserve">Empresa</t>
  </si>
  <si>
    <t xml:space="preserve">Marca</t>
  </si>
  <si>
    <t xml:space="preserve">Curva</t>
  </si>
  <si>
    <t xml:space="preserve">Qtd Estoque WMS</t>
  </si>
  <si>
    <t xml:space="preserve">Venda Ano Ant.</t>
  </si>
  <si>
    <t xml:space="preserve">Custo Unit. (R$)</t>
  </si>
  <si>
    <t xml:space="preserve">Custo x Estoque (R$)</t>
  </si>
  <si>
    <t xml:space="preserve">Ultima Compra</t>
  </si>
  <si>
    <t xml:space="preserve">12012</t>
  </si>
  <si>
    <t xml:space="preserve">DIFERENCIAL VW </t>
  </si>
  <si>
    <t xml:space="preserve">SERVICE PECAS</t>
  </si>
  <si>
    <t xml:space="preserve">E</t>
  </si>
  <si>
    <t xml:space="preserve">12034</t>
  </si>
  <si>
    <t xml:space="preserve">CAIXA DE CAMBIO RT 8908 LL</t>
  </si>
  <si>
    <t xml:space="preserve">12033</t>
  </si>
  <si>
    <t xml:space="preserve">CAIXA DE CAMBIO RT 7608</t>
  </si>
  <si>
    <t xml:space="preserve">257837</t>
  </si>
  <si>
    <t xml:space="preserve">CARCACA EMBREAGEM 395MM 10E RECON  (EMPURRAR) (P.D.M.)</t>
  </si>
  <si>
    <t xml:space="preserve">EATON</t>
  </si>
  <si>
    <t xml:space="preserve">12347</t>
  </si>
  <si>
    <t xml:space="preserve">DIFERENCIAL</t>
  </si>
  <si>
    <t xml:space="preserve">443967</t>
  </si>
  <si>
    <t xml:space="preserve">BUCHA SUSPENSAO PNEUMATICA IBERO Ø 152MM</t>
  </si>
  <si>
    <t xml:space="preserve">THOR</t>
  </si>
  <si>
    <t xml:space="preserve">B</t>
  </si>
  <si>
    <t xml:space="preserve">12014</t>
  </si>
  <si>
    <t xml:space="preserve">CAIXA DE CAMBIO G221</t>
  </si>
  <si>
    <t xml:space="preserve">173690</t>
  </si>
  <si>
    <t xml:space="preserve">CABEÇOTE MOTOR</t>
  </si>
  <si>
    <t xml:space="preserve">285109</t>
  </si>
  <si>
    <t xml:space="preserve">TAMBOR FREIO CARRETA RANDON MODERNO DAF / RANDON / SCANIA / VOLVO</t>
  </si>
  <si>
    <t xml:space="preserve">SUSPENSYS CASTERTECH</t>
  </si>
  <si>
    <t xml:space="preserve">C</t>
  </si>
  <si>
    <t xml:space="preserve">411248</t>
  </si>
  <si>
    <t xml:space="preserve">PINO BALANCA TRASEIRA IDEROL 60X215</t>
  </si>
  <si>
    <t xml:space="preserve">240467</t>
  </si>
  <si>
    <t xml:space="preserve">VIRABREQUIM JONH DEERE 3520</t>
  </si>
  <si>
    <t xml:space="preserve">JOHN DEERE</t>
  </si>
  <si>
    <t xml:space="preserve">357899</t>
  </si>
  <si>
    <t xml:space="preserve">MOTOR C/ PACTO OM352-A C/ CABECOTE &gt;&gt; COM FURO COMPRESSOR LATERAL &lt;&lt;</t>
  </si>
  <si>
    <t xml:space="preserve">AUTOLINEA</t>
  </si>
  <si>
    <t xml:space="preserve">357900</t>
  </si>
  <si>
    <t xml:space="preserve">MOTOR C/ PACTO OM366-A/LA C/ CABECOTE</t>
  </si>
  <si>
    <t xml:space="preserve">12025</t>
  </si>
  <si>
    <t xml:space="preserve">CAIXA CAMBIO RT7608</t>
  </si>
  <si>
    <t xml:space="preserve">MERCEDES BENZ</t>
  </si>
  <si>
    <t xml:space="preserve">460820</t>
  </si>
  <si>
    <t xml:space="preserve">BLOCO MOTOR MBB OM926 SERIE 900</t>
  </si>
  <si>
    <t xml:space="preserve">MWM MASTER</t>
  </si>
  <si>
    <t xml:space="preserve">D</t>
  </si>
  <si>
    <t xml:space="preserve">389737</t>
  </si>
  <si>
    <t xml:space="preserve">PINO REI 13 FUROS ESPECIAL C/ FURO CENTRAL</t>
  </si>
  <si>
    <t xml:space="preserve">CANAPARTS</t>
  </si>
  <si>
    <t xml:space="preserve">202862</t>
  </si>
  <si>
    <t xml:space="preserve">BOMBA INJETORA  (OFICINA)</t>
  </si>
  <si>
    <t xml:space="preserve">461383</t>
  </si>
  <si>
    <t xml:space="preserve">QUINTA RODA EX02 JSK38CXW 205MM S/ SAPATA REP/EXP</t>
  </si>
  <si>
    <t xml:space="preserve">JOST RANDON</t>
  </si>
  <si>
    <t xml:space="preserve">461414</t>
  </si>
  <si>
    <t xml:space="preserve">KIT MOTOR STD PISTAO C/ ABEIS MOTOR FPT CURSORC13 12.9 L 24V SOHV L6 EURO 4 / 5</t>
  </si>
  <si>
    <t xml:space="preserve">KS</t>
  </si>
  <si>
    <t xml:space="preserve">194741</t>
  </si>
  <si>
    <t xml:space="preserve">CONJ. PORTA BICO INJETOR</t>
  </si>
  <si>
    <t xml:space="preserve">MWM</t>
  </si>
  <si>
    <t xml:space="preserve">446525</t>
  </si>
  <si>
    <t xml:space="preserve">CRUZETA CARDAN B49,20 C61,90 D154,70</t>
  </si>
  <si>
    <t xml:space="preserve">MAUTO</t>
  </si>
  <si>
    <t xml:space="preserve">A</t>
  </si>
  <si>
    <t xml:space="preserve">468133</t>
  </si>
  <si>
    <t xml:space="preserve">CABEÇOTE - VOLVO D13D (FH13)  </t>
  </si>
  <si>
    <t xml:space="preserve">240040</t>
  </si>
  <si>
    <t xml:space="preserve">ELEMENTO FILTRO COALESCENTE</t>
  </si>
  <si>
    <t xml:space="preserve">PARKER RACOR</t>
  </si>
  <si>
    <t xml:space="preserve">250039</t>
  </si>
  <si>
    <t xml:space="preserve">JOGO KITAO MOTOR CUMMINS ISL</t>
  </si>
  <si>
    <t xml:space="preserve">CUMMINS</t>
  </si>
  <si>
    <t xml:space="preserve">309696</t>
  </si>
  <si>
    <t xml:space="preserve">KIT STD MOTOR SCANIA DSC11</t>
  </si>
  <si>
    <t xml:space="preserve">MAHLE</t>
  </si>
  <si>
    <t xml:space="preserve">371536</t>
  </si>
  <si>
    <t xml:space="preserve">ELEMENTO FILTRO OLEO COMBUSTIVEL</t>
  </si>
  <si>
    <t xml:space="preserve">AA</t>
  </si>
  <si>
    <t xml:space="preserve">106689</t>
  </si>
  <si>
    <t xml:space="preserve">TENSOR CORREIA C/ POLIA ACO LISA MBB MOTOR OM904 OM906</t>
  </si>
  <si>
    <t xml:space="preserve">29436</t>
  </si>
  <si>
    <t xml:space="preserve">VIRABREQUIM MOTOR MBB OM447 / OM457 EURO 3</t>
  </si>
  <si>
    <t xml:space="preserve">SUSIN</t>
  </si>
  <si>
    <t xml:space="preserve">140897</t>
  </si>
  <si>
    <t xml:space="preserve">CORPO SINCRONIZADOR 3ª MARCHA</t>
  </si>
  <si>
    <t xml:space="preserve">298306</t>
  </si>
  <si>
    <t xml:space="preserve">ELEMENTO FILTRO AR</t>
  </si>
  <si>
    <t xml:space="preserve">DONALDSON</t>
  </si>
  <si>
    <t xml:space="preserve">184047</t>
  </si>
  <si>
    <t xml:space="preserve">CARCACA KIT EMBREAGEM 380MM</t>
  </si>
  <si>
    <t xml:space="preserve">MM EMBREAGEM REMANO</t>
  </si>
  <si>
    <t xml:space="preserve">457216</t>
  </si>
  <si>
    <t xml:space="preserve">KIT EMBREAGEM 400MM MBB ACTROS/ AXOR DUPLA (NOVO)</t>
  </si>
  <si>
    <t xml:space="preserve">MM EMBREAGEM NOVA</t>
  </si>
  <si>
    <t xml:space="preserve">264033</t>
  </si>
  <si>
    <t xml:space="preserve">CAIXA SATELITE COMPLETA</t>
  </si>
  <si>
    <t xml:space="preserve">EUROTECNICA</t>
  </si>
  <si>
    <t xml:space="preserve">287145</t>
  </si>
  <si>
    <t xml:space="preserve">PISTAO COMPLETO STD</t>
  </si>
  <si>
    <t xml:space="preserve">FPT</t>
  </si>
  <si>
    <t xml:space="preserve">309710</t>
  </si>
  <si>
    <t xml:space="preserve">KIT MOTOR STD PISTA ANEIS CAMISA PINO MOTOR DC EURO V SCANIA</t>
  </si>
  <si>
    <t xml:space="preserve">184037</t>
  </si>
  <si>
    <t xml:space="preserve">CARCACA KIT EMBREAGEM 400MM DUPLA</t>
  </si>
  <si>
    <t xml:space="preserve">438420</t>
  </si>
  <si>
    <t xml:space="preserve">VIGA COMPLETA 9090 RED SPC 380/400</t>
  </si>
  <si>
    <t xml:space="preserve">SUSPENSYS RANDON</t>
  </si>
  <si>
    <t xml:space="preserve">347746</t>
  </si>
  <si>
    <t xml:space="preserve">ESTICADOR CORREIA C/ POLIA ACO LISA MBB ACTROS/ AXOR/ O500 / OM457/ 906/ 904/ 926</t>
  </si>
  <si>
    <t xml:space="preserve">470601</t>
  </si>
  <si>
    <t xml:space="preserve">KIT MOTOR STD C/ CAMISA PISTAO ANEIS PINO TRAVA MOTOR MD13 D13A 12.8 L 24V SOHC EURO 4 E 5</t>
  </si>
  <si>
    <t xml:space="preserve">277896</t>
  </si>
  <si>
    <t xml:space="preserve">COMANDO VALVULAS  MBB OM457 6 CIL</t>
  </si>
  <si>
    <t xml:space="preserve">213760</t>
  </si>
  <si>
    <t xml:space="preserve">CABECOTE CUMMINS ISB6 MOTOR ELETRÔNICO / 6 CIL 5.9L 24V / 6 CIL 6.7L 24V</t>
  </si>
  <si>
    <t xml:space="preserve">48126</t>
  </si>
  <si>
    <t xml:space="preserve">CABECOTE CUMMINS 8.3 SERIE C </t>
  </si>
  <si>
    <t xml:space="preserve">24124</t>
  </si>
  <si>
    <t xml:space="preserve">JOGO LONA FREIO TRASEIRO RANDON MODERNA</t>
  </si>
  <si>
    <t xml:space="preserve">COBREQ</t>
  </si>
  <si>
    <t xml:space="preserve">476945</t>
  </si>
  <si>
    <t xml:space="preserve">BICO INJETOR NISSAN FRONTIER 2.5 16V</t>
  </si>
  <si>
    <t xml:space="preserve">DENSO</t>
  </si>
  <si>
    <t xml:space="preserve">18688</t>
  </si>
  <si>
    <t xml:space="preserve">RALA ALTA FURAÇÃO INTERNA 1050MM</t>
  </si>
  <si>
    <t xml:space="preserve">USIMAGOS</t>
  </si>
  <si>
    <t xml:space="preserve">308022</t>
  </si>
  <si>
    <t xml:space="preserve">COMPRESSOR AR CONDICIONADO 24V</t>
  </si>
  <si>
    <t xml:space="preserve">SANDEN USA JPN</t>
  </si>
  <si>
    <t xml:space="preserve">275028</t>
  </si>
  <si>
    <t xml:space="preserve">ELEM. FILTR. P/ ÓLEO LUBRIFICANTE</t>
  </si>
  <si>
    <t xml:space="preserve">FRAM</t>
  </si>
  <si>
    <t xml:space="preserve">409467</t>
  </si>
  <si>
    <t xml:space="preserve">FILTRO SEPARADOR AGUA C/ CABECOTE</t>
  </si>
  <si>
    <t xml:space="preserve">328727</t>
  </si>
  <si>
    <t xml:space="preserve">CASCO COMPLETO DE EMBREAGEM - 395MM</t>
  </si>
  <si>
    <t xml:space="preserve">RP IMPORTS</t>
  </si>
  <si>
    <t xml:space="preserve">169959</t>
  </si>
  <si>
    <t xml:space="preserve">SUPORTE DIANTEIRO SEMI REBOQUE GUERRA</t>
  </si>
  <si>
    <t xml:space="preserve">136466</t>
  </si>
  <si>
    <t xml:space="preserve">KIT MOTOR STD PISTA C/ ANEIS SCANIA ARTICULADO SERIE 4 400CV / 420CV</t>
  </si>
  <si>
    <t xml:space="preserve">169962</t>
  </si>
  <si>
    <t xml:space="preserve">459957</t>
  </si>
  <si>
    <t xml:space="preserve">VIRABREQUIM MBB OM501  V6</t>
  </si>
  <si>
    <t xml:space="preserve">107850</t>
  </si>
  <si>
    <t xml:space="preserve">CAIXA CAMBIO MBB G3/60</t>
  </si>
  <si>
    <t xml:space="preserve">170202</t>
  </si>
  <si>
    <t xml:space="preserve">VIRABREQUIM MOTOR CUMMINS B 4.5</t>
  </si>
  <si>
    <t xml:space="preserve">329316</t>
  </si>
  <si>
    <t xml:space="preserve">VOLANTE MOTOR BI MASSA C/ CREMALHEIRA</t>
  </si>
  <si>
    <t xml:space="preserve">428882</t>
  </si>
  <si>
    <t xml:space="preserve">SUPORTE DIANTEIRO CARRETA USICAMP LD LE</t>
  </si>
  <si>
    <t xml:space="preserve">171775</t>
  </si>
  <si>
    <t xml:space="preserve">PISTAO COM ANEL</t>
  </si>
  <si>
    <t xml:space="preserve">289546</t>
  </si>
  <si>
    <t xml:space="preserve">JOGO PISTOES + ANEIS STD</t>
  </si>
  <si>
    <t xml:space="preserve">312956</t>
  </si>
  <si>
    <t xml:space="preserve">CUBO VISCOSO ELETRONICO SCANIA</t>
  </si>
  <si>
    <t xml:space="preserve">MODEFER</t>
  </si>
  <si>
    <t xml:space="preserve">263791</t>
  </si>
  <si>
    <t xml:space="preserve">CAIXA DE CAMBIO VW 13-170 FS4205A MMARRA</t>
  </si>
  <si>
    <t xml:space="preserve">MM CAMBIO EATON</t>
  </si>
  <si>
    <t xml:space="preserve">476399</t>
  </si>
  <si>
    <t xml:space="preserve">BICO INJETOR GM S10 2.8 16V</t>
  </si>
  <si>
    <t xml:space="preserve">470600</t>
  </si>
  <si>
    <t xml:space="preserve">KIT MOTOR STD PISTAO CAMISA E ANEIS SCANIA MOTOR DC / DSC 11,7LT 24V SOHV L6 / 12,0LT 24V DOHC ? SOHV L6</t>
  </si>
  <si>
    <t xml:space="preserve">143306</t>
  </si>
  <si>
    <t xml:space="preserve">VIGA REDONDA 11T 80/90 BITOLA 1930/1062</t>
  </si>
  <si>
    <t xml:space="preserve">191606</t>
  </si>
  <si>
    <t xml:space="preserve">VIRABREQUIM MOTOR PERKINS PK4236</t>
  </si>
  <si>
    <t xml:space="preserve">309672</t>
  </si>
  <si>
    <t xml:space="preserve">KIT MOTOR STD PISTAO C/ ANEIS MOTOR DC12 12.1L 24V SOHC L6 VOLVO</t>
  </si>
  <si>
    <t xml:space="preserve">477336</t>
  </si>
  <si>
    <t xml:space="preserve">COMPRESSOR AR CONDICONADO MODELO BITZER ONIBUS 4N 647CC</t>
  </si>
  <si>
    <t xml:space="preserve">ROYCE</t>
  </si>
  <si>
    <t xml:space="preserve">247449</t>
  </si>
  <si>
    <t xml:space="preserve">ELEMENTO FILTRO SUCCAO</t>
  </si>
  <si>
    <t xml:space="preserve">309629</t>
  </si>
  <si>
    <t xml:space="preserve">KIT MOTOR STD WS MOTOR OM 447LA / OM 449LA / OM447LA MBB  C/ TOP BRAKE</t>
  </si>
  <si>
    <t xml:space="preserve">148998</t>
  </si>
  <si>
    <t xml:space="preserve">ELEMENTO FILTRO HIDRAULICO</t>
  </si>
  <si>
    <t xml:space="preserve">188220</t>
  </si>
  <si>
    <t xml:space="preserve">JOGO REPARO P/2 CIL</t>
  </si>
  <si>
    <t xml:space="preserve">387716</t>
  </si>
  <si>
    <t xml:space="preserve">TUBO AR</t>
  </si>
  <si>
    <t xml:space="preserve">354881</t>
  </si>
  <si>
    <t xml:space="preserve">SELO VEDACAO P/ FIO 2,0MM - 2,5MM VERDE</t>
  </si>
  <si>
    <t xml:space="preserve">RAINHA DAS SETE</t>
  </si>
  <si>
    <t xml:space="preserve">14777</t>
  </si>
  <si>
    <t xml:space="preserve">SEDE VALVULA ESC CUMMINS SERIE B STD</t>
  </si>
  <si>
    <t xml:space="preserve">RIOSULENSE</t>
  </si>
  <si>
    <t xml:space="preserve">446528</t>
  </si>
  <si>
    <t xml:space="preserve">CRUZETA CARDAN A135,00 B53,00</t>
  </si>
  <si>
    <t xml:space="preserve">173419</t>
  </si>
  <si>
    <t xml:space="preserve">JOGO REPARO P/1 CIL</t>
  </si>
  <si>
    <t xml:space="preserve">462907</t>
  </si>
  <si>
    <t xml:space="preserve">KIT EMBREAGEM VOLVO FH540 AP I-SHIFT ROBOCOP</t>
  </si>
  <si>
    <t xml:space="preserve">298171</t>
  </si>
  <si>
    <t xml:space="preserve">ELEMENTO FILTRO COMBUSTIVEL SEPARADOR AGUA</t>
  </si>
  <si>
    <t xml:space="preserve">462906</t>
  </si>
  <si>
    <t xml:space="preserve">KIT EMBREAGEM SCANIA G540 XT  </t>
  </si>
  <si>
    <t xml:space="preserve">312998</t>
  </si>
  <si>
    <t xml:space="preserve">CONJ. HELICOIDAL SUSPENSAO CABINE CURTA</t>
  </si>
  <si>
    <t xml:space="preserve">BINS</t>
  </si>
  <si>
    <t xml:space="preserve">393522</t>
  </si>
  <si>
    <t xml:space="preserve">KIT STD MOTOR SCANIA DC9 / DC11</t>
  </si>
  <si>
    <t xml:space="preserve">284930</t>
  </si>
  <si>
    <t xml:space="preserve">CONJ. HELICOIDAL SUSPENSAO CABINE</t>
  </si>
  <si>
    <t xml:space="preserve">216253</t>
  </si>
  <si>
    <t xml:space="preserve">VIRABREQUIM ACO FORJADO MOTOR CUMMINS ISL 8.9</t>
  </si>
  <si>
    <t xml:space="preserve">136554</t>
  </si>
  <si>
    <t xml:space="preserve">KIT MOTOR MASTER KITAO C/ PISTOES/ PINOS/ ANEIS/ CAMISAS/ JUNTA SUPERIOR MOTOR ISC 8.3L 24V SOHV L6 MAXI FORCE</t>
  </si>
  <si>
    <t xml:space="preserve">172861</t>
  </si>
  <si>
    <t xml:space="preserve">CAIXA CAMBIO MBB G3/36 REVISADO</t>
  </si>
  <si>
    <t xml:space="preserve">273517</t>
  </si>
  <si>
    <t xml:space="preserve">ENGRENAGEM PLANETARIA 16D 40 ESTRIAS</t>
  </si>
  <si>
    <t xml:space="preserve">EURORICAMBI</t>
  </si>
  <si>
    <t xml:space="preserve">476208</t>
  </si>
  <si>
    <t xml:space="preserve">KIT EMBREAGEM 430MM DAMPER 285</t>
  </si>
  <si>
    <t xml:space="preserve">445062</t>
  </si>
  <si>
    <t xml:space="preserve">VIRABREQUIM CURSOR 9 C9</t>
  </si>
  <si>
    <t xml:space="preserve">360101</t>
  </si>
  <si>
    <t xml:space="preserve">BOMBA AGUA GERADOR VOLVO</t>
  </si>
  <si>
    <t xml:space="preserve">104270</t>
  </si>
  <si>
    <t xml:space="preserve">FILTRO AR PRIMARIO</t>
  </si>
  <si>
    <t xml:space="preserve">FLEETGUARD</t>
  </si>
  <si>
    <t xml:space="preserve">138615</t>
  </si>
  <si>
    <t xml:space="preserve">SUPORTE CENTRAL GUERRA</t>
  </si>
  <si>
    <t xml:space="preserve">9290</t>
  </si>
  <si>
    <t xml:space="preserve">DIFERENCIAL COMPLETO - REPARADA</t>
  </si>
  <si>
    <t xml:space="preserve">VW</t>
  </si>
  <si>
    <t xml:space="preserve">12773</t>
  </si>
  <si>
    <t xml:space="preserve">CABECOTE MOTOR CUMMINS SERIE B / 5.9L  6 CIL</t>
  </si>
  <si>
    <t xml:space="preserve">133804</t>
  </si>
  <si>
    <t xml:space="preserve">JOGO JUNTA MOTOR C/ RETENTOR C/CHG OM457 TAMPA VALVULA SOFT</t>
  </si>
  <si>
    <t xml:space="preserve">ELRING</t>
  </si>
  <si>
    <t xml:space="preserve">138122</t>
  </si>
  <si>
    <t xml:space="preserve">CONJ. SINCRONIZADO 1ª / 2ª / 3ª / 4ª VEL</t>
  </si>
  <si>
    <t xml:space="preserve">444017</t>
  </si>
  <si>
    <t xml:space="preserve">BICO INJETOR TOYOTA HILUX 2.5 16V</t>
  </si>
  <si>
    <t xml:space="preserve">244238</t>
  </si>
  <si>
    <t xml:space="preserve">CABECALHO RODOFORT</t>
  </si>
  <si>
    <t xml:space="preserve">230678</t>
  </si>
  <si>
    <t xml:space="preserve">PROGRAMA DE DIAGNOSTICO</t>
  </si>
  <si>
    <t xml:space="preserve">ZF DO BRASIL</t>
  </si>
  <si>
    <t xml:space="preserve">461665</t>
  </si>
  <si>
    <t xml:space="preserve">SENSOR ROTACAO MOTOR</t>
  </si>
  <si>
    <t xml:space="preserve">267808</t>
  </si>
  <si>
    <t xml:space="preserve">153567</t>
  </si>
  <si>
    <t xml:space="preserve">KIT EMBREAGEM 365MM NOVO CARGO 1722</t>
  </si>
  <si>
    <t xml:space="preserve">312299</t>
  </si>
  <si>
    <t xml:space="preserve">TAMBOR FREIO TRASEIRO RODA DISCO C/ ABA SCANIA S3 / S4</t>
  </si>
  <si>
    <t xml:space="preserve">FUNDIMIG</t>
  </si>
  <si>
    <t xml:space="preserve">137559</t>
  </si>
  <si>
    <t xml:space="preserve">KIT MOTOR MASTER X12 4/6 CIL 4.12TCE / 6.12TCE / 7.2H EURO 3 REPARO P/ 1 CIL</t>
  </si>
  <si>
    <t xml:space="preserve">187054</t>
  </si>
  <si>
    <t xml:space="preserve">KIT MOTOR PISTAO C/ ANEIS STD</t>
  </si>
  <si>
    <t xml:space="preserve">33200</t>
  </si>
  <si>
    <t xml:space="preserve">JOGO LONA FREIO TRASEIRO CARRETA</t>
  </si>
  <si>
    <t xml:space="preserve">LONAFLEX RANDON</t>
  </si>
  <si>
    <t xml:space="preserve">469572</t>
  </si>
  <si>
    <t xml:space="preserve">QUINTA RODA 3,5  COM SAPATA MODELO JSK38C</t>
  </si>
  <si>
    <t xml:space="preserve">FACCHINI</t>
  </si>
  <si>
    <t xml:space="preserve">442972</t>
  </si>
  <si>
    <t xml:space="preserve">TENSOR DE CORREIA POLIA LISA  SCANIA</t>
  </si>
  <si>
    <t xml:space="preserve">DIESEL TECHNIC</t>
  </si>
  <si>
    <t xml:space="preserve">476229</t>
  </si>
  <si>
    <t xml:space="preserve">SERVO EMBREAGEM ATUADOR ELETROHIDRAULICO ECA</t>
  </si>
  <si>
    <t xml:space="preserve">MASTER FLEX RANDON</t>
  </si>
  <si>
    <t xml:space="preserve">446521</t>
  </si>
  <si>
    <t xml:space="preserve">CRUZETA CARDAN A163,90 B57,00</t>
  </si>
  <si>
    <t xml:space="preserve">438610</t>
  </si>
  <si>
    <t xml:space="preserve">CAIXA DE CAMBIO VW 13/ 15/ 17-190 FS5406A</t>
  </si>
  <si>
    <t xml:space="preserve">307920</t>
  </si>
  <si>
    <t xml:space="preserve">KIT MOTOR STD CUMMINS SERIE C 8.3 MECANICO 6 CIL</t>
  </si>
  <si>
    <t xml:space="preserve">136533</t>
  </si>
  <si>
    <t xml:space="preserve">MANGUEIRA ESPIRAL AMARELO PORCA 11/16 MACHO M16 4,50MT</t>
  </si>
  <si>
    <t xml:space="preserve">PETRA TUBOS</t>
  </si>
  <si>
    <t xml:space="preserve">348816</t>
  </si>
  <si>
    <t xml:space="preserve">ALTERNADOR 28V 140A MB</t>
  </si>
  <si>
    <t xml:space="preserve">ZM ELETRICA</t>
  </si>
  <si>
    <t xml:space="preserve">356255</t>
  </si>
  <si>
    <t xml:space="preserve">LANT MULTIFUNCAO LED BIV POS FREIO E DIR</t>
  </si>
  <si>
    <t xml:space="preserve">SINALSUL</t>
  </si>
  <si>
    <t xml:space="preserve">475707</t>
  </si>
  <si>
    <t xml:space="preserve">COMPRESSOR AR BI-CILINDRO MBB AXOR</t>
  </si>
  <si>
    <t xml:space="preserve">SCHULZ</t>
  </si>
  <si>
    <t xml:space="preserve">142473</t>
  </si>
  <si>
    <t xml:space="preserve">ENGRENAGEM SOLAR CUBO REDUTOR 35 DENTES RODOV.AXOR</t>
  </si>
  <si>
    <t xml:space="preserve">MIC</t>
  </si>
  <si>
    <t xml:space="preserve">103505</t>
  </si>
  <si>
    <t xml:space="preserve">481065</t>
  </si>
  <si>
    <t xml:space="preserve">KIT MOTOR PISTAO E CAMISA  STD JOHN DERRE</t>
  </si>
  <si>
    <t xml:space="preserve">472819</t>
  </si>
  <si>
    <t xml:space="preserve">ELETROVENTILADOR AXIAL SOPRANTE 12 POL 24V SPHEROS</t>
  </si>
  <si>
    <t xml:space="preserve">SPAL</t>
  </si>
  <si>
    <t xml:space="preserve">208867</t>
  </si>
  <si>
    <t xml:space="preserve">VIGA REDONDA 13T 80/90 BITOLA 1930/1062 COMPLETA RANDON MODERNA</t>
  </si>
  <si>
    <t xml:space="preserve">189332</t>
  </si>
  <si>
    <t xml:space="preserve">KIT MOTOR STD MWM KITAO TD229-EC6/ EC4 3.9L / 4.0L 8V SOHC SOHV L4 C/ PISTAO/ CAMISA/ ANEIS/ JUNTA CABECOTE/ JUNTA TAMPA</t>
  </si>
  <si>
    <t xml:space="preserve">309701</t>
  </si>
  <si>
    <t xml:space="preserve">KIT STD MOTOR SCANIA DSC11 / DC11</t>
  </si>
  <si>
    <t xml:space="preserve">52218</t>
  </si>
  <si>
    <t xml:space="preserve">309637</t>
  </si>
  <si>
    <t xml:space="preserve">KIT STD MOTOR OM457LA XOR 2035 / 1938 1944</t>
  </si>
  <si>
    <t xml:space="preserve">387580</t>
  </si>
  <si>
    <t xml:space="preserve">BICO INJETOR COMBUSTIVEL</t>
  </si>
  <si>
    <t xml:space="preserve">184569</t>
  </si>
  <si>
    <t xml:space="preserve">ALTERNADOR 24V 60A POLIA 8PK VOLVO VM</t>
  </si>
  <si>
    <t xml:space="preserve">EURO ELETRICA</t>
  </si>
  <si>
    <t xml:space="preserve">236688</t>
  </si>
  <si>
    <t xml:space="preserve">BARRA ACIONAMENTO 1ª / 2ª VEL</t>
  </si>
  <si>
    <t xml:space="preserve">50327</t>
  </si>
  <si>
    <t xml:space="preserve">KIT MOTOR STD CUMMINS SERIE C 8.3 12V MECANICO 6 CIL C/ PISTAO / CAMISA / ANEL / PINO / TRAVA</t>
  </si>
  <si>
    <t xml:space="preserve">13990</t>
  </si>
  <si>
    <t xml:space="preserve">KIT STD MOTOR  CUMMINS SERIE C MAXI FORCA</t>
  </si>
  <si>
    <t xml:space="preserve">25532</t>
  </si>
  <si>
    <t xml:space="preserve">214557</t>
  </si>
  <si>
    <t xml:space="preserve">PISTAO  ANEL PINO TRAVA MOTOR (P.A.P.T.) CUMMINS QSL / ISL</t>
  </si>
  <si>
    <t xml:space="preserve">249200</t>
  </si>
  <si>
    <t xml:space="preserve">VIRABREQUIM MWM X12 6.12TCE VM260 / VM270 / VM330</t>
  </si>
  <si>
    <t xml:space="preserve">393595</t>
  </si>
  <si>
    <t xml:space="preserve">CABECOTE DOS CILINDROS 24V</t>
  </si>
  <si>
    <t xml:space="preserve">254358</t>
  </si>
  <si>
    <t xml:space="preserve">AMORTECEDORES SUSPENSAO TRASEIRA CABINE</t>
  </si>
  <si>
    <t xml:space="preserve">SACHS</t>
  </si>
  <si>
    <t xml:space="preserve">206485</t>
  </si>
  <si>
    <t xml:space="preserve">KIT EMBREAGEM 430MM AUTOMATIZADA PUXAR</t>
  </si>
  <si>
    <t xml:space="preserve">264087</t>
  </si>
  <si>
    <t xml:space="preserve">CONJ. COROA E PINHAO 12X41</t>
  </si>
  <si>
    <t xml:space="preserve">CINPAL</t>
  </si>
  <si>
    <t xml:space="preserve">147784</t>
  </si>
  <si>
    <t xml:space="preserve">VIRABREQUIM MWM X12 6.12TCE</t>
  </si>
  <si>
    <t xml:space="preserve">309628</t>
  </si>
  <si>
    <t xml:space="preserve">KIT STD MOTOR  WS  OM447LA SEM TOP BRAKE</t>
  </si>
  <si>
    <t xml:space="preserve">19999</t>
  </si>
  <si>
    <t xml:space="preserve">114571</t>
  </si>
  <si>
    <t xml:space="preserve">JOGO MAXI FORCA CUMMINS SERIE C</t>
  </si>
  <si>
    <t xml:space="preserve">137430</t>
  </si>
  <si>
    <t xml:space="preserve">CONJ. SINCRONIZADO 4ª / 5ª MARCHA</t>
  </si>
  <si>
    <t xml:space="preserve">477312</t>
  </si>
  <si>
    <t xml:space="preserve">COMPRESSOR AR CONDICIONADO 24V POLIA 8PK 114MM</t>
  </si>
  <si>
    <t xml:space="preserve">MAUTO AR</t>
  </si>
  <si>
    <t xml:space="preserve">18325</t>
  </si>
  <si>
    <t xml:space="preserve">CAIXA DIFERENCIAL POSTERIOR</t>
  </si>
  <si>
    <t xml:space="preserve">MERITOR</t>
  </si>
  <si>
    <t xml:space="preserve">285250</t>
  </si>
  <si>
    <t xml:space="preserve">472937</t>
  </si>
  <si>
    <t xml:space="preserve">ELETROVENTILADOR ELETRONICO CENTRIFUGO 12V SPRINTER</t>
  </si>
  <si>
    <t xml:space="preserve">312996</t>
  </si>
  <si>
    <t xml:space="preserve">CONJ. HELICOIDAL SUSPENSAO CABINE LEITO</t>
  </si>
  <si>
    <t xml:space="preserve">29341</t>
  </si>
  <si>
    <t xml:space="preserve">KIT MOTOR STD PISTAO C/ ANEIS MBB MOTOR OM447LA / OM449A / OM449LA S/ TOP BRAKE</t>
  </si>
  <si>
    <t xml:space="preserve">318123</t>
  </si>
  <si>
    <t xml:space="preserve">CABECOTE MOTOR SEM RESSALTO MB457</t>
  </si>
  <si>
    <t xml:space="preserve">105653</t>
  </si>
  <si>
    <t xml:space="preserve">CABECOTE MOTOR SCANIA DS11</t>
  </si>
  <si>
    <t xml:space="preserve">MARINGA</t>
  </si>
  <si>
    <t xml:space="preserve">312249</t>
  </si>
  <si>
    <t xml:space="preserve">COMPRESSOR AR CONDICIONADO 12V</t>
  </si>
  <si>
    <t xml:space="preserve">463818</t>
  </si>
  <si>
    <t xml:space="preserve">CAIXA DE CAMBIO VW DELIVERY ESO6206A</t>
  </si>
  <si>
    <t xml:space="preserve">247165</t>
  </si>
  <si>
    <t xml:space="preserve">COMANDO VALVULA MOTOR OM457</t>
  </si>
  <si>
    <t xml:space="preserve">259348</t>
  </si>
  <si>
    <t xml:space="preserve">CONJ. COROA E PINHAO 3.73/1 41x11</t>
  </si>
  <si>
    <t xml:space="preserve">188192</t>
  </si>
  <si>
    <t xml:space="preserve">CONJ. VOLANTE C/ CREMALHEIRA</t>
  </si>
  <si>
    <t xml:space="preserve">173661</t>
  </si>
  <si>
    <t xml:space="preserve">EIXO INTERMEDIARIO GRS905/ 925R12/ 20D</t>
  </si>
  <si>
    <t xml:space="preserve">213739</t>
  </si>
  <si>
    <t xml:space="preserve">CABECOTE DOS CILINDROS</t>
  </si>
  <si>
    <t xml:space="preserve">267588</t>
  </si>
  <si>
    <t xml:space="preserve">EIXO INTERMEDIARIO 22/ 29/ 12/ 12 DENTES ANTIGO</t>
  </si>
  <si>
    <t xml:space="preserve">29428</t>
  </si>
  <si>
    <t xml:space="preserve">VIRABREQUIM MOTOR MBB OM352 6 CIL VEDACAO GACHETA CURSO 128,0 MM</t>
  </si>
  <si>
    <t xml:space="preserve">472825</t>
  </si>
  <si>
    <t xml:space="preserve">ELETROVENTILADOR UNIVERSAL ASPIRANTE 11 POL 12V</t>
  </si>
  <si>
    <t xml:space="preserve">191332</t>
  </si>
  <si>
    <t xml:space="preserve">TURBO ALIMENTADOR VW 8.140E DELIVERY - MWM 4.8TCE</t>
  </si>
  <si>
    <t xml:space="preserve">206488</t>
  </si>
  <si>
    <t xml:space="preserve">KIT EMBREAGEM 395MM</t>
  </si>
  <si>
    <t xml:space="preserve">463634</t>
  </si>
  <si>
    <t xml:space="preserve">CAIXA DIRECAO HIDRAULICA</t>
  </si>
  <si>
    <t xml:space="preserve">INDISA</t>
  </si>
  <si>
    <t xml:space="preserve">441779</t>
  </si>
  <si>
    <t xml:space="preserve">SUPORTE PARA-LAMA RODA DIANTEIRA FORD CARGO 2429 LD MET</t>
  </si>
  <si>
    <t xml:space="preserve">FIBRASBONFANTI</t>
  </si>
  <si>
    <t xml:space="preserve">19098</t>
  </si>
  <si>
    <t xml:space="preserve">CONJ. CAIXA SATELITE COMPLETA 3.42 - 4.10</t>
  </si>
  <si>
    <t xml:space="preserve">479117</t>
  </si>
  <si>
    <t xml:space="preserve">ALTERNADOR 24V 140A MB LADO DIREITO T1</t>
  </si>
  <si>
    <t xml:space="preserve">246937</t>
  </si>
  <si>
    <t xml:space="preserve">COMPRESSOR AR MOTOR MAN D08</t>
  </si>
  <si>
    <t xml:space="preserve">WABCO</t>
  </si>
  <si>
    <t xml:space="preserve">109166</t>
  </si>
  <si>
    <t xml:space="preserve">COMPRESSOR AR CONDICIONADO 24V POLIA 8PK SCANIA</t>
  </si>
  <si>
    <t xml:space="preserve">299957</t>
  </si>
  <si>
    <t xml:space="preserve">ELEMENTO FILTRO OLEO HIDRAULICO</t>
  </si>
  <si>
    <t xml:space="preserve">340578</t>
  </si>
  <si>
    <t xml:space="preserve">RALA ALTA FURACAO INTERNA 1200MM</t>
  </si>
  <si>
    <t xml:space="preserve">SILPA</t>
  </si>
  <si>
    <t xml:space="preserve">214599</t>
  </si>
  <si>
    <t xml:space="preserve">JOGO MAXI FORCA</t>
  </si>
  <si>
    <t xml:space="preserve">309703</t>
  </si>
  <si>
    <t xml:space="preserve">KIT MOTOR STD PISTAO C/ ANEIS SCANIA MOTOR 12L 24V DOHC / SOHV / DC1201 / DS12 /  DSC1202</t>
  </si>
  <si>
    <t xml:space="preserve">454461</t>
  </si>
  <si>
    <t xml:space="preserve">37880</t>
  </si>
  <si>
    <t xml:space="preserve">ESTICADOR CORREIA C/ POLIA ACO LISA MBB OM604/ 906</t>
  </si>
  <si>
    <t xml:space="preserve">195547</t>
  </si>
  <si>
    <t xml:space="preserve">VIRABREQUIM MOTOR MWM  X12 // 4 CIL</t>
  </si>
  <si>
    <t xml:space="preserve">230306</t>
  </si>
  <si>
    <t xml:space="preserve">EIXO PRINCIPAL CAIXA 6S-420</t>
  </si>
  <si>
    <t xml:space="preserve">109920</t>
  </si>
  <si>
    <t xml:space="preserve">BUCHA REDUTOR CAIXA CAMBIO G-210 / G-240</t>
  </si>
  <si>
    <t xml:space="preserve">160721</t>
  </si>
  <si>
    <t xml:space="preserve">KIT REPARO CUBO REDUTOR PARCIAL</t>
  </si>
  <si>
    <t xml:space="preserve">188673</t>
  </si>
  <si>
    <t xml:space="preserve">VIRABREQUIM MOTOR</t>
  </si>
  <si>
    <t xml:space="preserve">475649</t>
  </si>
  <si>
    <t xml:space="preserve">CONDENSADOR FLUXO PARALELO MBB</t>
  </si>
  <si>
    <t xml:space="preserve">308376</t>
  </si>
  <si>
    <t xml:space="preserve">JOGO ANEIS STD MOTOR</t>
  </si>
  <si>
    <t xml:space="preserve">472938</t>
  </si>
  <si>
    <t xml:space="preserve">ELETROVENTILADOR ELETRONICO EBERSPACHER 24V UNIVERSAL</t>
  </si>
  <si>
    <t xml:space="preserve">472909</t>
  </si>
  <si>
    <t xml:space="preserve">ELETROVENTILADOR ELETRONICO ASPIRANTE 12 POLEGADA 24V CHICOTE 3 FIOS CATERPILLAR</t>
  </si>
  <si>
    <t xml:space="preserve">472925</t>
  </si>
  <si>
    <t xml:space="preserve">ELETROVENTILADOR CENTRIFUGO 12V JOHN DEERE</t>
  </si>
  <si>
    <t xml:space="preserve">318417</t>
  </si>
  <si>
    <t xml:space="preserve">KIT STD MOTOR CUMMINS ISL 8.9</t>
  </si>
  <si>
    <t xml:space="preserve">476525</t>
  </si>
  <si>
    <t xml:space="preserve">ELETROVENTILADOR ASPIRANTE 12 POL AXIAL 24V THERMO KING</t>
  </si>
  <si>
    <t xml:space="preserve">472823</t>
  </si>
  <si>
    <t xml:space="preserve">ELETROVENTILADOR AXIAL ASPIRANTE 11 POL 12V UNIPOINT</t>
  </si>
  <si>
    <t xml:space="preserve">12007</t>
  </si>
  <si>
    <t xml:space="preserve">CX. TRANSF. GV500</t>
  </si>
  <si>
    <t xml:space="preserve">163353</t>
  </si>
  <si>
    <t xml:space="preserve">ENGRENAGEM 1ª VEL EIXO PRINCIPAL</t>
  </si>
  <si>
    <t xml:space="preserve">273516</t>
  </si>
  <si>
    <t xml:space="preserve">ENGRENAGEM SATELITE 11D</t>
  </si>
  <si>
    <t xml:space="preserve">245079</t>
  </si>
  <si>
    <t xml:space="preserve">VIRABREQUIM ACO FORJADO MOTOR CUMMINS ISB/QSB 6.7 6 CIL</t>
  </si>
  <si>
    <t xml:space="preserve">256673</t>
  </si>
  <si>
    <t xml:space="preserve">CONJ. COROA E PINHAO DIFERENCIAL 10X31</t>
  </si>
  <si>
    <t xml:space="preserve">200110</t>
  </si>
  <si>
    <t xml:space="preserve">PORTA CABINE LE</t>
  </si>
  <si>
    <t xml:space="preserve">LNG</t>
  </si>
  <si>
    <t xml:space="preserve">233239</t>
  </si>
  <si>
    <t xml:space="preserve">JOGO VEDACAO</t>
  </si>
  <si>
    <t xml:space="preserve">267620</t>
  </si>
  <si>
    <t xml:space="preserve">ENGRENAGEM 3ª VEL FIXA 33D</t>
  </si>
  <si>
    <t xml:space="preserve">167257</t>
  </si>
  <si>
    <t xml:space="preserve">TURBINA TURBO ALIMENTADOR</t>
  </si>
  <si>
    <t xml:space="preserve">BORGWARNER TURBINAS</t>
  </si>
  <si>
    <t xml:space="preserve">185050</t>
  </si>
  <si>
    <t xml:space="preserve">RADIADOR AGUA VOLVO FERRO</t>
  </si>
  <si>
    <t xml:space="preserve">APS</t>
  </si>
  <si>
    <t xml:space="preserve">183307</t>
  </si>
  <si>
    <t xml:space="preserve">Top 150 itens em 'Excesso' por valor</t>
  </si>
  <si>
    <t xml:space="preserve">Venda 90d</t>
  </si>
  <si>
    <t xml:space="preserve">Dias Cobertura</t>
  </si>
  <si>
    <t xml:space="preserve">452803</t>
  </si>
  <si>
    <t xml:space="preserve">CUICA FREIO 30X30 ROSCA M16 X 1,5 HASTE LONGA 330MM</t>
  </si>
  <si>
    <t xml:space="preserve">255792</t>
  </si>
  <si>
    <t xml:space="preserve">TAMBOR FREIO TRASEIRO S/ CUBO MBB</t>
  </si>
  <si>
    <t xml:space="preserve">TOME</t>
  </si>
  <si>
    <t xml:space="preserve">255783</t>
  </si>
  <si>
    <t xml:space="preserve">TAMBOR FREIO DIANTEIRO MBB ACTROS / AXOR</t>
  </si>
  <si>
    <t xml:space="preserve">161237</t>
  </si>
  <si>
    <t xml:space="preserve">PONTEIRA CABECALHO ROSCA 48MM SEM BUCHA RANDON</t>
  </si>
  <si>
    <t xml:space="preserve">446522</t>
  </si>
  <si>
    <t xml:space="preserve">CRUZETA CARDAN B47,60 C59,00 D134,80</t>
  </si>
  <si>
    <t xml:space="preserve">446517</t>
  </si>
  <si>
    <t xml:space="preserve">CRUZETA CARDAN 5515X SERIE 1710</t>
  </si>
  <si>
    <t xml:space="preserve">460763</t>
  </si>
  <si>
    <t xml:space="preserve">CADEADO VS13 GRAU 8 (ELO DE UNIÃO)</t>
  </si>
  <si>
    <t xml:space="preserve">MAUTO CORRENTES</t>
  </si>
  <si>
    <t xml:space="preserve">261482</t>
  </si>
  <si>
    <t xml:space="preserve">KIT ELEMENTO FILTRO OLEO COMBUSTIVEL</t>
  </si>
  <si>
    <t xml:space="preserve">283118</t>
  </si>
  <si>
    <t xml:space="preserve">249061</t>
  </si>
  <si>
    <t xml:space="preserve">161775</t>
  </si>
  <si>
    <t xml:space="preserve">KIT DISCO FRICCAO JSK39 C/ PARAFUSOS</t>
  </si>
  <si>
    <t xml:space="preserve">159850</t>
  </si>
  <si>
    <t xml:space="preserve">BATENTE MOLA SUSPENSAO TRASEIRA VOLVO FH/FM/NH 6X4</t>
  </si>
  <si>
    <t xml:space="preserve">REI</t>
  </si>
  <si>
    <t xml:space="preserve">163954</t>
  </si>
  <si>
    <t xml:space="preserve">TERMINAL FURO 3/16'' ( 5,2 MM )</t>
  </si>
  <si>
    <t xml:space="preserve">149124</t>
  </si>
  <si>
    <t xml:space="preserve">ELEMENTO FILTRO OLEO DIESEL 35 MICRA</t>
  </si>
  <si>
    <t xml:space="preserve">394315</t>
  </si>
  <si>
    <t xml:space="preserve">BANDEJA SUSPENSAO DIANTEIRA INFERIOR LE C/ BUCHA S/ PIVO</t>
  </si>
  <si>
    <t xml:space="preserve">NAKATA</t>
  </si>
  <si>
    <t xml:space="preserve">28045</t>
  </si>
  <si>
    <t xml:space="preserve">KIT MOTOR STD CUMMINS SERIE C 6 CT/ 6CTAA 8.3 L 12V SOHV L6 MAXI FORCA 6 CIL</t>
  </si>
  <si>
    <t xml:space="preserve">325484</t>
  </si>
  <si>
    <t xml:space="preserve">LANTERNA 19 LEDS TRASEIRA UNIVERSAL FREIO POSICAO RE E PISCA BIVOLT TRICOLOR</t>
  </si>
  <si>
    <t xml:space="preserve">PRADOLUX</t>
  </si>
  <si>
    <t xml:space="preserve">448906</t>
  </si>
  <si>
    <t xml:space="preserve">MOLA FEIXE 1 DIANTEIRA MB ATEGO 1729/1730 80X29X860X940</t>
  </si>
  <si>
    <t xml:space="preserve">CINDUMEL</t>
  </si>
  <si>
    <t xml:space="preserve">15809</t>
  </si>
  <si>
    <t xml:space="preserve">EIXO EXPANSOR Z 28E 606,2MM</t>
  </si>
  <si>
    <t xml:space="preserve">MASTER RANDON</t>
  </si>
  <si>
    <t xml:space="preserve">240259</t>
  </si>
  <si>
    <t xml:space="preserve">LINGA CORRENTE 700MM DE 13MM COM ACESSORIO SEGURANCA</t>
  </si>
  <si>
    <t xml:space="preserve">209856</t>
  </si>
  <si>
    <t xml:space="preserve">CATRACA FREIO MANUAL 28E 3 FUROS CH14</t>
  </si>
  <si>
    <t xml:space="preserve">15810</t>
  </si>
  <si>
    <t xml:space="preserve">EIXO EXPANSOR S 28E 606,2MM</t>
  </si>
  <si>
    <t xml:space="preserve">52447</t>
  </si>
  <si>
    <t xml:space="preserve">BUCHA TIRANTE RANDON 2000 S/ PINO</t>
  </si>
  <si>
    <t xml:space="preserve">297851</t>
  </si>
  <si>
    <t xml:space="preserve">169955</t>
  </si>
  <si>
    <t xml:space="preserve">SUPORTE DIANTEIRO RANDON 2000 SUSPENSYS</t>
  </si>
  <si>
    <t xml:space="preserve">206685</t>
  </si>
  <si>
    <t xml:space="preserve">PONTEIRA COM BUCHA - ROSCA M48 - CORPO Ø58,5MM</t>
  </si>
  <si>
    <t xml:space="preserve">452792</t>
  </si>
  <si>
    <t xml:space="preserve">CATRACA FREIO AUTOMATICA TRASEIRO 28E C/ KIT FORQUILHA</t>
  </si>
  <si>
    <t xml:space="preserve">247988</t>
  </si>
  <si>
    <t xml:space="preserve">VIRABREQUIM VOLVO D13 FH / FMX</t>
  </si>
  <si>
    <t xml:space="preserve">108607</t>
  </si>
  <si>
    <t xml:space="preserve">KIT EMBREAGEM 395MM C/ MURINGA C/ PRE</t>
  </si>
  <si>
    <t xml:space="preserve">305273</t>
  </si>
  <si>
    <t xml:space="preserve">DIPS  DIPOSITIVO INDICADOR PORCA SOLTA CH33  VERDE ESP</t>
  </si>
  <si>
    <t xml:space="preserve">ZM</t>
  </si>
  <si>
    <t xml:space="preserve">281377</t>
  </si>
  <si>
    <t xml:space="preserve">RETENTOR CUBO RODA TRASEIRA ALTA PERFORMANCE RANDON</t>
  </si>
  <si>
    <t xml:space="preserve">SABO</t>
  </si>
  <si>
    <t xml:space="preserve">147501</t>
  </si>
  <si>
    <t xml:space="preserve">ELEMENTO FILTRO COMBUSTIVEL E SEPARADOR AGUA</t>
  </si>
  <si>
    <t xml:space="preserve">307462</t>
  </si>
  <si>
    <t xml:space="preserve">SIRENE DE MARCHA RE SINAL BLINDADA RESISTENTE A AGUA - 12V A 36V E 120DB</t>
  </si>
  <si>
    <t xml:space="preserve">DNI</t>
  </si>
  <si>
    <t xml:space="preserve">52502</t>
  </si>
  <si>
    <t xml:space="preserve">OLEO MOTOR 15W40 E700 API CI-4  20LT BALDE</t>
  </si>
  <si>
    <t xml:space="preserve">VALVOLINE</t>
  </si>
  <si>
    <t xml:space="preserve">230907</t>
  </si>
  <si>
    <t xml:space="preserve">CATRACA FREIO AUTOMATICA TRASEIRO 28E SEM KIT FORQUILHA PISTAO BRANCO</t>
  </si>
  <si>
    <t xml:space="preserve">146951</t>
  </si>
  <si>
    <t xml:space="preserve">ELEMENTO FILTRO COMBUSTIVEL</t>
  </si>
  <si>
    <t xml:space="preserve">137216</t>
  </si>
  <si>
    <t xml:space="preserve">355025</t>
  </si>
  <si>
    <t xml:space="preserve">TERMINAL FEMEA 6.3 POSITIVE LOCK FIO 1,0 A 2,5MM ESTANHADO</t>
  </si>
  <si>
    <t xml:space="preserve">103442</t>
  </si>
  <si>
    <t xml:space="preserve">ELEMENTO FILTRO OLEO LUBRIFICANTE</t>
  </si>
  <si>
    <t xml:space="preserve">452791</t>
  </si>
  <si>
    <t xml:space="preserve">145100</t>
  </si>
  <si>
    <t xml:space="preserve">LINGA CORRENTE 3,5MT DE 13MM C/ ACESSORIOS SEGURANÇA</t>
  </si>
  <si>
    <t xml:space="preserve">340311</t>
  </si>
  <si>
    <t xml:space="preserve">ANEL SINCRONIZADO GP</t>
  </si>
  <si>
    <t xml:space="preserve">301687</t>
  </si>
  <si>
    <t xml:space="preserve">PONTEIRA CABECALHO ROSCA 45MM S/ BUCHA FNV</t>
  </si>
  <si>
    <t xml:space="preserve">266291</t>
  </si>
  <si>
    <t xml:space="preserve">BOMBA INJECAO COMBUSTIVEL</t>
  </si>
  <si>
    <t xml:space="preserve">392859</t>
  </si>
  <si>
    <t xml:space="preserve">SAPATA PATIM FREIO OTIMIZADO 16,5X8" QPLUS S/ ROLETE DAF</t>
  </si>
  <si>
    <t xml:space="preserve">13230</t>
  </si>
  <si>
    <t xml:space="preserve">KITAO MOTOR CUMMINS S/C 24250/35300</t>
  </si>
  <si>
    <t xml:space="preserve">367995</t>
  </si>
  <si>
    <t xml:space="preserve">FAROL TRABALHO OVAL 24W C/ 8 LEDS</t>
  </si>
  <si>
    <t xml:space="preserve">20591</t>
  </si>
  <si>
    <t xml:space="preserve">BARRA DIRECAO CURTA 945MM UMA PONTA PARA CIMA OUTRA LADO ESQUERDO</t>
  </si>
  <si>
    <t xml:space="preserve">276748</t>
  </si>
  <si>
    <t xml:space="preserve">317847</t>
  </si>
  <si>
    <t xml:space="preserve">CONJ. FILTRO BOMBA ARLA COMPLETO DAF</t>
  </si>
  <si>
    <t xml:space="preserve">MANN FILTER</t>
  </si>
  <si>
    <t xml:space="preserve">460764</t>
  </si>
  <si>
    <t xml:space="preserve">ELO DE SEGURANCA ES-22 (ANELAO) AMARELO</t>
  </si>
  <si>
    <t xml:space="preserve">101763</t>
  </si>
  <si>
    <t xml:space="preserve">TAMBOR FREIO TRASEIRO 10 FUROS VOLVO FH/ FM/ NH</t>
  </si>
  <si>
    <t xml:space="preserve">DURAMETAL</t>
  </si>
  <si>
    <t xml:space="preserve">104793</t>
  </si>
  <si>
    <t xml:space="preserve">TAMBOR FREIO TRASEIRO / DIANTEIRO 10F FORD CARGO / VW / VM</t>
  </si>
  <si>
    <t xml:space="preserve">446516</t>
  </si>
  <si>
    <t xml:space="preserve">CRUZETA CARDAN A57,20 B38,00</t>
  </si>
  <si>
    <t xml:space="preserve">160754</t>
  </si>
  <si>
    <t xml:space="preserve">KIT FILTRO COMBUSTIVEL DIESEL COMPLETO COPO</t>
  </si>
  <si>
    <t xml:space="preserve">160592</t>
  </si>
  <si>
    <t xml:space="preserve">TOMADA DE FORCA VOLVO CX - VT </t>
  </si>
  <si>
    <t xml:space="preserve">TAKARADA</t>
  </si>
  <si>
    <t xml:space="preserve">172234</t>
  </si>
  <si>
    <t xml:space="preserve">CONJ. CORPO ENGATE AUTOMATICO PINO Ø50,8MM MONTADO</t>
  </si>
  <si>
    <t xml:space="preserve">475281</t>
  </si>
  <si>
    <t xml:space="preserve">CUICA FREIO 30" SIMPLES HASTE LONGA 270MM ROSCA HASTE M16X1,5MM</t>
  </si>
  <si>
    <t xml:space="preserve">302711</t>
  </si>
  <si>
    <t xml:space="preserve">101322</t>
  </si>
  <si>
    <t xml:space="preserve">TAMBOR FREIO TRASEIRO CARRETA 5 / 6 FUROS 8"</t>
  </si>
  <si>
    <t xml:space="preserve">HIPPER FREIOS</t>
  </si>
  <si>
    <t xml:space="preserve">476506</t>
  </si>
  <si>
    <t xml:space="preserve">171595</t>
  </si>
  <si>
    <t xml:space="preserve">PINO REI 2</t>
  </si>
  <si>
    <t xml:space="preserve">355034</t>
  </si>
  <si>
    <t xml:space="preserve">TERMINAL FEMEA 6.3 COM TRAVA FIO 0,75 - 2,5 ESTANHADO</t>
  </si>
  <si>
    <t xml:space="preserve">357720</t>
  </si>
  <si>
    <t xml:space="preserve">LANTERNA TRASEIRA C/ VIGIA E LED BIVOLT TRICOLOR</t>
  </si>
  <si>
    <t xml:space="preserve">GF</t>
  </si>
  <si>
    <t xml:space="preserve">17167</t>
  </si>
  <si>
    <t xml:space="preserve">CONJ. CAIXA SATELITES COMPLETA</t>
  </si>
  <si>
    <t xml:space="preserve">219024</t>
  </si>
  <si>
    <t xml:space="preserve">POLIA AMORTECEDOR DE VIBRACOES</t>
  </si>
  <si>
    <t xml:space="preserve">254362</t>
  </si>
  <si>
    <t xml:space="preserve">AMORTECEDOR SUSPENSAO TRASEIRO CABINE</t>
  </si>
  <si>
    <t xml:space="preserve">465172</t>
  </si>
  <si>
    <t xml:space="preserve">ELEMENTO FILTRO AR PRIMARIO MOTOR MBB POWERCORE</t>
  </si>
  <si>
    <t xml:space="preserve">182322</t>
  </si>
  <si>
    <t xml:space="preserve">KIT ELEMENTO FILTRO ARLA / UREIA</t>
  </si>
  <si>
    <t xml:space="preserve">248137</t>
  </si>
  <si>
    <t xml:space="preserve">ELEMENTO FILTRO AR EXTERNO</t>
  </si>
  <si>
    <t xml:space="preserve">211455</t>
  </si>
  <si>
    <t xml:space="preserve">ELEMENTO FILTRO AR CABINE</t>
  </si>
  <si>
    <t xml:space="preserve">13260</t>
  </si>
  <si>
    <t xml:space="preserve">CONJ. MANCAL TRASEIRO COMPLETO</t>
  </si>
  <si>
    <t xml:space="preserve">297807</t>
  </si>
  <si>
    <t xml:space="preserve">446518</t>
  </si>
  <si>
    <t xml:space="preserve">CRUZETA CARDAN A126,00 B41,20</t>
  </si>
  <si>
    <t xml:space="preserve">126964</t>
  </si>
  <si>
    <t xml:space="preserve">JOGO JUNTA INFERIOR  CUMMINS ISC 8.3 C/ RETENTOR</t>
  </si>
  <si>
    <t xml:space="preserve">306025</t>
  </si>
  <si>
    <t xml:space="preserve">RETENTOR RODA TRASEIRA CARRETA 3º EIXO 127X165,1X16MM</t>
  </si>
  <si>
    <t xml:space="preserve">TXT RETENTORES</t>
  </si>
  <si>
    <t xml:space="preserve">18985</t>
  </si>
  <si>
    <t xml:space="preserve">BUCHA CONICA EIXO TANDEN VOLVO FH / FM / VM</t>
  </si>
  <si>
    <t xml:space="preserve">447735</t>
  </si>
  <si>
    <t xml:space="preserve">455653</t>
  </si>
  <si>
    <t xml:space="preserve">ESTRIBO PISANTE CABINE LD LE MBB AXOR</t>
  </si>
  <si>
    <t xml:space="preserve">263340</t>
  </si>
  <si>
    <t xml:space="preserve">DIPS  DIPOSITIVO INDICADOR PORCA SOLTA CH32  AMARELO ESP</t>
  </si>
  <si>
    <t xml:space="preserve">166399</t>
  </si>
  <si>
    <t xml:space="preserve">ELEMENTO FILTRO HIDRAULICO 4 MICRAS</t>
  </si>
  <si>
    <t xml:space="preserve">166618</t>
  </si>
  <si>
    <t xml:space="preserve">48467</t>
  </si>
  <si>
    <t xml:space="preserve">VIRABREQUIM ACO FORJADO MOTOR CUMMINS SERIE C8.3 6 CIL ASPIRADO, TURBO E TURBO/INTERCOOLER / SEM ENGRENAGEM</t>
  </si>
  <si>
    <t xml:space="preserve">167018</t>
  </si>
  <si>
    <t xml:space="preserve">ENGATE RAPIDO AR FEMEA M16</t>
  </si>
  <si>
    <t xml:space="preserve">ENGATCAR F</t>
  </si>
  <si>
    <t xml:space="preserve">298926</t>
  </si>
  <si>
    <t xml:space="preserve">PRE FILTRO AR</t>
  </si>
  <si>
    <t xml:space="preserve">21036</t>
  </si>
  <si>
    <t xml:space="preserve">CUBO RODA CARRETA C/ ABS ANTONINI RANDON RODOVIARIO KRONE</t>
  </si>
  <si>
    <t xml:space="preserve">CERCENA</t>
  </si>
  <si>
    <t xml:space="preserve">144255</t>
  </si>
  <si>
    <t xml:space="preserve">FEIXE MOLA FEIXE CARRETA RANDON 1991.../ 90X11X540X540MM</t>
  </si>
  <si>
    <t xml:space="preserve">302783</t>
  </si>
  <si>
    <t xml:space="preserve">CUBO RODA RANDON OUTBOARD</t>
  </si>
  <si>
    <t xml:space="preserve">309683</t>
  </si>
  <si>
    <t xml:space="preserve">431252</t>
  </si>
  <si>
    <t xml:space="preserve">340310</t>
  </si>
  <si>
    <t xml:space="preserve">ANEL SINCRONIZADO</t>
  </si>
  <si>
    <t xml:space="preserve">305184</t>
  </si>
  <si>
    <t xml:space="preserve">PARAFUSO RODA TRASEIRA RECARTILHADO 22X110</t>
  </si>
  <si>
    <t xml:space="preserve">194093</t>
  </si>
  <si>
    <t xml:space="preserve">CONJ. EIXO COMANDO VALVULAS</t>
  </si>
  <si>
    <t xml:space="preserve">173822</t>
  </si>
  <si>
    <t xml:space="preserve">VIRABREQUIM CUMMINS ISB 4 CILINDROS</t>
  </si>
  <si>
    <t xml:space="preserve">134057</t>
  </si>
  <si>
    <t xml:space="preserve">BARRA REACAO (PINOS DUPLO) - 585 MM</t>
  </si>
  <si>
    <t xml:space="preserve">ZL ZUCOLLO</t>
  </si>
  <si>
    <t xml:space="preserve">259255</t>
  </si>
  <si>
    <t xml:space="preserve">COMPRESSOR AR BICILINDRO VOLVO FH13</t>
  </si>
  <si>
    <t xml:space="preserve">213220</t>
  </si>
  <si>
    <t xml:space="preserve">BIELA MOTOR CUMMINS  QSL ISL 6C RETA</t>
  </si>
  <si>
    <t xml:space="preserve">476507</t>
  </si>
  <si>
    <t xml:space="preserve">325548</t>
  </si>
  <si>
    <t xml:space="preserve">LANTERNA TRASEIRA TIPO MBB ACTROS LD SEM SIRENE RE EM ACRILICO</t>
  </si>
  <si>
    <t xml:space="preserve">151394</t>
  </si>
  <si>
    <t xml:space="preserve">160350</t>
  </si>
  <si>
    <t xml:space="preserve">CAMARA SERVICO FREIO ESTACIONARIO 24/30</t>
  </si>
  <si>
    <t xml:space="preserve">27031</t>
  </si>
  <si>
    <t xml:space="preserve">CONECTOR MACHO RAPIDO OD 10 mm x 16</t>
  </si>
  <si>
    <t xml:space="preserve">MDM CONEXOES</t>
  </si>
  <si>
    <t xml:space="preserve">446524</t>
  </si>
  <si>
    <t xml:space="preserve">CRUZETA CARDAN A160,90 B48,00</t>
  </si>
  <si>
    <t xml:space="preserve">305261</t>
  </si>
  <si>
    <t xml:space="preserve">PARAFUSO PINO TENSOR RANDON 2000 </t>
  </si>
  <si>
    <t xml:space="preserve">448907</t>
  </si>
  <si>
    <t xml:space="preserve">MOLA FEIXE 2 DIANTEIRA MB ATEGO 1729/1730 80X29X860X865</t>
  </si>
  <si>
    <t xml:space="preserve">53727</t>
  </si>
  <si>
    <t xml:space="preserve">KIT MASTER MOTOR KITAO MWM D229/TD229 C/ CAMISA/ANEIS/BUCHA PISTAO/BUCHA E BRONZINA BIELA 0,25/JUNTA CABECOTE/ JUNTA TAM</t>
  </si>
  <si>
    <t xml:space="preserve">309730</t>
  </si>
  <si>
    <t xml:space="preserve">KIT MOTOR STD PISTAO C/ ANEIS MBB MOTOR OM447LA / OM449A / OM449LA C/ TOP BRAKE</t>
  </si>
  <si>
    <t xml:space="preserve">172288</t>
  </si>
  <si>
    <t xml:space="preserve">FITA REFLETIVA SNT 0,05X0,30 M LD</t>
  </si>
  <si>
    <t xml:space="preserve">AVERY DENNISON</t>
  </si>
  <si>
    <t xml:space="preserve">143310</t>
  </si>
  <si>
    <t xml:space="preserve">393887</t>
  </si>
  <si>
    <t xml:space="preserve">ROLETE PATIM 35MM 55X35X19</t>
  </si>
  <si>
    <t xml:space="preserve">249123</t>
  </si>
  <si>
    <t xml:space="preserve">FITA REFLETIVA SNT 0,05X0,30 M LE</t>
  </si>
  <si>
    <t xml:space="preserve">166805</t>
  </si>
  <si>
    <t xml:space="preserve">ANEL PISTA CARRETA RANDON MASTER</t>
  </si>
  <si>
    <t xml:space="preserve">USILUX</t>
  </si>
  <si>
    <t xml:space="preserve">184254</t>
  </si>
  <si>
    <t xml:space="preserve">FAIXA PRISM VEICULO LONGO 800X2300M</t>
  </si>
  <si>
    <t xml:space="preserve">124536</t>
  </si>
  <si>
    <t xml:space="preserve">BOMBA OLEO CUMMINS SERIE C ISC ELETRONICO</t>
  </si>
  <si>
    <t xml:space="preserve">439613</t>
  </si>
  <si>
    <t xml:space="preserve">RODA 8,25 X 22,5 10 FUROS EM ALUMINIO S/ CAMARA C/ BICO</t>
  </si>
  <si>
    <t xml:space="preserve">390616</t>
  </si>
  <si>
    <t xml:space="preserve">LANTERNA LED LATERAL BIVOLT C/ CABOS 8,5MM AMARELA</t>
  </si>
  <si>
    <t xml:space="preserve">5473</t>
  </si>
  <si>
    <t xml:space="preserve">KIT MOTOR STD PISTAO C/ ANEIS PINO TRAVA 106MM 3 CANALETAS C/ GALERIA OLEO</t>
  </si>
  <si>
    <t xml:space="preserve">476523</t>
  </si>
  <si>
    <t xml:space="preserve">ELETROVENTILADOR CENTRIFUGO 24V</t>
  </si>
  <si>
    <t xml:space="preserve">307598</t>
  </si>
  <si>
    <t xml:space="preserve">JOGO REPARO COMPLETO VALVULA RELE (RE-4 - COM 3 SAIDAS)</t>
  </si>
  <si>
    <t xml:space="preserve">QUINELATO</t>
  </si>
  <si>
    <t xml:space="preserve">48628</t>
  </si>
  <si>
    <t xml:space="preserve">FRUM</t>
  </si>
  <si>
    <t xml:space="preserve">302744</t>
  </si>
  <si>
    <t xml:space="preserve">REVESTIMENTO EMBREAGEM</t>
  </si>
  <si>
    <t xml:space="preserve">FRAS-LE REVESTIMENTO</t>
  </si>
  <si>
    <t xml:space="preserve">340295</t>
  </si>
  <si>
    <t xml:space="preserve">ANEL SINCRONIZADO 1ª / 2ª VEL</t>
  </si>
  <si>
    <t xml:space="preserve">386747</t>
  </si>
  <si>
    <t xml:space="preserve">BIELA DO MOTOR (ANGULO 45°)</t>
  </si>
  <si>
    <t xml:space="preserve">477463</t>
  </si>
  <si>
    <t xml:space="preserve">ALTERNADOR 24V 150A BIDIRECIONAL MARCOPOLO G7/G8</t>
  </si>
  <si>
    <t xml:space="preserve">COM/MAUTO</t>
  </si>
  <si>
    <t xml:space="preserve">105617</t>
  </si>
  <si>
    <t xml:space="preserve">KIT PISTAO C/ ANEIS STD</t>
  </si>
  <si>
    <t xml:space="preserve">146816</t>
  </si>
  <si>
    <t xml:space="preserve">ELEMENTO FILTRO OLEO LUBRIFICANTE MOTOR</t>
  </si>
  <si>
    <t xml:space="preserve">461817</t>
  </si>
  <si>
    <t xml:space="preserve">MOLA FEIXE 1ª TRASEIRA BOGIE 100X20X770X770MM MBB AXOR 3340/ 3344</t>
  </si>
  <si>
    <t xml:space="preserve">AESA</t>
  </si>
  <si>
    <t xml:space="preserve">282202</t>
  </si>
  <si>
    <t xml:space="preserve">COXIM TRASEIRA SUSPENSAO CAMBIO</t>
  </si>
  <si>
    <t xml:space="preserve">460767</t>
  </si>
  <si>
    <t xml:space="preserve">GANCHO OLHAL 5 TONELADAS C/TRAVA</t>
  </si>
  <si>
    <t xml:space="preserve">8175</t>
  </si>
  <si>
    <t xml:space="preserve">EIXO ENTRADA DIFERENCIAL 59,5MM</t>
  </si>
  <si>
    <t xml:space="preserve">209769</t>
  </si>
  <si>
    <t xml:space="preserve">PINO REI 3 12 FUROS</t>
  </si>
  <si>
    <t xml:space="preserve">446526</t>
  </si>
  <si>
    <t xml:space="preserve">CRUZETA CARDAN A194,10 B49,20 C61,90 D191,80</t>
  </si>
  <si>
    <t xml:space="preserve">446514</t>
  </si>
  <si>
    <t xml:space="preserve">CRUZETA CARDAN A106,10 B34,90</t>
  </si>
  <si>
    <t xml:space="preserve">101323</t>
  </si>
  <si>
    <t xml:space="preserve">103223</t>
  </si>
  <si>
    <t xml:space="preserve">EIXO GARFO EMBREAGEM</t>
  </si>
  <si>
    <t xml:space="preserve">305700</t>
  </si>
  <si>
    <t xml:space="preserve">DIPS DIPOSITIVO INDICADOR PORCA SOLTA CH32 - VERMELHO</t>
  </si>
  <si>
    <t xml:space="preserve">312438</t>
  </si>
  <si>
    <t xml:space="preserve">325549</t>
  </si>
  <si>
    <t xml:space="preserve">LANTERNA TRASEIRA TIPO MB ACTROS LE COM VIGIA EM ACRILICO</t>
  </si>
  <si>
    <t xml:space="preserve">393047</t>
  </si>
  <si>
    <t xml:space="preserve">8557</t>
  </si>
  <si>
    <t xml:space="preserve">SEMI EIXO TRASEIRO 41E 8F 1047MM DIFERENCIAL 240</t>
  </si>
  <si>
    <t xml:space="preserve">265215</t>
  </si>
  <si>
    <t xml:space="preserve">FLANGE 180MM</t>
  </si>
  <si>
    <t xml:space="preserve">173030</t>
  </si>
  <si>
    <t xml:space="preserve">PINO TENSOR CARRETA FNV</t>
  </si>
  <si>
    <t xml:space="preserve">21418</t>
  </si>
  <si>
    <t xml:space="preserve">ELEMENTO FILTRO CENTRIFUGO OLEO LUBRIFICANTE</t>
  </si>
  <si>
    <t xml:space="preserve">29007</t>
  </si>
  <si>
    <t xml:space="preserve">JUNTA TAMPA CUBO CARRETA 04 FUROS MAIOR</t>
  </si>
  <si>
    <t xml:space="preserve">JUNTAS SANTA CRUZ</t>
  </si>
  <si>
    <t xml:space="preserve">415211</t>
  </si>
  <si>
    <t xml:space="preserve">BALANCA CARRETA FACCHINI ASA DELTA 60MM</t>
  </si>
  <si>
    <t xml:space="preserve">319064</t>
  </si>
  <si>
    <t xml:space="preserve">RADIADOR AGUA 1270X175X995MM BRASADO </t>
  </si>
  <si>
    <t xml:space="preserve">MAHLE BEHR</t>
  </si>
  <si>
    <t xml:space="preserve">Giro de Estoque (rede)</t>
  </si>
  <si>
    <t xml:space="preserve">Giro anual medio ponderado por valor</t>
  </si>
  <si>
    <t xml:space="preserve">Valor com giro &lt; 1x/ano (R$)</t>
  </si>
  <si>
    <t xml:space="preserve">% do estoque com giro &lt; 1x/ano</t>
  </si>
  <si>
    <t xml:space="preserve">Valor com giro &lt; 2x/ano (R$)</t>
  </si>
  <si>
    <t xml:space="preserve">% do estoque com giro &lt; 2x/ano</t>
  </si>
  <si>
    <t xml:space="preserve">Valor com giro &lt; 4x/ano (R$)</t>
  </si>
  <si>
    <t xml:space="preserve">% do estoque com giro &lt; 4x/ano</t>
  </si>
  <si>
    <t xml:space="preserve">Giro medio ponderado por Curva (um AA deveria girar de 8 a 12x/ano)</t>
  </si>
  <si>
    <t xml:space="preserve">Giro Anual Medio</t>
  </si>
  <si>
    <t xml:space="preserve">Top 100: Curva AA/A/B com giro &lt; 2x/ano - deveriam girar rapido, estao presos</t>
  </si>
  <si>
    <t xml:space="preserve">Produto</t>
  </si>
  <si>
    <t xml:space="preserve">Giro Anual</t>
  </si>
  <si>
    <t xml:space="preserve">Disponivel Total</t>
  </si>
  <si>
    <t xml:space="preserve">Valor Disp Est (R$)</t>
  </si>
  <si>
    <t xml:space="preserve">Custo Unit Origem</t>
  </si>
  <si>
    <t xml:space="preserve">produto</t>
  </si>
  <si>
    <t xml:space="preserve">166858</t>
  </si>
  <si>
    <t xml:space="preserve">ELEMENTO FILTRO AR POWERCORE</t>
  </si>
  <si>
    <t xml:space="preserve">260269</t>
  </si>
  <si>
    <t xml:space="preserve">PISTAO COM ANEL MOTOR CUMMINS - SEM PINO</t>
  </si>
  <si>
    <t xml:space="preserve">292141</t>
  </si>
  <si>
    <t xml:space="preserve">FILTRO COMBUSTIVEL</t>
  </si>
  <si>
    <t xml:space="preserve">CNH NEXPRO</t>
  </si>
  <si>
    <t xml:space="preserve">261195</t>
  </si>
  <si>
    <t xml:space="preserve">542</t>
  </si>
  <si>
    <t xml:space="preserve">KIT EMBREAGEM 330MM 10E S/ MANCAL</t>
  </si>
  <si>
    <t xml:space="preserve">263660</t>
  </si>
  <si>
    <t xml:space="preserve">JUNTA CUBO RODA CARRETA 5 FUROS MODERNA MENOR</t>
  </si>
  <si>
    <t xml:space="preserve">20834</t>
  </si>
  <si>
    <t xml:space="preserve">CABECOTE MOTOR MWM D229 ASPIRADO</t>
  </si>
  <si>
    <t xml:space="preserve">446512</t>
  </si>
  <si>
    <t xml:space="preserve">CRUZETA CARDAN A92,00 B27,00</t>
  </si>
  <si>
    <t xml:space="preserve">25167</t>
  </si>
  <si>
    <t xml:space="preserve">JOGO LONA FREIO</t>
  </si>
  <si>
    <t xml:space="preserve">110477</t>
  </si>
  <si>
    <t xml:space="preserve">BOMBA AGUA MOTOR CUMMINS SERIE C ELETRONICO</t>
  </si>
  <si>
    <t xml:space="preserve">282185</t>
  </si>
  <si>
    <t xml:space="preserve">BATENTE COXIM SUSPENSAO CABINE</t>
  </si>
  <si>
    <t xml:space="preserve">255776</t>
  </si>
  <si>
    <t xml:space="preserve">CUBO RODA RANDON 2016 ...</t>
  </si>
  <si>
    <t xml:space="preserve">166988</t>
  </si>
  <si>
    <t xml:space="preserve">TRAVA ARANHA RANDON 80MM</t>
  </si>
  <si>
    <t xml:space="preserve">166989</t>
  </si>
  <si>
    <t xml:space="preserve">TRAVA ARANHA CARRETA 90MM</t>
  </si>
  <si>
    <t xml:space="preserve">148159</t>
  </si>
  <si>
    <t xml:space="preserve">390462</t>
  </si>
  <si>
    <t xml:space="preserve">JUNTA CUBO MAIOR RANDON 5 FUROS A PARTIR 07 / 2018</t>
  </si>
  <si>
    <t xml:space="preserve">50117</t>
  </si>
  <si>
    <t xml:space="preserve">CILINDRO MESTRE FREIO DUPLO MB 1313/ 1513/ 2013</t>
  </si>
  <si>
    <t xml:space="preserve">TRW VARGA</t>
  </si>
  <si>
    <t xml:space="preserve">359096</t>
  </si>
  <si>
    <t xml:space="preserve">AMORTECEDOR LATERAL CABINE (TRANSVERSAL)  MBB AXOR</t>
  </si>
  <si>
    <t xml:space="preserve">MONROE</t>
  </si>
  <si>
    <t xml:space="preserve">150419</t>
  </si>
  <si>
    <t xml:space="preserve">129028</t>
  </si>
  <si>
    <t xml:space="preserve">TERMINAL ARTICULACAO ROSCA DIREITA VARAO CAMBIO MBB AXOR</t>
  </si>
  <si>
    <t xml:space="preserve">MM BK</t>
  </si>
  <si>
    <t xml:space="preserve">106501</t>
  </si>
  <si>
    <t xml:space="preserve">RETENTOR VALVULA ADMISSAO / ESCAPE  </t>
  </si>
  <si>
    <t xml:space="preserve">306924</t>
  </si>
  <si>
    <t xml:space="preserve">PORCA SEXTAVADA DUPLA 3/4 UNF CH 1.1/16 POL</t>
  </si>
  <si>
    <t xml:space="preserve">FEY</t>
  </si>
  <si>
    <t xml:space="preserve">209925</t>
  </si>
  <si>
    <t xml:space="preserve">12559</t>
  </si>
  <si>
    <t xml:space="preserve">CREMALHEIRA CUMMINS SERIE B MECANICO / ELETRONICO 6 CILINDRO</t>
  </si>
  <si>
    <t xml:space="preserve">171266</t>
  </si>
  <si>
    <t xml:space="preserve">BALANCIM VALVULA ADM/ ESC MOTOR MWM 229 / X10 / X12</t>
  </si>
  <si>
    <t xml:space="preserve">138605</t>
  </si>
  <si>
    <t xml:space="preserve">CONJ. ESPELHO COMPLETO LD S/ DESEMBACADOR</t>
  </si>
  <si>
    <t xml:space="preserve">FABBOF</t>
  </si>
  <si>
    <t xml:space="preserve">24417</t>
  </si>
  <si>
    <t xml:space="preserve">TAMBOR FREIO CARRETA GUERRA 06 FUROS</t>
  </si>
  <si>
    <t xml:space="preserve">257520</t>
  </si>
  <si>
    <t xml:space="preserve">TAMBOR FREIO TRASEIRO FREIO OLEO MBB 1313 / 2013 / 2213</t>
  </si>
  <si>
    <t xml:space="preserve">147107</t>
  </si>
  <si>
    <t xml:space="preserve">ELEMENTO FILTRO OLEO DIESEL</t>
  </si>
  <si>
    <t xml:space="preserve">135672</t>
  </si>
  <si>
    <t xml:space="preserve">COTOVELO MACHO OD.8 mm x 12 x 1,5 mm</t>
  </si>
  <si>
    <t xml:space="preserve">460762</t>
  </si>
  <si>
    <t xml:space="preserve">GANCHO OLHAL 3 TONELADAS C/ TRAVA</t>
  </si>
  <si>
    <t xml:space="preserve">151518</t>
  </si>
  <si>
    <t xml:space="preserve">147824</t>
  </si>
  <si>
    <t xml:space="preserve">141366</t>
  </si>
  <si>
    <t xml:space="preserve">ELEMENTO FILTRO AR SECUNDARIO</t>
  </si>
  <si>
    <t xml:space="preserve">144937</t>
  </si>
  <si>
    <t xml:space="preserve">126257</t>
  </si>
  <si>
    <t xml:space="preserve">TERMINAL ALAVANCA CAMBIO M14X1,50MM </t>
  </si>
  <si>
    <t xml:space="preserve">143340</t>
  </si>
  <si>
    <t xml:space="preserve">PISTAO E ANEIS</t>
  </si>
  <si>
    <t xml:space="preserve">307439</t>
  </si>
  <si>
    <t xml:space="preserve">TAMBOR FREIO TRASEIRO IVECO EUROCARGO TECTOR 240E25</t>
  </si>
  <si>
    <t xml:space="preserve">107790</t>
  </si>
  <si>
    <t xml:space="preserve">ENGATE RAPIDO 1/2 MACHO</t>
  </si>
  <si>
    <t xml:space="preserve">452801</t>
  </si>
  <si>
    <t xml:space="preserve">CATRACA FREIO MANUAL TRASEIRA LD / LE 26 ESTRIAS 1 FURO CH19</t>
  </si>
  <si>
    <t xml:space="preserve">263659</t>
  </si>
  <si>
    <t xml:space="preserve">ANEL VEDACAO CUBO RODA FACCHINI</t>
  </si>
  <si>
    <t xml:space="preserve">141327</t>
  </si>
  <si>
    <t xml:space="preserve">JOGO ANEIS PISTAO</t>
  </si>
  <si>
    <t xml:space="preserve">124019</t>
  </si>
  <si>
    <t xml:space="preserve">PORCA CARRETA RANDON 80MM INTERNO</t>
  </si>
  <si>
    <t xml:space="preserve">52901</t>
  </si>
  <si>
    <t xml:space="preserve">JOGO PASTILHA FREIO DIANTEIRO / TRASEIRO 185X84X34MM / 173,4X84,3X27MM MBB</t>
  </si>
  <si>
    <t xml:space="preserve">33812</t>
  </si>
  <si>
    <t xml:space="preserve">ENGATE RAPIDO AR MACHO M16</t>
  </si>
  <si>
    <t xml:space="preserve">481078</t>
  </si>
  <si>
    <t xml:space="preserve">LANTERNA PISCA DIANTEIRA TIPO MB AXOR S/ SOQUETE LD LED</t>
  </si>
  <si>
    <t xml:space="preserve">SEM MARCA</t>
  </si>
  <si>
    <t xml:space="preserve">124036</t>
  </si>
  <si>
    <t xml:space="preserve">BUCHA DIANTEIRA PONTEIRA MODERNA</t>
  </si>
  <si>
    <t xml:space="preserve">JOCAN</t>
  </si>
  <si>
    <t xml:space="preserve">147879</t>
  </si>
  <si>
    <t xml:space="preserve">ELEMENTO FILTRO HIDRAULICO 11 MICRAS</t>
  </si>
  <si>
    <t xml:space="preserve">205840</t>
  </si>
  <si>
    <t xml:space="preserve">KIT FILTRO BOMBA ARLA 32 VOLVO / IVECO</t>
  </si>
  <si>
    <t xml:space="preserve">114342</t>
  </si>
  <si>
    <t xml:space="preserve">BUCHA BARRA ESTABILIZADORA DIANTEIRA / TRASEIRA </t>
  </si>
  <si>
    <t xml:space="preserve">MDM COXIM</t>
  </si>
  <si>
    <t xml:space="preserve">481077</t>
  </si>
  <si>
    <t xml:space="preserve">LANTERNA PISCA DIANTEIRA TIPO MB AXOR S/ SOQUETE LE LED</t>
  </si>
  <si>
    <t xml:space="preserve">160594</t>
  </si>
  <si>
    <t xml:space="preserve">448009</t>
  </si>
  <si>
    <t xml:space="preserve">TERMINAL DIRECAO LD</t>
  </si>
  <si>
    <t xml:space="preserve">DESIL</t>
  </si>
  <si>
    <t xml:space="preserve">259499</t>
  </si>
  <si>
    <t xml:space="preserve">ELEMENTO FILTRO AR SEGURANCA</t>
  </si>
  <si>
    <t xml:space="preserve">32102</t>
  </si>
  <si>
    <t xml:space="preserve">ELEMENTO FILTRO APU SECADOR AR SCANIA SERIE 4</t>
  </si>
  <si>
    <t xml:space="preserve">147771</t>
  </si>
  <si>
    <t xml:space="preserve">438341</t>
  </si>
  <si>
    <t xml:space="preserve">ROLAMENTO ROLOS CONICOS 32216</t>
  </si>
  <si>
    <t xml:space="preserve">159715</t>
  </si>
  <si>
    <t xml:space="preserve">446515</t>
  </si>
  <si>
    <t xml:space="preserve">CRUZETA CARDAN A106,30 B30,10</t>
  </si>
  <si>
    <t xml:space="preserve">127042</t>
  </si>
  <si>
    <t xml:space="preserve">SEDE VALVULA ADMISSAO MWM X12</t>
  </si>
  <si>
    <t xml:space="preserve">282175</t>
  </si>
  <si>
    <t xml:space="preserve">BUCHA ARTICULACAO CABINE</t>
  </si>
  <si>
    <t xml:space="preserve">305262</t>
  </si>
  <si>
    <t xml:space="preserve">PARAFUSO RODA 22X95X103 FNV/TECTRAN CORPO 1"</t>
  </si>
  <si>
    <t xml:space="preserve">244874</t>
  </si>
  <si>
    <t xml:space="preserve">BARRA LATERAL 940,00MM</t>
  </si>
  <si>
    <t xml:space="preserve">310609</t>
  </si>
  <si>
    <t xml:space="preserve">194785</t>
  </si>
  <si>
    <t xml:space="preserve">JUNTA RESFRIADOR OLEO LUBRIFICANTE MOTOR MWM</t>
  </si>
  <si>
    <t xml:space="preserve">297833</t>
  </si>
  <si>
    <t xml:space="preserve">266066</t>
  </si>
  <si>
    <t xml:space="preserve">SELANTE CAMISA</t>
  </si>
  <si>
    <t xml:space="preserve">142077</t>
  </si>
  <si>
    <t xml:space="preserve">FOLE SUSPENSOR ENCAIXE GRANDE 290F   </t>
  </si>
  <si>
    <t xml:space="preserve">JARFLEX</t>
  </si>
  <si>
    <t xml:space="preserve">Curva ABC (rede)</t>
  </si>
  <si>
    <t xml:space="preserve">Qtd SKUs</t>
  </si>
  <si>
    <t xml:space="preserve">Faturamento (R$)</t>
  </si>
  <si>
    <t xml:space="preserve">Valor em Estoque (R$)</t>
  </si>
  <si>
    <t xml:space="preserve">% Faturamento</t>
  </si>
  <si>
    <t xml:space="preserve">% Estoque</t>
  </si>
  <si>
    <t xml:space="preserve">Rank Faturamento</t>
  </si>
  <si>
    <t xml:space="preserve">Rank Estoque</t>
  </si>
  <si>
    <t xml:space="preserve">Leitura</t>
  </si>
  <si>
    <t xml:space="preserve">Proporcional</t>
  </si>
  <si>
    <t xml:space="preserve">Desproporcional</t>
  </si>
  <si>
    <t xml:space="preserve">Minha leitura: Curva AA responde por 44% do faturamento com so 24% do valor em estoque - eficiente e proporcional.</t>
  </si>
  <si>
    <t xml:space="preserve">Curva C e D estao desproporcionais - ocupam mais espaco no estoque do que o peso delas no faturamento justifica.</t>
  </si>
  <si>
    <t xml:space="preserve">Curva A tambem sai desproporcional, mas no sentido bom (pouco estoque para o faturamento que gera).</t>
  </si>
  <si>
    <t xml:space="preserve">Curva E nao aparece: os itens 'E' da base de estoque por filial nao tem historico no relatorio Curva ABC.</t>
  </si>
  <si>
    <t xml:space="preserve">Custo para repor o Estoque Minimo (rede)</t>
  </si>
  <si>
    <t xml:space="preserve">Fonte: Sugestao de Compras + status Reposicao, os dois direto do Sankhya.</t>
  </si>
  <si>
    <t xml:space="preserve">Custo total (Sugestao de Compras do Sankhya x Custo Unit.)</t>
  </si>
  <si>
    <t xml:space="preserve">Nao uso mais o campo Est.Min por filial - confirmamos que ele calcula errado</t>
  </si>
  <si>
    <t xml:space="preserve">% do valor total em estoque</t>
  </si>
  <si>
    <t xml:space="preserve">Por status de reposicao</t>
  </si>
  <si>
    <t xml:space="preserve">Status</t>
  </si>
  <si>
    <t xml:space="preserve">Qtd Produtos</t>
  </si>
  <si>
    <t xml:space="preserve">Custo Estimado (R$)</t>
  </si>
  <si>
    <t xml:space="preserve">RUPTURA</t>
  </si>
  <si>
    <t xml:space="preserve">REPOSICAO</t>
  </si>
  <si>
    <t xml:space="preserve">OK COMPRADO</t>
  </si>
  <si>
    <t xml:space="preserve">SEM EST. MINIMO</t>
  </si>
  <si>
    <t xml:space="preserve">OK</t>
  </si>
  <si>
    <t xml:space="preserve">RUPTURA: Zerado em pelo menos 1 filial onde deveria ter minimo - risco de venda perdida, prioridade alta</t>
  </si>
  <si>
    <t xml:space="preserve">REPOSICAO: Abaixo do minimo mas nao zerado</t>
  </si>
  <si>
    <t xml:space="preserve">OK COMPRADO: Abaixo do minimo mas ja tem compra em transito/pedido cobrindo</t>
  </si>
  <si>
    <t xml:space="preserve">SEM EST. MINIMO: Sem minimo cadastrado no sistema - sem controle automatico de compra</t>
  </si>
  <si>
    <t xml:space="preserve">OK: Estoque no minimo ou acima</t>
  </si>
  <si>
    <t xml:space="preserve">Top 100 RUPTURA por custo de reposicao - minha prioridade</t>
  </si>
  <si>
    <t xml:space="preserve">Faturamento</t>
  </si>
  <si>
    <t xml:space="preserve">Sugestao Compras</t>
  </si>
  <si>
    <t xml:space="preserve">260712</t>
  </si>
  <si>
    <t xml:space="preserve">FLUIDO REFRIGERANTE R134A CILINDRO 13,6 KG EOS</t>
  </si>
  <si>
    <t xml:space="preserve">EOS</t>
  </si>
  <si>
    <t xml:space="preserve">141560</t>
  </si>
  <si>
    <t xml:space="preserve">CUBO RODA LISO CARRETA RANDON EIXO 8090 S/ ROLAMENTO</t>
  </si>
  <si>
    <t xml:space="preserve">estimado (marca/curva/rede)</t>
  </si>
  <si>
    <t xml:space="preserve">8994</t>
  </si>
  <si>
    <t xml:space="preserve">VIRABREQUIM MBB OM906 6 CIL C/ FLANGE 103MM</t>
  </si>
  <si>
    <t xml:space="preserve">359242</t>
  </si>
  <si>
    <t xml:space="preserve">AMORTECEDOR SUSPENSAO CARRETA RANDON TRASEIRO</t>
  </si>
  <si>
    <t xml:space="preserve">SUSPENSYS CARGOPARTS</t>
  </si>
  <si>
    <t xml:space="preserve">22034</t>
  </si>
  <si>
    <t xml:space="preserve">ELEMENTO FILTRO AR CATERPILLAR</t>
  </si>
  <si>
    <t xml:space="preserve">UNIFILTER</t>
  </si>
  <si>
    <t xml:space="preserve">460782</t>
  </si>
  <si>
    <t xml:space="preserve">CAIXA DE CAMBIO FTS 16108 &gt;&gt; RECOM &lt;&lt;</t>
  </si>
  <si>
    <t xml:space="preserve">12026</t>
  </si>
  <si>
    <t xml:space="preserve">CAIXA DE CAMBIO - REPARADA </t>
  </si>
  <si>
    <t xml:space="preserve">477173</t>
  </si>
  <si>
    <t xml:space="preserve">COXIM DIANTEIRA MOTOR MB ACTROS LD</t>
  </si>
  <si>
    <t xml:space="preserve">173831</t>
  </si>
  <si>
    <t xml:space="preserve">VIRABREQUIM MBB OM906 6 CIL FLANGE 98MM</t>
  </si>
  <si>
    <t xml:space="preserve">29442</t>
  </si>
  <si>
    <t xml:space="preserve">VIRABREQUIM MOTOR SCANIA</t>
  </si>
  <si>
    <t xml:space="preserve">101786</t>
  </si>
  <si>
    <t xml:space="preserve">TAMBOR FREIO DIANTEIRO VOLVO FH / NH / FM</t>
  </si>
  <si>
    <t xml:space="preserve">393274</t>
  </si>
  <si>
    <t xml:space="preserve">ELEMENTO FILTRO AR PRIMARIO</t>
  </si>
  <si>
    <t xml:space="preserve">309595</t>
  </si>
  <si>
    <t xml:space="preserve">KIT MOTOR STD PISTAO C/ ANEIS MOTOR VALTRA 320DS TURBO/ 420DS/ 420DSA/ 420DS TURBO/ 620DS/ 620DSA/ 620DSR</t>
  </si>
  <si>
    <t xml:space="preserve">141370</t>
  </si>
  <si>
    <t xml:space="preserve">310186</t>
  </si>
  <si>
    <t xml:space="preserve">VIRABREQUIM MOTOR MB  OM457  EURO 5  6 CIL</t>
  </si>
  <si>
    <t xml:space="preserve">22095</t>
  </si>
  <si>
    <t xml:space="preserve">CILINDRO AUXILIAR EMBREAGEM MBB 915/ 1016/ ATEGO Ø 28,58 M14X1,0MM</t>
  </si>
  <si>
    <t xml:space="preserve">394768</t>
  </si>
  <si>
    <t xml:space="preserve">SERVO MBF-015 S/ KIT</t>
  </si>
  <si>
    <t xml:space="preserve">SAFISA</t>
  </si>
  <si>
    <t xml:space="preserve">388671</t>
  </si>
  <si>
    <t xml:space="preserve">AMORTECEDOR TRASEIRO CABINE MBB</t>
  </si>
  <si>
    <t xml:space="preserve">COFAP</t>
  </si>
  <si>
    <t xml:space="preserve">164020</t>
  </si>
  <si>
    <t xml:space="preserve">TURBINA TURBO ALIMENTADOR 4432E/ 5032E /6332E - 26260E/ 31320E /31260E</t>
  </si>
  <si>
    <t xml:space="preserve">312966</t>
  </si>
  <si>
    <t xml:space="preserve">RETENTOR HASTE VALVULA MBB OM 457 LA-MB 457.933/936/. 458.960</t>
  </si>
  <si>
    <t xml:space="preserve">363672</t>
  </si>
  <si>
    <t xml:space="preserve">LAMPADA HALOGENA H7 24V C/ FILAMENTO TUNGSTENIO 70W PX26D</t>
  </si>
  <si>
    <t xml:space="preserve">TESLLA</t>
  </si>
  <si>
    <t xml:space="preserve">160587</t>
  </si>
  <si>
    <t xml:space="preserve">CABECOTE FILTRO SEPARADOR AGUA C/ VALVULA ROSCA CENTRAL 1X14UNS 2B</t>
  </si>
  <si>
    <t xml:space="preserve">208733</t>
  </si>
  <si>
    <t xml:space="preserve">KIT EMBREAGEM 240MM 26 ESTRIAS S/ ATUADOR</t>
  </si>
  <si>
    <t xml:space="preserve">LUK</t>
  </si>
  <si>
    <t xml:space="preserve">355420</t>
  </si>
  <si>
    <t xml:space="preserve">FUSIVEL LAMINA 10A VERMELHO</t>
  </si>
  <si>
    <t xml:space="preserve">115799</t>
  </si>
  <si>
    <t xml:space="preserve">SERVO EMBREAGEM HASTE 80MM</t>
  </si>
  <si>
    <t xml:space="preserve">309057</t>
  </si>
  <si>
    <t xml:space="preserve">JOGO BRONZINA BIELA STD MOTOR</t>
  </si>
  <si>
    <t xml:space="preserve">172863</t>
  </si>
  <si>
    <t xml:space="preserve">268632</t>
  </si>
  <si>
    <t xml:space="preserve">AMORTECEDOR SUSPENSAO DIANTEIRA</t>
  </si>
  <si>
    <t xml:space="preserve">7513</t>
  </si>
  <si>
    <t xml:space="preserve">AMORTECEDOR CABINE CARGO/VW ANTIGO</t>
  </si>
  <si>
    <t xml:space="preserve">349020</t>
  </si>
  <si>
    <t xml:space="preserve">OLEO 90 GL5 (1 LITRO)</t>
  </si>
  <si>
    <t xml:space="preserve">LUBRAX</t>
  </si>
  <si>
    <t xml:space="preserve">257315</t>
  </si>
  <si>
    <t xml:space="preserve">CILINDRO COMANDO REDUZIDA CAMBIO G210/ 211/ 240</t>
  </si>
  <si>
    <t xml:space="preserve">WZF</t>
  </si>
  <si>
    <t xml:space="preserve">463365</t>
  </si>
  <si>
    <t xml:space="preserve">JOGO BRONZINA BIELA STD</t>
  </si>
  <si>
    <t xml:space="preserve">22035</t>
  </si>
  <si>
    <t xml:space="preserve">ELEMENTO FILTRO AR G - 1" 14 UNS</t>
  </si>
  <si>
    <t xml:space="preserve">463715</t>
  </si>
  <si>
    <t xml:space="preserve">JOANINHA P/ BOCAL GRANEL ZB</t>
  </si>
  <si>
    <t xml:space="preserve">METAL C</t>
  </si>
  <si>
    <t xml:space="preserve">470965</t>
  </si>
  <si>
    <t xml:space="preserve">JUNTA TAMPA VALVULAS</t>
  </si>
  <si>
    <t xml:space="preserve">470863</t>
  </si>
  <si>
    <t xml:space="preserve">134704</t>
  </si>
  <si>
    <t xml:space="preserve">COLUNA DIRECAO</t>
  </si>
  <si>
    <t xml:space="preserve">STAHL</t>
  </si>
  <si>
    <t xml:space="preserve">394708</t>
  </si>
  <si>
    <t xml:space="preserve">470876</t>
  </si>
  <si>
    <t xml:space="preserve">JOGO JUNTAS SUPERIOR</t>
  </si>
  <si>
    <t xml:space="preserve">176204</t>
  </si>
  <si>
    <t xml:space="preserve">CORREIA ALTERNADOR </t>
  </si>
  <si>
    <t xml:space="preserve">GATES</t>
  </si>
  <si>
    <t xml:space="preserve">203074</t>
  </si>
  <si>
    <t xml:space="preserve">TRAVA PATIM FREIO DIANTEIRO FREIO A AR</t>
  </si>
  <si>
    <t xml:space="preserve">152697</t>
  </si>
  <si>
    <t xml:space="preserve">FILTRO REFIL SECADOR APU</t>
  </si>
  <si>
    <t xml:space="preserve">MAHLE FILTROS</t>
  </si>
  <si>
    <t xml:space="preserve">470918</t>
  </si>
  <si>
    <t xml:space="preserve">RETENTOR HASTE VALVULA</t>
  </si>
  <si>
    <t xml:space="preserve">139265</t>
  </si>
  <si>
    <t xml:space="preserve">FLANGE ACOPOLAMENTO CARDAN(59MM ENTRE FUROS)</t>
  </si>
  <si>
    <t xml:space="preserve">REI AUTO PARTS</t>
  </si>
  <si>
    <t xml:space="preserve">159560</t>
  </si>
  <si>
    <t xml:space="preserve">KIT EMBREAGEM CHAPEU CHINES MB1313/MB1513/MB2013     310MM</t>
  </si>
  <si>
    <t xml:space="preserve">30742</t>
  </si>
  <si>
    <t xml:space="preserve">KIT EMBREAGEM 330MM </t>
  </si>
  <si>
    <t xml:space="preserve">276918</t>
  </si>
  <si>
    <t xml:space="preserve">CONJ. PNEUMATICO SUSPENSAO CABINE</t>
  </si>
  <si>
    <t xml:space="preserve">474733</t>
  </si>
  <si>
    <t xml:space="preserve">ANEL ORING 92,5X3,55MM</t>
  </si>
  <si>
    <t xml:space="preserve">143431</t>
  </si>
  <si>
    <t xml:space="preserve">ROLAMENTO GAIOLA 2ª / 3ª MARCHA MOMARCHA</t>
  </si>
  <si>
    <t xml:space="preserve">463364</t>
  </si>
  <si>
    <t xml:space="preserve">JOGO BRONZINA MANCAL STD</t>
  </si>
  <si>
    <t xml:space="preserve">187533</t>
  </si>
  <si>
    <t xml:space="preserve">CILINDRO ACIONAMENTO ACELERADOR</t>
  </si>
  <si>
    <t xml:space="preserve">312287</t>
  </si>
  <si>
    <t xml:space="preserve">172200</t>
  </si>
  <si>
    <t xml:space="preserve">20981</t>
  </si>
  <si>
    <t xml:space="preserve">449300</t>
  </si>
  <si>
    <t xml:space="preserve">AMORTECEDOR SUSPENSAO CABINE C/ MOLA</t>
  </si>
  <si>
    <t xml:space="preserve">105342</t>
  </si>
  <si>
    <t xml:space="preserve">AMORTECEDOR DIRECAO F350 F4000 APÓS 98</t>
  </si>
  <si>
    <t xml:space="preserve">31416</t>
  </si>
  <si>
    <t xml:space="preserve">AMORTECEDOR SUSPENSAO DIANTEIRA F4000 99/</t>
  </si>
  <si>
    <t xml:space="preserve">427915</t>
  </si>
  <si>
    <t xml:space="preserve">AMORTECEDOR PORTA MALA TRASEIRA</t>
  </si>
  <si>
    <t xml:space="preserve">472721</t>
  </si>
  <si>
    <t xml:space="preserve">AMORTECEDOR SUSPENSAO TRASEIRA LD LE &gt; SUPER &lt;</t>
  </si>
  <si>
    <t xml:space="preserve">174649</t>
  </si>
  <si>
    <t xml:space="preserve">AMORTECEDOR SUSPENSAO DIANTEIRA LD LE FORD F1000 / F4000</t>
  </si>
  <si>
    <t xml:space="preserve">283485</t>
  </si>
  <si>
    <t xml:space="preserve">CINTA TANQUE AR FH</t>
  </si>
  <si>
    <t xml:space="preserve">FADO</t>
  </si>
  <si>
    <t xml:space="preserve">470879</t>
  </si>
  <si>
    <t xml:space="preserve">ARRUELA VEDACAO TAMPA BALANCEIROS</t>
  </si>
  <si>
    <t xml:space="preserve">267515</t>
  </si>
  <si>
    <t xml:space="preserve">PARA-LAMA / ESTRIBO VOLVO VM 210 LE RTM</t>
  </si>
  <si>
    <t xml:space="preserve">206364</t>
  </si>
  <si>
    <t xml:space="preserve">ELO SEGURANCA ES-22  ANELAO  AMARELO</t>
  </si>
  <si>
    <t xml:space="preserve">OKUBO</t>
  </si>
  <si>
    <t xml:space="preserve">119281</t>
  </si>
  <si>
    <t xml:space="preserve">CONJ. VOLANTE C/ CREMALHEIRA MBB OM904 LA ELETRONICO</t>
  </si>
  <si>
    <t xml:space="preserve">AUTIMPEX</t>
  </si>
  <si>
    <t xml:space="preserve">136182</t>
  </si>
  <si>
    <t xml:space="preserve">FILTRO DE ÓLEO DIESEL SEPARADOR DE ÁGUA 10 MICRAS</t>
  </si>
  <si>
    <t xml:space="preserve">391563</t>
  </si>
  <si>
    <t xml:space="preserve">470864</t>
  </si>
  <si>
    <t xml:space="preserve">KIT MOTOR STD MWM ACTEON X12 4 CIL / 6 CIL 6.12TCE / 4.12TCE EURO 3 C/ PISTAO / CAMISA / ANEIS</t>
  </si>
  <si>
    <t xml:space="preserve">470958</t>
  </si>
  <si>
    <t xml:space="preserve">JOGO ANEIS PISTAO 229</t>
  </si>
  <si>
    <t xml:space="preserve">452793</t>
  </si>
  <si>
    <t xml:space="preserve">CATRACA FREIO MANUAL 28E 3 FUROS CH19</t>
  </si>
  <si>
    <t xml:space="preserve">134688</t>
  </si>
  <si>
    <t xml:space="preserve">ANEL VEDACAO 44 X 52 X 4 (BORRACHA) - VW MOTOR DACA/DADA</t>
  </si>
  <si>
    <t xml:space="preserve">31800</t>
  </si>
  <si>
    <t xml:space="preserve">AMORTECEDOR SUSPENSAO TRASEIRA / DIANTEIRA LD LE</t>
  </si>
  <si>
    <t xml:space="preserve">463358</t>
  </si>
  <si>
    <t xml:space="preserve">JOGO BRONZINA MANCAL PRINCIPAL</t>
  </si>
  <si>
    <t xml:space="preserve">203891</t>
  </si>
  <si>
    <t xml:space="preserve">PARAFUSO CABECOTE M14X152X2,0MM  VW / MANN D0834   &gt;&gt; CX C/ 8 PCS &lt;&lt;</t>
  </si>
  <si>
    <t xml:space="preserve">176282</t>
  </si>
  <si>
    <t xml:space="preserve">CORREIA 8PK2555 RNH MULTI V ELITE</t>
  </si>
  <si>
    <t xml:space="preserve">CONTINENTAL</t>
  </si>
  <si>
    <t xml:space="preserve">114099</t>
  </si>
  <si>
    <t xml:space="preserve">ROTOR BOMBA ALIMENTADORA COMBUSTIVEL</t>
  </si>
  <si>
    <t xml:space="preserve">114080</t>
  </si>
  <si>
    <t xml:space="preserve">VALVULA REGULADORA PRESSAO COMBUSTIVEL JOHN DEERE</t>
  </si>
  <si>
    <t xml:space="preserve">114097</t>
  </si>
  <si>
    <t xml:space="preserve">VALVULA REGULADORA PRESSAO COMBUSTIVEL MITSUBISHI / NISSAN LONGA</t>
  </si>
  <si>
    <t xml:space="preserve">114089</t>
  </si>
  <si>
    <t xml:space="preserve">VALVULA REGULADORA PRESSAO COMBUSTIVEL MITSUBISHI / NISSAN CURTA</t>
  </si>
  <si>
    <t xml:space="preserve">183251</t>
  </si>
  <si>
    <t xml:space="preserve">ANEL CAMISA OM457 EURO V</t>
  </si>
  <si>
    <t xml:space="preserve">463357</t>
  </si>
  <si>
    <t xml:space="preserve">146982</t>
  </si>
  <si>
    <t xml:space="preserve">260322</t>
  </si>
  <si>
    <t xml:space="preserve">TUBO ESCAPAMENTO INTERMEDIARIO SAIDA MOTOR INOX 3.1/2"</t>
  </si>
  <si>
    <t xml:space="preserve">259613</t>
  </si>
  <si>
    <t xml:space="preserve">OLEO 85W140 API GL5 1 LITRO LUBRIFICANTE DIFERENCIAL</t>
  </si>
  <si>
    <t xml:space="preserve">392791</t>
  </si>
  <si>
    <t xml:space="preserve">OLEO LUBRAX TOP TURB 1L DIESEL</t>
  </si>
  <si>
    <t xml:space="preserve">448775</t>
  </si>
  <si>
    <t xml:space="preserve">OLEO 80W90 GL-5 DIFERENCIAL SIMPLES HILUX LN107</t>
  </si>
  <si>
    <t xml:space="preserve">258427</t>
  </si>
  <si>
    <t xml:space="preserve">OLEO HIDRAULICO ATF (1L)</t>
  </si>
  <si>
    <t xml:space="preserve">129981</t>
  </si>
  <si>
    <t xml:space="preserve">FLEXIVEL ESCAPE 3.1/2" GALVANIZADO 285MM</t>
  </si>
  <si>
    <t xml:space="preserve">266436</t>
  </si>
  <si>
    <t xml:space="preserve">136246</t>
  </si>
  <si>
    <t xml:space="preserve">FAROL LD CONSTELLATION</t>
  </si>
  <si>
    <t xml:space="preserve">ORGUS</t>
  </si>
  <si>
    <t xml:space="preserve">247764</t>
  </si>
  <si>
    <t xml:space="preserve">FAROL LD MB ATEGO MODERNO </t>
  </si>
  <si>
    <t xml:space="preserve">136245</t>
  </si>
  <si>
    <t xml:space="preserve">FAROL LE CONSTELLATION</t>
  </si>
  <si>
    <t xml:space="preserve">7781</t>
  </si>
  <si>
    <t xml:space="preserve">PRISIONEIRO TURBINA CUMMINS SERIE B / C MECANICO</t>
  </si>
  <si>
    <t xml:space="preserve">166632</t>
  </si>
  <si>
    <t xml:space="preserve">REPARO VALVULA DESCARGA RAPIDA  </t>
  </si>
  <si>
    <t xml:space="preserve">481870</t>
  </si>
  <si>
    <t xml:space="preserve">CHICOTE ELETRICO JOHN DEERE BOMBA 3520/3522</t>
  </si>
  <si>
    <t xml:space="preserve">MEGA WHIP CHICOTES</t>
  </si>
  <si>
    <t xml:space="preserve">465866</t>
  </si>
  <si>
    <t xml:space="preserve">REGUA FIXACAO PARA-BARRO 640MM RD</t>
  </si>
  <si>
    <t xml:space="preserve">261058</t>
  </si>
  <si>
    <t xml:space="preserve">AMORTECEDOR CABINE LATERAL</t>
  </si>
  <si>
    <t xml:space="preserve">TECH SHOCKS</t>
  </si>
  <si>
    <t xml:space="preserve">463362</t>
  </si>
  <si>
    <t xml:space="preserve">JOGO BRONZINA MANCAL STD MWM X10 4 CIL</t>
  </si>
  <si>
    <t xml:space="preserve">176168</t>
  </si>
  <si>
    <t xml:space="preserve">CORREIA 8PK1535 RNH MULTI V ELITE</t>
  </si>
  <si>
    <t xml:space="preserve">33266</t>
  </si>
  <si>
    <t xml:space="preserve">JOGO LONA FREIO DIANTEIRO SCANIA</t>
  </si>
  <si>
    <t xml:space="preserve">Mix de Produtos - mesma descricao, marcas concorrentes</t>
  </si>
  <si>
    <t xml:space="preserve">Qtd de grupos (mesma descricao exata, 2+ marcas, com faturamento)</t>
  </si>
  <si>
    <t xml:space="preserve">Faturamento anual nesses grupos (R$)</t>
  </si>
  <si>
    <t xml:space="preserve">Valor em estoque nesses grupos (R$)</t>
  </si>
  <si>
    <t xml:space="preserve">% do estoque total</t>
  </si>
  <si>
    <t xml:space="preserve">Como eu agrupei: mesma descricao IDENTICA de produto - e concorrencia comprovada, nao estimativa.</t>
  </si>
  <si>
    <t xml:space="preserve">Top 150 grupos por faturamento</t>
  </si>
  <si>
    <t xml:space="preserve">Qtd Marcas</t>
  </si>
  <si>
    <t xml:space="preserve">Marcas</t>
  </si>
  <si>
    <t xml:space="preserve">DONALDSON, FLEETGUARD, FRAM, MAHLE FILTROS, MANN FILTER, MWM, PARKER RACOR, UFI FILTERS</t>
  </si>
  <si>
    <t xml:space="preserve">DONALDSON, HENGST, MANN FILTER, PARKER RACOR</t>
  </si>
  <si>
    <t xml:space="preserve">DONALDSON, FLEETGUARD, HENGST, MAHLE FILTROS, MANN FILTER, MWM, TURBO FILTROS, UFI FILTERS</t>
  </si>
  <si>
    <t xml:space="preserve">AUTOMOTIV FILTROS, DONALDSON, FLEETGUARD, MANN FILTER, PARKER RACOR</t>
  </si>
  <si>
    <t xml:space="preserve">BOSCH, DONALDSON, DYNAPAC, FILTROS BRASIL, FILTROS MIL, FLEETGUARD, FRAM, MAHLE FILTROS, MANN FILTER, PARKER RACOR, ROYCE, TECFIL, WEGA</t>
  </si>
  <si>
    <t xml:space="preserve">DONALDSON, DYNAPAC, MANN FILTER, TECFIL</t>
  </si>
  <si>
    <t xml:space="preserve">AGCO, DONALDSON, DYNAPAC, FLEETGUARD, FPT, HENGST, MAHLE FILTROS, MANN FILTER, MAUTO, MWM, MWM MASTER, PARKER RACOR, TECFIL, UFI FILTERS, VW, WIX</t>
  </si>
  <si>
    <t xml:space="preserve">RODA 8,25 X 22,5 10 FUROS S/ CAMARA C/ BICO</t>
  </si>
  <si>
    <t xml:space="preserve">BZ AUTOMOTIVE, FACCHINI, SUSPENSYS RANDON</t>
  </si>
  <si>
    <t xml:space="preserve">JOGO LONA FREIO TRASEIRO / 3º EIXO</t>
  </si>
  <si>
    <t xml:space="preserve">COBREQ, LONAFLEX RANDON</t>
  </si>
  <si>
    <t xml:space="preserve">TAMBOR FREIO RODA DISCO 10X24</t>
  </si>
  <si>
    <t xml:space="preserve">FACCHINI, FRUM, FUNDIMIG, SUSPENSYS CASTERTECH</t>
  </si>
  <si>
    <t xml:space="preserve">FACCHINI, HIPPER FREIOS</t>
  </si>
  <si>
    <t xml:space="preserve">DONALDSON, FLEETGUARD, FPT, FRAM, GT1 FILTROS, HENGST, MAHLE FILTROS, MANN FILTER, MERCEDES BENZ, MWM, PARKER RACOR, TECFIL, TURBO FILTROS, UFI FILTERS, WEGA, WIX</t>
  </si>
  <si>
    <t xml:space="preserve">FACCHINI, FRUM, HIPPER FREIOS</t>
  </si>
  <si>
    <t xml:space="preserve">SERVO EMBREAGEM C/ SENSOR</t>
  </si>
  <si>
    <t xml:space="preserve">EATON, SCHULZ</t>
  </si>
  <si>
    <t xml:space="preserve">FUNDIMIG, TOME</t>
  </si>
  <si>
    <t xml:space="preserve">DONALDSON, FLEETGUARD, MANN FILTER, PARKER RACOR, TECFIL, VW</t>
  </si>
  <si>
    <t xml:space="preserve">COBREQ, FRAS-LE RANDON, LONAFLEX RANDON</t>
  </si>
  <si>
    <t xml:space="preserve">GARRA TRAVAMENTO 3.1/2"</t>
  </si>
  <si>
    <t xml:space="preserve">JOCAN, JOST RANDON</t>
  </si>
  <si>
    <t xml:space="preserve">ELEMENTO FILTRO AR MOTOR</t>
  </si>
  <si>
    <t xml:space="preserve">AUTOMOTIV FILTROS, DONALDSON, FLEETGUARD, MANN FILTER, TECFIL, UNIFILTER, WIX</t>
  </si>
  <si>
    <t xml:space="preserve">DONALDSON, DYNAPAC, FLEETGUARD, MANN FILTER, TECFIL, TURBO FILTROS</t>
  </si>
  <si>
    <t xml:space="preserve">KIT EMBREAGEM 430MM 18E</t>
  </si>
  <si>
    <t xml:space="preserve">EATON, MM EMBREAGEM NOVA</t>
  </si>
  <si>
    <t xml:space="preserve">DONALDSON, DYNAPAC, FLEETGUARD, MANN FILTER, PARKER RACOR, TECFIL, TURBO FILTROS</t>
  </si>
  <si>
    <t xml:space="preserve">ANEL SINCRONIZADOR 1º / 2º / 3º / 4º MARCHA</t>
  </si>
  <si>
    <t xml:space="preserve">KAÇMAZLAR, MM SINCRONIZADO</t>
  </si>
  <si>
    <t xml:space="preserve">ROLAMENTO CUBO RODA CARRETA/TRUCK 90X160X42,5MM</t>
  </si>
  <si>
    <t xml:space="preserve">ASTB IMPORTADO, MERITOR, SKF, SUSPENSYS CASTERTECH, TWE, VTO</t>
  </si>
  <si>
    <t xml:space="preserve">DENSO, MAHLE BEHR, ROYCE</t>
  </si>
  <si>
    <t xml:space="preserve">KIT SEPARADOR AGUA / COMBUSTIVEL SECUNDARIO</t>
  </si>
  <si>
    <t xml:space="preserve">DONALDSON, PARKER RACOR</t>
  </si>
  <si>
    <t xml:space="preserve">COFAP, MERITOR, MONROE, SADAR, VW</t>
  </si>
  <si>
    <t xml:space="preserve">ANEL SINCRONIZADOR GV / REDUZIDA MOLIBDENIO ROSCA MODERNO</t>
  </si>
  <si>
    <t xml:space="preserve">KAÇMAZLAR, MERCEDES BENZ, MM SINCRONIZADO, TAS</t>
  </si>
  <si>
    <t xml:space="preserve">FACCHINI, FUNDIMIG, HIPPER FREIOS, SUSPENSYS CASTERTECH</t>
  </si>
  <si>
    <t xml:space="preserve">DONALDSON, DYNAPAC, FLEETGUARD, MANN FILTER, MERCEDES BENZ, PARKER RACOR, TURBO FILTROS, VW</t>
  </si>
  <si>
    <t xml:space="preserve">DELPHI, DENSO, RENAULT</t>
  </si>
  <si>
    <t xml:space="preserve">DURAMETAL, TOME</t>
  </si>
  <si>
    <t xml:space="preserve">RETENTOR RODA TRASEIRA CARRETA 3º EIXO</t>
  </si>
  <si>
    <t xml:space="preserve">CORTECO, SABO</t>
  </si>
  <si>
    <t xml:space="preserve">ELEMENTO FILTRO COMBUSTIVEL BLINDADO</t>
  </si>
  <si>
    <t xml:space="preserve">HENGST, MANN FILTER, PARKER RACOR</t>
  </si>
  <si>
    <t xml:space="preserve">DONALDSON, FLEETGUARD, MANN FILTER, MWM, PARKER RACOR, TECFIL, WEGA</t>
  </si>
  <si>
    <t xml:space="preserve">BOMBA AGUA MOTOR</t>
  </si>
  <si>
    <t xml:space="preserve">AUTOTEC, CATERPILLAR, CUMMINS, DRIVETEC, FPT, INDISA, MWM, MWM MASTER, NAKATA, SCHADEK, SKF, URBA</t>
  </si>
  <si>
    <t xml:space="preserve">ELEMENTO FILTRO AR EXTERNO MOTOR</t>
  </si>
  <si>
    <t xml:space="preserve">DONALDSON, FLEETGUARD</t>
  </si>
  <si>
    <t xml:space="preserve">FEIXE MOLA FEIXE DIANTEIRA MB ATEGO 1729/1730 80X29X860X940</t>
  </si>
  <si>
    <t xml:space="preserve">CINDUMEL, MARCHETTI</t>
  </si>
  <si>
    <t xml:space="preserve">COXIM TRASEIRO MOTOR</t>
  </si>
  <si>
    <t xml:space="preserve">GETOFLEX, JAHU BORRA, MONROE AXIOS, MTP, REI</t>
  </si>
  <si>
    <t xml:space="preserve">JOGO JUNTAS COMPLETO MOTOR</t>
  </si>
  <si>
    <t xml:space="preserve">MAHLE, SABO</t>
  </si>
  <si>
    <t xml:space="preserve">JOGO LONA FREIO TRASEIRO VOLVO VM</t>
  </si>
  <si>
    <t xml:space="preserve">COBREQ, FRAS-LE RANDON</t>
  </si>
  <si>
    <t xml:space="preserve">RETENTOR CUBO RODA TRASEIRO</t>
  </si>
  <si>
    <t xml:space="preserve">ARCA, CORTECO, MERITOR, SABO, SUSPENSYS CASTERTECH, VW</t>
  </si>
  <si>
    <t xml:space="preserve">ELEMENTO FILTRO BLINDADO COMBUSTIVEL</t>
  </si>
  <si>
    <t xml:space="preserve">FLEETGUARD, MAHLE FILTROS, MANN FILTER, TECFIL, WIX</t>
  </si>
  <si>
    <t xml:space="preserve">CERCENA, FRUM, FUNDIMIG, SUSPENSYS CASTERTECH</t>
  </si>
  <si>
    <t xml:space="preserve">VALVULA ADMISSAO</t>
  </si>
  <si>
    <t xml:space="preserve">CUMMINS, CUMMINS CUMMINS, EATON, FPT, MAHLE, MWM</t>
  </si>
  <si>
    <t xml:space="preserve">EATON, MM EMBREAGEM REMANO</t>
  </si>
  <si>
    <t xml:space="preserve">AMORTECEDOR</t>
  </si>
  <si>
    <t xml:space="preserve">MONROE, UNIVERSAL</t>
  </si>
  <si>
    <t xml:space="preserve">VALVULA ESCAPE</t>
  </si>
  <si>
    <t xml:space="preserve">CUMMINS, CUMMINS CUMMINS, EATON, JOHN DEERE, MAHLE, MWM</t>
  </si>
  <si>
    <t xml:space="preserve">SERVO EMBREAGEM</t>
  </si>
  <si>
    <t xml:space="preserve">EATON, LNG, SCHULZ</t>
  </si>
  <si>
    <t xml:space="preserve">FPT, KS, MAHLE, MWM</t>
  </si>
  <si>
    <t xml:space="preserve">LNG, MASTER FLEX RANDON, MAUTO</t>
  </si>
  <si>
    <t xml:space="preserve">ROLAMENTO CUBO RODA CARRETA/TRUCK 80X140X39,25MM LARGO</t>
  </si>
  <si>
    <t xml:space="preserve">SKF, SUSPENSYS CASTERTECH</t>
  </si>
  <si>
    <t xml:space="preserve">MAUTO CORRENTES, OKUBO</t>
  </si>
  <si>
    <t xml:space="preserve">FILTRO OLEO LUBRIFICANTE</t>
  </si>
  <si>
    <t xml:space="preserve">DONALDSON, FLEETGUARD, MWM, PARKER RACOR</t>
  </si>
  <si>
    <t xml:space="preserve">KIT EMBREAGEM 430MM</t>
  </si>
  <si>
    <t xml:space="preserve">EATON, MM EMBREAGEM NOVA, MM EMBREAGEM REMANO, SACHS</t>
  </si>
  <si>
    <t xml:space="preserve">RESERVATORIO TANQUE COMPENSACAO RADIADOR</t>
  </si>
  <si>
    <t xml:space="preserve">FABBOF, RESERPLASTIC</t>
  </si>
  <si>
    <t xml:space="preserve">MOLA FEIXE 1 2 3 CARRETA RANDON 1991/... 90X11X540X540</t>
  </si>
  <si>
    <t xml:space="preserve">DISCO FRICCAO 3.1/2" JSK38</t>
  </si>
  <si>
    <t xml:space="preserve">GRAMPO 7/8X92X320 DA</t>
  </si>
  <si>
    <t xml:space="preserve">FEY, RIVERTEC</t>
  </si>
  <si>
    <t xml:space="preserve">AMALCABURIO, LNG</t>
  </si>
  <si>
    <t xml:space="preserve">ELEMENTO FILTRO SECADOR AR</t>
  </si>
  <si>
    <t xml:space="preserve">DONALDSON, DYNAPAC, MANN FILTER, SCHULZ</t>
  </si>
  <si>
    <t xml:space="preserve">DONALDSON, FLEETGUARD, MANN FILTER, MWM MASTER, PARKER RACOR, TECFIL, TURBO FILTROS, UFI FILTERS</t>
  </si>
  <si>
    <t xml:space="preserve">CNH NEXPRO, DONALDSON</t>
  </si>
  <si>
    <t xml:space="preserve">CHAVETA VALVULA MOTOR SCANIA</t>
  </si>
  <si>
    <t xml:space="preserve">CIPEC, MIC</t>
  </si>
  <si>
    <t xml:space="preserve">JOGO LONA FREIO TRASEIRO STD</t>
  </si>
  <si>
    <t xml:space="preserve">ESPELHO RETROVISOR C/ DESEMBACADOR ELETRICO LD</t>
  </si>
  <si>
    <t xml:space="preserve">FABBOF, LNG</t>
  </si>
  <si>
    <t xml:space="preserve">EURORICAMBI, MAUTO, MAX GEAR TIPH</t>
  </si>
  <si>
    <t xml:space="preserve">KIT BOLSA MOLA PNEUMATICA</t>
  </si>
  <si>
    <t xml:space="preserve">BINS, SUSPENTECH</t>
  </si>
  <si>
    <t xml:space="preserve">BOMBA OLEO C/ TAMPA CAMBIO G210 G211 G230 G231 G240 G260</t>
  </si>
  <si>
    <t xml:space="preserve">MWM MASTER, SCHADEK</t>
  </si>
  <si>
    <t xml:space="preserve">CONJ. MANDIBULA ENGATE AUTOMATICO PINO Ø 50,8MM</t>
  </si>
  <si>
    <t xml:space="preserve">JOCAN, SILC, SILPA</t>
  </si>
  <si>
    <t xml:space="preserve">BOMBA DIRECAO HIDRAULICA</t>
  </si>
  <si>
    <t xml:space="preserve">AMPRI, CUMMINS, DIESEL TECHNIC, FRONTIER, INDISA, LNG, SCHULZ, ZF DO BRASIL</t>
  </si>
  <si>
    <t xml:space="preserve">MWM MASTER, SUSIN</t>
  </si>
  <si>
    <t xml:space="preserve">JOGO LONA FREIO DIANTEIRO</t>
  </si>
  <si>
    <t xml:space="preserve">COBREQ, FRAS-LE RANDON, LONAFLEX RANDON, THERMOID</t>
  </si>
  <si>
    <t xml:space="preserve">FPT, FRONTIER, KS, MAHLE, MWM, TAKAO</t>
  </si>
  <si>
    <t xml:space="preserve">CATRACA FREIO AUTOMATICA TRASEIRA LD 26 ESTRIAS CH12 14MM</t>
  </si>
  <si>
    <t xml:space="preserve">MASTER FLEX RANDON, SCHULZ</t>
  </si>
  <si>
    <t xml:space="preserve">ELEMENTO FILTRO BLINDADO OLEO LUBRIFICANTE</t>
  </si>
  <si>
    <t xml:space="preserve">MAHLE FILTROS, MANN FILTER, TECFIL, WIX</t>
  </si>
  <si>
    <t xml:space="preserve">EIXO PILOTO</t>
  </si>
  <si>
    <t xml:space="preserve">CINPAL, EATON, MIDWEST, MULTGEAR, NEWSTAR</t>
  </si>
  <si>
    <t xml:space="preserve">ROYCE, SANDEN USA JPN</t>
  </si>
  <si>
    <t xml:space="preserve">LEFS IMPORTADO, LNG, MAUTO, MIC</t>
  </si>
  <si>
    <t xml:space="preserve">ROLAMENTO ATUADOR EMBREAGEM</t>
  </si>
  <si>
    <t xml:space="preserve">FTE, SACHS, SKF</t>
  </si>
  <si>
    <t xml:space="preserve">CATRACA FREIO AUTOMATICO TRASEIRO LE 26E CH12 14MM</t>
  </si>
  <si>
    <t xml:space="preserve">MASTER FLEX RANDON, MAUTO, SCHULZ</t>
  </si>
  <si>
    <t xml:space="preserve">CERCENA, FACCHINI, FRUM, FUNDIMIG</t>
  </si>
  <si>
    <t xml:space="preserve">CONJ. ARANHA FREIO TUBELESS</t>
  </si>
  <si>
    <t xml:space="preserve">MASTER RANDON, SILC</t>
  </si>
  <si>
    <t xml:space="preserve">ELEMENTO FILTRO HIDRAULICO 10 MICRAS</t>
  </si>
  <si>
    <t xml:space="preserve">FLEETGUARD, PARKER RACOR</t>
  </si>
  <si>
    <t xml:space="preserve">PORCA PONTEIRA M48 ALTURA 100MM</t>
  </si>
  <si>
    <t xml:space="preserve">CANAPARTS, JOCAN</t>
  </si>
  <si>
    <t xml:space="preserve">BUCHA MOLA AXOR</t>
  </si>
  <si>
    <t xml:space="preserve">MTP, REI</t>
  </si>
  <si>
    <t xml:space="preserve">KIT EMBREAGEM 330MM 10E C/ MANCAL</t>
  </si>
  <si>
    <t xml:space="preserve">EATON, LUK, SACHS</t>
  </si>
  <si>
    <t xml:space="preserve">COXIM TRASEIRO SUSPENSAO CAMBIO</t>
  </si>
  <si>
    <t xml:space="preserve">IABV, REI</t>
  </si>
  <si>
    <t xml:space="preserve">GRAMPO MOLA 24X92X400DA</t>
  </si>
  <si>
    <t xml:space="preserve">AMORTECEDOR SUSPENSAO TRASEIRA VOLVO</t>
  </si>
  <si>
    <t xml:space="preserve">BINS, MONROE</t>
  </si>
  <si>
    <t xml:space="preserve">COXIM AMORTECEDOR ENGATE AUTOMATICO MODERNO</t>
  </si>
  <si>
    <t xml:space="preserve">JOST RANDON, THOR</t>
  </si>
  <si>
    <t xml:space="preserve">BUCHA MOLA</t>
  </si>
  <si>
    <t xml:space="preserve">IABV, MERCEDES BENZ, MTP, REI</t>
  </si>
  <si>
    <t xml:space="preserve">ESPELHO RETROVISOR ELETRICO C/ DESEMBACADOR LE</t>
  </si>
  <si>
    <t xml:space="preserve">ROLAMENTO</t>
  </si>
  <si>
    <t xml:space="preserve">A&amp;S FERSA ROLAMENTO, BOSCH, COBRA, CUMMINS, EATON, FAG, GIR, IMA, KOYO, KOYO IMPORTADO, MERITOR, NTN, NTN IMPORTADO, PESARO, SKF, TIMKEN, ZF DO BRASIL</t>
  </si>
  <si>
    <t xml:space="preserve">BZ AUTOMOTIVE, KRAUCHER, MASTER RANDON, MAUTO</t>
  </si>
  <si>
    <t xml:space="preserve">MWM, SUSIN</t>
  </si>
  <si>
    <t xml:space="preserve">PE MECANICO CARRETA 28 TON</t>
  </si>
  <si>
    <t xml:space="preserve">BZ AUTOMOTIVE, SCHULZ</t>
  </si>
  <si>
    <t xml:space="preserve">FLUIDO FREIO DOT4 500ML</t>
  </si>
  <si>
    <t xml:space="preserve">BOSCH, COBREQ, EATON, TRW VARGA</t>
  </si>
  <si>
    <t xml:space="preserve">SUPORTE CENTRAL SEMI REBOQUE MODERNO RANDON 2007 ...</t>
  </si>
  <si>
    <t xml:space="preserve">SUSPENSYS RANDON, THOR</t>
  </si>
  <si>
    <t xml:space="preserve">TAMBOR FREIO DIANTEIRO / TRASEIRO 10F Ø 23MM MBB S/ CUBO</t>
  </si>
  <si>
    <t xml:space="preserve">HIPPER FREIOS, TOME</t>
  </si>
  <si>
    <t xml:space="preserve">DURAMETAL, FRUM</t>
  </si>
  <si>
    <t xml:space="preserve">SUPORTE PARA-LAMA RANDON FACCHINI UNIVERSAL</t>
  </si>
  <si>
    <t xml:space="preserve">FADO, METAL C, THOR</t>
  </si>
  <si>
    <t xml:space="preserve">BOMBA DIRECAO HIDRAULICA ROTACAO ESQUERDA</t>
  </si>
  <si>
    <t xml:space="preserve">LNG, SCHULZ, ZF DO BRASIL</t>
  </si>
  <si>
    <t xml:space="preserve">AMORTECEDOR SUSPENSAO CABINE</t>
  </si>
  <si>
    <t xml:space="preserve">BINS, COFAP, MONROE</t>
  </si>
  <si>
    <t xml:space="preserve">ELEMENTO FILTRO COMBUSTIVEL OLEO DIESEL</t>
  </si>
  <si>
    <t xml:space="preserve">DONALDSON, MANN FILTER</t>
  </si>
  <si>
    <t xml:space="preserve">KIT EMBREAGEM 330MM 10E</t>
  </si>
  <si>
    <t xml:space="preserve">EATON, SACHS</t>
  </si>
  <si>
    <t xml:space="preserve">PINO PATIM MASTER ANCORAGEM 32X25</t>
  </si>
  <si>
    <t xml:space="preserve">THOR, USILUX</t>
  </si>
  <si>
    <t xml:space="preserve">TAMBOR FREIO DIANTEIRO / TRASEIRO S/ CUBO MBB</t>
  </si>
  <si>
    <t xml:space="preserve">FRUM, HIPPER FREIOS</t>
  </si>
  <si>
    <t xml:space="preserve">JOGO JUNTA SUPERIOR MOTOR</t>
  </si>
  <si>
    <t xml:space="preserve">MWM, SABO</t>
  </si>
  <si>
    <t xml:space="preserve">KRAUCHER, MASTER RANDON, MAUTO</t>
  </si>
  <si>
    <t xml:space="preserve">VALVULA APU COMPLETA MBB AXOR</t>
  </si>
  <si>
    <t xml:space="preserve">LNG, SCHULZ</t>
  </si>
  <si>
    <t xml:space="preserve">TAMBOR FREIO TRASEIRO</t>
  </si>
  <si>
    <t xml:space="preserve">FRUM, HIPPER FREIOS, TOME</t>
  </si>
  <si>
    <t xml:space="preserve">PARAFUSO TRAVA PORTADOR</t>
  </si>
  <si>
    <t xml:space="preserve">MERCEDES BENZ, PARAMAR</t>
  </si>
  <si>
    <t xml:space="preserve">PINO CABECALHO 50X232 MODELO FNV</t>
  </si>
  <si>
    <t xml:space="preserve">JOCAN, THOR, USILUX</t>
  </si>
  <si>
    <t xml:space="preserve">ENGATCAR F, MDM CONEXOES</t>
  </si>
  <si>
    <t xml:space="preserve">CILINDRO EMBREAGEM AUXILIAR 34MM</t>
  </si>
  <si>
    <t xml:space="preserve">EATON, KNORR, SCHULZ</t>
  </si>
  <si>
    <t xml:space="preserve">MAHLE, MWM</t>
  </si>
  <si>
    <t xml:space="preserve">CNH NEXPRO, FLEETGUARD, MAHLE FILTROS, MWM, MWM MASTER, PARKER RACOR, SCANIA</t>
  </si>
  <si>
    <t xml:space="preserve">EIXO PRINCIPAL</t>
  </si>
  <si>
    <t xml:space="preserve">EATON, EURORICAMBI</t>
  </si>
  <si>
    <t xml:space="preserve">ELEMENTO FILTRO SECADOR AR APU</t>
  </si>
  <si>
    <t xml:space="preserve">DONALDSON, MANN FILTER, TECFIL</t>
  </si>
  <si>
    <t xml:space="preserve">KIT MOTOR MASTER MWM D229 4CIL / 6CIL PINO 32,1MM C/ CAMISA / PISTAO / ANEIS</t>
  </si>
  <si>
    <t xml:space="preserve">SUSPENSYS RANDON, THOR, USILUX, USIMAGOS</t>
  </si>
  <si>
    <t xml:space="preserve">CILINDRO AUXILIAR EMBREAGEM 36MM</t>
  </si>
  <si>
    <t xml:space="preserve">EATON, KNORR, RDA, SDUBO LUCP</t>
  </si>
  <si>
    <t xml:space="preserve">TAMBOR FREIO TRASEIRO VW / FORD ONIBUS</t>
  </si>
  <si>
    <t xml:space="preserve">ELEMENTO FILTRO COMBUSTIVEL SEPARADOR AGUA S/ VALVULA</t>
  </si>
  <si>
    <t xml:space="preserve">CRUZETA CARDAN A164,00 B55,00</t>
  </si>
  <si>
    <t xml:space="preserve">MAUTO, MERITOR, NAKATA</t>
  </si>
  <si>
    <t xml:space="preserve">VIRABREQUIM MOTOR CUMMINS ISB</t>
  </si>
  <si>
    <t xml:space="preserve">CUMMINS, SUSIN</t>
  </si>
  <si>
    <t xml:space="preserve">BUCHA CONICA CABECALHO C/ TUBO CARRETA 88X69X113</t>
  </si>
  <si>
    <t xml:space="preserve">MTP, PGD, REI, THOR</t>
  </si>
  <si>
    <t xml:space="preserve">MACANETA PORTA EXTERNA LE</t>
  </si>
  <si>
    <t xml:space="preserve">ATEMIS, MPA, ORI, UNIVERSAL</t>
  </si>
  <si>
    <t xml:space="preserve">CILINDRO MESTRE EMBREAGEM</t>
  </si>
  <si>
    <t xml:space="preserve">CHEVROLET / GM, CONTROIL RANDON, EATON, KNORR, LNG, LUK, ROC, SACHS, SKF, TRW VARGA, VALEO, VW</t>
  </si>
  <si>
    <t xml:space="preserve">BUCHA BRACO TENSOR C/ PINO TIRANTE GUERRA</t>
  </si>
  <si>
    <t xml:space="preserve">MTP, PGD</t>
  </si>
  <si>
    <t xml:space="preserve">BOMBA OLEO MOTOR</t>
  </si>
  <si>
    <t xml:space="preserve">CATERPILLAR, FPT, FRONTIER, INDISA, KS, MWM, MWM MASTER, SCHADEK</t>
  </si>
  <si>
    <t xml:space="preserve">SERVO EMBREAGEM CANECA CURTA</t>
  </si>
  <si>
    <t xml:space="preserve">EATON, SCHULZ, WABCO</t>
  </si>
  <si>
    <t xml:space="preserve">MAQUINA VIDRO MANUAL PINO BAIXO LE</t>
  </si>
  <si>
    <t xml:space="preserve">UNIVERSAL, ZINNIGUELL</t>
  </si>
  <si>
    <t xml:space="preserve">PARAFUSO RODA RECARTILHADO CARRETA RANDON 22X82</t>
  </si>
  <si>
    <t xml:space="preserve">FEY, ZM</t>
  </si>
  <si>
    <t xml:space="preserve">ACOPLAMENTO RASPADOR ALAVANCA TRAMBULADOR BIGODINHO</t>
  </si>
  <si>
    <t xml:space="preserve">EURORICAMBI, MAUTO</t>
  </si>
  <si>
    <t xml:space="preserve">SENSOR PRESSAO RAIL FLAUTA MOTOR MWM</t>
  </si>
  <si>
    <t xml:space="preserve">FPT, GENUINE PARTS, MIRADOR, MWM, VW</t>
  </si>
  <si>
    <t xml:space="preserve">APOIO MOLA USINADA 16T E-COAT</t>
  </si>
  <si>
    <t xml:space="preserve">JOCAN, SUSPENSYS RANDON</t>
  </si>
  <si>
    <t xml:space="preserve">EATON, MULTGEAR</t>
  </si>
  <si>
    <t xml:space="preserve">THOR, USILUX, USIMAGOS</t>
  </si>
  <si>
    <t xml:space="preserve">DISCO FRICCAO 3,5" JSK39</t>
  </si>
  <si>
    <t xml:space="preserve">VIRABREQUIM MOTOR CUMMINS ISC 8.3 6 CIL ELETRONICO</t>
  </si>
  <si>
    <t xml:space="preserve">CUMMINS CUMMINS, MWM MASTER, SUSIN</t>
  </si>
  <si>
    <t xml:space="preserve">PINO BALANÇA LUB-FREE M30X190</t>
  </si>
  <si>
    <t xml:space="preserve">FILTRO OLEO LUBRIFICANTE MOTOR</t>
  </si>
  <si>
    <t xml:space="preserve">FLEETGUARD, MWM MASTER, PARKER RACOR</t>
  </si>
  <si>
    <t xml:space="preserve">MAUTO, MERITOR, NAKATA, STAHL</t>
  </si>
  <si>
    <t xml:space="preserve">AMORTECEDOR SUSPENSAO DIANTEIRA MBB</t>
  </si>
  <si>
    <t xml:space="preserve">COFAP, MERITOR, MONROE</t>
  </si>
  <si>
    <t xml:space="preserve">Orcamento</t>
  </si>
  <si>
    <t xml:space="preserve">Orcamento de Compras do Mes</t>
  </si>
  <si>
    <t xml:space="preserve">Mes/Ano</t>
  </si>
  <si>
    <t xml:space="preserve">09/2026</t>
  </si>
  <si>
    <t xml:space="preserve">Orcamento Total (R$)</t>
  </si>
  <si>
    <t xml:space="preserve">Valor Ja Comprado no Mes (R$)</t>
  </si>
  <si>
    <t xml:space="preserve">% Consumido</t>
  </si>
  <si>
    <t xml:space="preserve">Quanto sobra pro estoque minimo?</t>
  </si>
  <si>
    <t xml:space="preserve">Referencia: custo p/ repor Estoque Minimo (Sugestao Sankhya)</t>
  </si>
  <si>
    <t xml:space="preserve">Sobra de orcamento no mes menos o custo do minimo</t>
  </si>
  <si>
    <t xml:space="preserve">Se negativo: no ritmo de compra deste mes, nao sobra orcamento nem pra cobrir o minimo.</t>
  </si>
  <si>
    <t xml:space="preserve">No ritmo atual de compra, nao sobra orcamento nem pra cobrir o estoque minimo - por isso defendo</t>
  </si>
  <si>
    <t xml:space="preserve">travar o orcamento primeiro pra item sem historico de vendas e deixar RUPTURA/REPOSICAO na frente.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</si>
</sst>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0.0&quot;x/ano&quot;"/>
    <numFmt numFmtId="167" formatCode="#,##0.00"/>
    <numFmt numFmtId="168" formatCode="#,##0"/>
    <numFmt numFmtId="169" formatCode="dd/mm/yyyy"/>
    <numFmt numFmtId="170" formatCode="0.0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000000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sz val="11"/>
      <color rgb="FFC00000"/>
      <name val="Arial"/>
      <family val="0"/>
      <charset val="1"/>
    </font>
    <font>
      <b val="true"/>
      <sz val="15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1"/>
      <color rgb="FFBF8F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sz val="11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BF8F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5"/>
  </cols>
  <sheetData>
    <row r="2" customFormat="false" ht="18.5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2" t="s">
        <v>2</v>
      </c>
    </row>
    <row r="7" customFormat="false" ht="15" hidden="false" customHeight="false" outlineLevel="0" collapsed="false">
      <c r="B7" s="3" t="s">
        <v>3</v>
      </c>
    </row>
    <row r="8" customFormat="false" ht="15" hidden="false" customHeight="false" outlineLevel="0" collapsed="false">
      <c r="B8" s="4" t="s">
        <v>4</v>
      </c>
    </row>
    <row r="9" customFormat="false" ht="15" hidden="false" customHeight="false" outlineLevel="0" collapsed="false">
      <c r="B9" s="4" t="s">
        <v>5</v>
      </c>
    </row>
    <row r="10" customFormat="false" ht="15" hidden="false" customHeight="false" outlineLevel="0" collapsed="false">
      <c r="B10" s="4" t="s">
        <v>6</v>
      </c>
    </row>
    <row r="11" customFormat="false" ht="15" hidden="false" customHeight="false" outlineLevel="0" collapsed="false">
      <c r="B11" s="4" t="s">
        <v>7</v>
      </c>
    </row>
    <row r="13" customFormat="false" ht="15" hidden="false" customHeight="false" outlineLevel="0" collapsed="false">
      <c r="B13" s="5" t="s">
        <v>8</v>
      </c>
    </row>
    <row r="14" customFormat="false" ht="15" hidden="false" customHeight="false" outlineLevel="0" collapsed="false">
      <c r="B14" s="6" t="s">
        <v>9</v>
      </c>
    </row>
    <row r="15" customFormat="false" ht="15" hidden="false" customHeight="false" outlineLevel="0" collapsed="false">
      <c r="B15" s="6" t="s">
        <v>10</v>
      </c>
    </row>
    <row r="16" customFormat="false" ht="15" hidden="false" customHeight="false" outlineLevel="0" collapsed="false">
      <c r="B16" s="6" t="s">
        <v>11</v>
      </c>
    </row>
    <row r="17" customFormat="false" ht="15" hidden="false" customHeight="false" outlineLevel="0" collapsed="false">
      <c r="B17" s="6" t="s">
        <v>12</v>
      </c>
    </row>
    <row r="19" customFormat="false" ht="15" hidden="false" customHeight="false" outlineLevel="0" collapsed="false">
      <c r="B19" s="3" t="s">
        <v>13</v>
      </c>
    </row>
    <row r="20" customFormat="false" ht="15" hidden="false" customHeight="false" outlineLevel="0" collapsed="false">
      <c r="B20" s="4" t="s">
        <v>14</v>
      </c>
    </row>
    <row r="21" customFormat="false" ht="15" hidden="false" customHeight="false" outlineLevel="0" collapsed="false">
      <c r="B21" s="4" t="s">
        <v>15</v>
      </c>
    </row>
    <row r="22" customFormat="false" ht="15" hidden="false" customHeight="false" outlineLevel="0" collapsed="false">
      <c r="B22" s="4" t="s">
        <v>16</v>
      </c>
    </row>
    <row r="23" customFormat="false" ht="15" hidden="false" customHeight="false" outlineLevel="0" collapsed="false">
      <c r="B23" s="4" t="s">
        <v>17</v>
      </c>
    </row>
    <row r="24" customFormat="false" ht="15" hidden="false" customHeight="false" outlineLevel="0" collapsed="false">
      <c r="B24" s="4" t="s">
        <v>18</v>
      </c>
    </row>
    <row r="25" customFormat="false" ht="15" hidden="false" customHeight="false" outlineLevel="0" collapsed="false">
      <c r="B25" s="4" t="s">
        <v>19</v>
      </c>
    </row>
    <row r="26" customFormat="false" ht="15" hidden="false" customHeight="false" outlineLevel="0" collapsed="false">
      <c r="B26" s="4" t="s">
        <v>20</v>
      </c>
    </row>
    <row r="27" customFormat="false" ht="15" hidden="false" customHeight="false" outlineLevel="0" collapsed="false">
      <c r="B27" s="4" t="s">
        <v>21</v>
      </c>
    </row>
    <row r="28" customFormat="false" ht="15" hidden="false" customHeight="false" outlineLevel="0" collapsed="false">
      <c r="B28" s="4" t="s">
        <v>22</v>
      </c>
    </row>
    <row r="30" customFormat="false" ht="15" hidden="false" customHeight="false" outlineLevel="0" collapsed="false">
      <c r="B30" s="5" t="s">
        <v>23</v>
      </c>
    </row>
    <row r="31" customFormat="false" ht="15" hidden="false" customHeight="false" outlineLevel="0" collapsed="false">
      <c r="B31" s="6" t="s">
        <v>24</v>
      </c>
    </row>
    <row r="32" customFormat="false" ht="15" hidden="false" customHeight="false" outlineLevel="0" collapsed="false">
      <c r="B32" s="6" t="s">
        <v>25</v>
      </c>
    </row>
    <row r="33" customFormat="false" ht="15" hidden="false" customHeight="false" outlineLevel="0" collapsed="false">
      <c r="B33" s="6" t="s">
        <v>26</v>
      </c>
    </row>
    <row r="35" customFormat="false" ht="15" hidden="false" customHeight="false" outlineLevel="0" collapsed="false">
      <c r="B35" s="5" t="s">
        <v>27</v>
      </c>
    </row>
    <row r="36" customFormat="false" ht="15" hidden="false" customHeight="false" outlineLevel="0" collapsed="false">
      <c r="B36" s="6" t="s">
        <v>28</v>
      </c>
    </row>
    <row r="37" customFormat="false" ht="15" hidden="false" customHeight="false" outlineLevel="0" collapsed="false">
      <c r="B37" s="6" t="s">
        <v>29</v>
      </c>
    </row>
    <row r="38" customFormat="false" ht="15" hidden="false" customHeight="false" outlineLevel="0" collapsed="false">
      <c r="B38" s="6" t="s">
        <v>30</v>
      </c>
    </row>
    <row r="39" customFormat="false" ht="15" hidden="false" customHeight="false" outlineLevel="0" collapsed="false">
      <c r="B39" s="6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60"/>
  </cols>
  <sheetData>
    <row r="2" customFormat="false" ht="18.55" hidden="false" customHeight="false" outlineLevel="0" collapsed="false">
      <c r="B2" s="7" t="s">
        <v>32</v>
      </c>
    </row>
    <row r="3" customFormat="false" ht="15" hidden="false" customHeight="false" outlineLevel="0" collapsed="false">
      <c r="B3" s="8" t="s">
        <v>33</v>
      </c>
    </row>
    <row r="5" customFormat="false" ht="15" hidden="false" customHeight="false" outlineLevel="0" collapsed="false">
      <c r="B5" s="9" t="s">
        <v>34</v>
      </c>
    </row>
    <row r="6" customFormat="false" ht="15" hidden="false" customHeight="false" outlineLevel="0" collapsed="false">
      <c r="B6" s="10" t="s">
        <v>35</v>
      </c>
      <c r="C6" s="11" t="n">
        <v>0.405330712680181</v>
      </c>
      <c r="D6" s="8" t="s">
        <v>36</v>
      </c>
    </row>
    <row r="7" customFormat="false" ht="15" hidden="false" customHeight="false" outlineLevel="0" collapsed="false">
      <c r="B7" s="10" t="s">
        <v>37</v>
      </c>
      <c r="C7" s="11" t="n">
        <v>0.220496324349796</v>
      </c>
      <c r="D7" s="8" t="s">
        <v>38</v>
      </c>
    </row>
    <row r="8" customFormat="false" ht="15" hidden="false" customHeight="false" outlineLevel="0" collapsed="false">
      <c r="B8" s="10" t="s">
        <v>39</v>
      </c>
      <c r="C8" s="11" t="n">
        <v>0.625827037029977</v>
      </c>
    </row>
    <row r="9" customFormat="false" ht="15" hidden="false" customHeight="false" outlineLevel="0" collapsed="false">
      <c r="B9" s="10" t="s">
        <v>40</v>
      </c>
      <c r="C9" s="11" t="n">
        <v>0.251711411777437</v>
      </c>
      <c r="D9" s="8" t="s">
        <v>41</v>
      </c>
    </row>
    <row r="11" customFormat="false" ht="15" hidden="false" customHeight="false" outlineLevel="0" collapsed="false">
      <c r="B11" s="9" t="s">
        <v>42</v>
      </c>
    </row>
    <row r="12" customFormat="false" ht="15" hidden="false" customHeight="false" outlineLevel="0" collapsed="false">
      <c r="B12" s="10" t="s">
        <v>43</v>
      </c>
      <c r="C12" s="12" t="n">
        <v>5.78971074074322</v>
      </c>
      <c r="D12" s="8" t="s">
        <v>44</v>
      </c>
    </row>
    <row r="13" customFormat="false" ht="15" hidden="false" customHeight="false" outlineLevel="0" collapsed="false">
      <c r="B13" s="10" t="s">
        <v>45</v>
      </c>
      <c r="C13" s="11" t="n">
        <v>0.237813975629504</v>
      </c>
      <c r="D13" s="8" t="s">
        <v>46</v>
      </c>
    </row>
    <row r="14" customFormat="false" ht="15" hidden="false" customHeight="false" outlineLevel="0" collapsed="false">
      <c r="B14" s="10" t="s">
        <v>47</v>
      </c>
      <c r="C14" s="11" t="n">
        <v>0.385497752818243</v>
      </c>
      <c r="D14" s="8" t="s">
        <v>48</v>
      </c>
    </row>
    <row r="15" customFormat="false" ht="15" hidden="false" customHeight="false" outlineLevel="0" collapsed="false">
      <c r="B15" s="10" t="s">
        <v>49</v>
      </c>
      <c r="C15" s="13" t="s">
        <v>50</v>
      </c>
      <c r="D15" s="8" t="s">
        <v>51</v>
      </c>
    </row>
    <row r="17" customFormat="false" ht="15" hidden="false" customHeight="false" outlineLevel="0" collapsed="false">
      <c r="B17" s="9" t="s">
        <v>52</v>
      </c>
    </row>
    <row r="18" customFormat="false" ht="15" hidden="false" customHeight="false" outlineLevel="0" collapsed="false">
      <c r="B18" s="10" t="s">
        <v>53</v>
      </c>
      <c r="C18" s="14" t="n">
        <v>1228551.75073445</v>
      </c>
      <c r="D18" s="8" t="s">
        <v>54</v>
      </c>
    </row>
    <row r="20" customFormat="false" ht="15" hidden="false" customHeight="false" outlineLevel="0" collapsed="false">
      <c r="B20" s="10" t="s">
        <v>55</v>
      </c>
      <c r="C20" s="15" t="n">
        <v>314535.732329447</v>
      </c>
      <c r="D20" s="8" t="s">
        <v>56</v>
      </c>
    </row>
    <row r="21" customFormat="false" ht="15" hidden="false" customHeight="false" outlineLevel="0" collapsed="false">
      <c r="B21" s="10" t="s">
        <v>57</v>
      </c>
      <c r="C21" s="14" t="n">
        <v>829477.216705</v>
      </c>
    </row>
    <row r="22" customFormat="false" ht="15" hidden="false" customHeight="false" outlineLevel="0" collapsed="false">
      <c r="B22" s="10" t="s">
        <v>58</v>
      </c>
      <c r="C22" s="16" t="n">
        <v>3653</v>
      </c>
      <c r="D22" s="8" t="s">
        <v>59</v>
      </c>
    </row>
    <row r="24" customFormat="false" ht="15" hidden="false" customHeight="false" outlineLevel="0" collapsed="false">
      <c r="B24" s="9" t="s">
        <v>60</v>
      </c>
    </row>
    <row r="25" customFormat="false" ht="15" hidden="false" customHeight="false" outlineLevel="0" collapsed="false">
      <c r="B25" s="10" t="s">
        <v>61</v>
      </c>
      <c r="C25" s="11" t="n">
        <v>0.225468316781142</v>
      </c>
      <c r="D25" s="8" t="s">
        <v>62</v>
      </c>
    </row>
    <row r="26" customFormat="false" ht="15" hidden="false" customHeight="false" outlineLevel="0" collapsed="false">
      <c r="B26" s="10" t="s">
        <v>63</v>
      </c>
      <c r="C26" s="14" t="n">
        <v>53489221.27</v>
      </c>
      <c r="D26" s="8" t="s">
        <v>64</v>
      </c>
    </row>
    <row r="28" customFormat="false" ht="15" hidden="false" customHeight="false" outlineLevel="0" collapsed="false">
      <c r="B28" s="9" t="s">
        <v>65</v>
      </c>
    </row>
    <row r="29" customFormat="false" ht="15" hidden="false" customHeight="false" outlineLevel="0" collapsed="false">
      <c r="B29" s="2" t="s">
        <v>66</v>
      </c>
    </row>
    <row r="30" customFormat="false" ht="15" hidden="false" customHeight="false" outlineLevel="0" collapsed="false">
      <c r="B30" s="2" t="s">
        <v>67</v>
      </c>
    </row>
    <row r="31" customFormat="false" ht="15" hidden="false" customHeight="false" outlineLevel="0" collapsed="false">
      <c r="B31" s="2" t="s">
        <v>68</v>
      </c>
    </row>
    <row r="32" customFormat="false" ht="15" hidden="false" customHeight="false" outlineLevel="0" collapsed="false">
      <c r="B32" s="2" t="s">
        <v>69</v>
      </c>
    </row>
    <row r="33" customFormat="false" ht="15" hidden="false" customHeight="false" outlineLevel="0" collapsed="false">
      <c r="B33" s="2" t="s">
        <v>70</v>
      </c>
    </row>
    <row r="34" customFormat="false" ht="15" hidden="false" customHeight="false" outlineLevel="0" collapsed="false">
      <c r="B34" s="2" t="s">
        <v>71</v>
      </c>
    </row>
    <row r="35" customFormat="false" ht="15" hidden="false" customHeight="false" outlineLevel="0" collapsed="false">
      <c r="B35" s="2" t="s">
        <v>72</v>
      </c>
    </row>
    <row r="36" customFormat="false" ht="15" hidden="false" customHeight="false" outlineLevel="0" collapsed="false">
      <c r="B36" s="2" t="s">
        <v>73</v>
      </c>
    </row>
    <row r="37" customFormat="false" ht="15" hidden="false" customHeight="false" outlineLevel="0" collapsed="false">
      <c r="B37" s="2" t="s">
        <v>74</v>
      </c>
    </row>
    <row r="39" customFormat="false" ht="16.15" hidden="false" customHeight="false" outlineLevel="0" collapsed="false">
      <c r="B39" s="17" t="s">
        <v>75</v>
      </c>
    </row>
    <row r="41" customFormat="false" ht="15" hidden="false" customHeight="false" outlineLevel="0" collapsed="false">
      <c r="B41" s="9" t="s">
        <v>76</v>
      </c>
    </row>
    <row r="42" customFormat="false" ht="15" hidden="false" customHeight="false" outlineLevel="0" collapsed="false">
      <c r="B42" s="4" t="s">
        <v>77</v>
      </c>
    </row>
    <row r="43" customFormat="false" ht="15" hidden="false" customHeight="false" outlineLevel="0" collapsed="false">
      <c r="B43" s="4" t="s">
        <v>78</v>
      </c>
    </row>
    <row r="44" customFormat="false" ht="15" hidden="false" customHeight="false" outlineLevel="0" collapsed="false">
      <c r="B44" s="4" t="s">
        <v>79</v>
      </c>
    </row>
    <row r="45" customFormat="false" ht="15" hidden="false" customHeight="false" outlineLevel="0" collapsed="false">
      <c r="B45" s="4" t="s">
        <v>80</v>
      </c>
    </row>
    <row r="46" customFormat="false" ht="15" hidden="false" customHeight="false" outlineLevel="0" collapsed="false">
      <c r="B46" s="4" t="s">
        <v>81</v>
      </c>
    </row>
    <row r="48" customFormat="false" ht="15" hidden="false" customHeight="false" outlineLevel="0" collapsed="false">
      <c r="B48" s="9" t="s">
        <v>82</v>
      </c>
    </row>
    <row r="49" customFormat="false" ht="15" hidden="false" customHeight="false" outlineLevel="0" collapsed="false">
      <c r="B49" s="4" t="s">
        <v>83</v>
      </c>
    </row>
    <row r="50" customFormat="false" ht="15" hidden="false" customHeight="false" outlineLevel="0" collapsed="false">
      <c r="B50" s="4" t="s">
        <v>84</v>
      </c>
    </row>
    <row r="51" customFormat="false" ht="15" hidden="false" customHeight="false" outlineLevel="0" collapsed="false">
      <c r="B51" s="4" t="s">
        <v>85</v>
      </c>
    </row>
    <row r="52" customFormat="false" ht="15" hidden="false" customHeight="false" outlineLevel="0" collapsed="false">
      <c r="B52" s="4" t="s">
        <v>86</v>
      </c>
    </row>
    <row r="53" customFormat="false" ht="15" hidden="false" customHeight="false" outlineLevel="0" collapsed="false">
      <c r="B53" s="4" t="s">
        <v>87</v>
      </c>
    </row>
    <row r="54" customFormat="false" ht="15" hidden="false" customHeight="false" outlineLevel="0" collapsed="false">
      <c r="B54" s="4" t="s">
        <v>88</v>
      </c>
    </row>
    <row r="55" customFormat="false" ht="15" hidden="false" customHeight="false" outlineLevel="0" collapsed="false">
      <c r="B55" s="4" t="s">
        <v>89</v>
      </c>
    </row>
    <row r="56" customFormat="false" ht="15" hidden="false" customHeight="false" outlineLevel="0" collapsed="false">
      <c r="B56" s="4" t="s">
        <v>90</v>
      </c>
    </row>
    <row r="57" customFormat="false" ht="15" hidden="false" customHeight="false" outlineLevel="0" collapsed="false">
      <c r="B57" s="4" t="s">
        <v>91</v>
      </c>
    </row>
    <row r="59" customFormat="false" ht="15" hidden="false" customHeight="false" outlineLevel="0" collapsed="false">
      <c r="B59" s="9" t="s">
        <v>92</v>
      </c>
    </row>
    <row r="60" customFormat="false" ht="15" hidden="false" customHeight="false" outlineLevel="0" collapsed="false">
      <c r="B60" s="4" t="s">
        <v>93</v>
      </c>
    </row>
    <row r="61" customFormat="false" ht="15" hidden="false" customHeight="false" outlineLevel="0" collapsed="false">
      <c r="B61" s="4" t="s">
        <v>94</v>
      </c>
    </row>
    <row r="63" customFormat="false" ht="15" hidden="false" customHeight="false" outlineLevel="0" collapsed="false">
      <c r="B63" s="9" t="s">
        <v>95</v>
      </c>
    </row>
    <row r="64" customFormat="false" ht="15" hidden="false" customHeight="false" outlineLevel="0" collapsed="false">
      <c r="B64" s="4" t="s">
        <v>96</v>
      </c>
    </row>
    <row r="66" customFormat="false" ht="15" hidden="false" customHeight="false" outlineLevel="0" collapsed="false">
      <c r="B66" s="9" t="s">
        <v>97</v>
      </c>
    </row>
    <row r="67" customFormat="false" ht="15" hidden="false" customHeight="false" outlineLevel="0" collapsed="false">
      <c r="B67" s="4" t="s">
        <v>98</v>
      </c>
    </row>
    <row r="68" customFormat="false" ht="15" hidden="false" customHeight="false" outlineLevel="0" collapsed="false">
      <c r="B68" s="4" t="s">
        <v>99</v>
      </c>
    </row>
    <row r="69" customFormat="false" ht="15" hidden="false" customHeight="false" outlineLevel="0" collapsed="false">
      <c r="B69" s="4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3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4"/>
  </cols>
  <sheetData>
    <row r="2" customFormat="false" ht="18.55" hidden="false" customHeight="false" outlineLevel="0" collapsed="false">
      <c r="B2" s="7" t="s">
        <v>101</v>
      </c>
    </row>
    <row r="3" customFormat="false" ht="15" hidden="false" customHeight="false" outlineLevel="0" collapsed="false">
      <c r="B3" s="8" t="s">
        <v>102</v>
      </c>
    </row>
    <row r="5" customFormat="false" ht="15" hidden="false" customHeight="false" outlineLevel="0" collapsed="false">
      <c r="B5" s="10" t="s">
        <v>103</v>
      </c>
      <c r="C5" s="14" t="n">
        <v>19634139.43564</v>
      </c>
    </row>
    <row r="6" customFormat="false" ht="15" hidden="false" customHeight="false" outlineLevel="0" collapsed="false">
      <c r="B6" s="10" t="s">
        <v>104</v>
      </c>
      <c r="C6" s="14" t="n">
        <v>7958319.73031</v>
      </c>
    </row>
    <row r="7" customFormat="false" ht="15" hidden="false" customHeight="false" outlineLevel="0" collapsed="false">
      <c r="B7" s="10" t="s">
        <v>105</v>
      </c>
      <c r="C7" s="18" t="n">
        <v>0.405330712680181</v>
      </c>
    </row>
    <row r="8" customFormat="false" ht="15" hidden="false" customHeight="false" outlineLevel="0" collapsed="false">
      <c r="B8" s="10" t="s">
        <v>106</v>
      </c>
      <c r="C8" s="14" t="n">
        <v>4329255.57733</v>
      </c>
    </row>
    <row r="9" customFormat="false" ht="15" hidden="false" customHeight="false" outlineLevel="0" collapsed="false">
      <c r="B9" s="10" t="s">
        <v>107</v>
      </c>
      <c r="C9" s="18" t="n">
        <v>0.220496324349796</v>
      </c>
    </row>
    <row r="11" customFormat="false" ht="15" hidden="false" customHeight="false" outlineLevel="0" collapsed="false">
      <c r="B11" s="9" t="s">
        <v>108</v>
      </c>
    </row>
    <row r="12" customFormat="false" ht="27.75" hidden="false" customHeight="true" outlineLevel="0" collapsed="false">
      <c r="B12" s="19" t="s">
        <v>109</v>
      </c>
      <c r="C12" s="19" t="s">
        <v>110</v>
      </c>
      <c r="D12" s="19" t="s">
        <v>111</v>
      </c>
      <c r="E12" s="19" t="s">
        <v>112</v>
      </c>
      <c r="F12" s="19" t="s">
        <v>113</v>
      </c>
      <c r="G12" s="19" t="s">
        <v>114</v>
      </c>
      <c r="H12" s="19" t="s">
        <v>115</v>
      </c>
      <c r="I12" s="19" t="s">
        <v>116</v>
      </c>
    </row>
    <row r="13" customFormat="false" ht="15" hidden="false" customHeight="false" outlineLevel="0" collapsed="false">
      <c r="B13" s="20" t="s">
        <v>117</v>
      </c>
      <c r="C13" s="21" t="n">
        <v>10986370.66905</v>
      </c>
      <c r="D13" s="21" t="n">
        <v>4517052.91337</v>
      </c>
      <c r="E13" s="21" t="n">
        <v>6469317.75568</v>
      </c>
      <c r="F13" s="21" t="n">
        <v>2485074.62491</v>
      </c>
      <c r="G13" s="22" t="n">
        <v>0.411150601908518</v>
      </c>
      <c r="H13" s="22" t="n">
        <v>0.226196138813227</v>
      </c>
      <c r="I13" s="20" t="s">
        <v>118</v>
      </c>
    </row>
    <row r="14" customFormat="false" ht="15" hidden="false" customHeight="false" outlineLevel="0" collapsed="false">
      <c r="B14" s="20" t="s">
        <v>119</v>
      </c>
      <c r="C14" s="21" t="n">
        <v>4965486.44774</v>
      </c>
      <c r="D14" s="21" t="n">
        <v>1245322.2149</v>
      </c>
      <c r="E14" s="21" t="n">
        <v>3720164.23284</v>
      </c>
      <c r="F14" s="21" t="n">
        <v>1309368.84698</v>
      </c>
      <c r="G14" s="22" t="n">
        <v>0.250795612475551</v>
      </c>
      <c r="H14" s="22" t="n">
        <v>0.263693972536356</v>
      </c>
      <c r="I14" s="20" t="s">
        <v>118</v>
      </c>
    </row>
    <row r="15" customFormat="false" ht="15" hidden="false" customHeight="false" outlineLevel="0" collapsed="false">
      <c r="B15" s="20" t="s">
        <v>120</v>
      </c>
      <c r="C15" s="21" t="n">
        <v>1967534.94724</v>
      </c>
      <c r="D15" s="21" t="n">
        <v>936725.33112</v>
      </c>
      <c r="E15" s="21" t="n">
        <v>1030809.61612</v>
      </c>
      <c r="F15" s="21" t="n">
        <v>362048.96942</v>
      </c>
      <c r="G15" s="22" t="n">
        <v>0.476090822393783</v>
      </c>
      <c r="H15" s="22" t="n">
        <v>0.184011455515884</v>
      </c>
      <c r="I15" s="20" t="s">
        <v>118</v>
      </c>
    </row>
    <row r="16" customFormat="false" ht="15" hidden="false" customHeight="false" outlineLevel="0" collapsed="false">
      <c r="B16" s="20" t="s">
        <v>121</v>
      </c>
      <c r="C16" s="21" t="n">
        <v>1304963.96451</v>
      </c>
      <c r="D16" s="21" t="n">
        <v>1106522.3544</v>
      </c>
      <c r="E16" s="21" t="n">
        <v>198441.61011</v>
      </c>
      <c r="F16" s="21" t="n">
        <v>70475.72585</v>
      </c>
      <c r="G16" s="22" t="n">
        <v>0.847933264437296</v>
      </c>
      <c r="H16" s="22" t="n">
        <v>0.0540058789105819</v>
      </c>
      <c r="I16" s="20" t="s">
        <v>122</v>
      </c>
    </row>
    <row r="17" customFormat="false" ht="15" hidden="false" customHeight="false" outlineLevel="0" collapsed="false">
      <c r="B17" s="20" t="s">
        <v>123</v>
      </c>
      <c r="C17" s="21" t="n">
        <v>409407.50043</v>
      </c>
      <c r="D17" s="21" t="n">
        <v>152532.75652</v>
      </c>
      <c r="E17" s="21" t="n">
        <v>256874.74391</v>
      </c>
      <c r="F17" s="21" t="n">
        <v>102287.41017</v>
      </c>
      <c r="G17" s="22" t="n">
        <v>0.372569521466498</v>
      </c>
      <c r="H17" s="22" t="n">
        <v>0.249842540897682</v>
      </c>
      <c r="I17" s="20" t="s">
        <v>122</v>
      </c>
    </row>
    <row r="18" customFormat="false" ht="15" hidden="false" customHeight="false" outlineLevel="0" collapsed="false">
      <c r="B18" s="20" t="s">
        <v>124</v>
      </c>
      <c r="C18" s="21" t="n">
        <v>375.90667</v>
      </c>
      <c r="D18" s="21" t="n">
        <v>164.16</v>
      </c>
      <c r="E18" s="21" t="n">
        <v>211.74667</v>
      </c>
      <c r="F18" s="21" t="n">
        <v>0</v>
      </c>
      <c r="G18" s="22" t="n">
        <v>0.436704142546872</v>
      </c>
      <c r="H18" s="22" t="n">
        <v>0</v>
      </c>
      <c r="I18" s="20" t="s">
        <v>125</v>
      </c>
    </row>
    <row r="20" customFormat="false" ht="15" hidden="false" customHeight="false" outlineLevel="0" collapsed="false">
      <c r="B20" s="23" t="s">
        <v>126</v>
      </c>
    </row>
    <row r="21" customFormat="false" ht="15" hidden="false" customHeight="false" outlineLevel="0" collapsed="false">
      <c r="B21" s="23" t="s">
        <v>127</v>
      </c>
    </row>
    <row r="22" customFormat="false" ht="15" hidden="false" customHeight="false" outlineLevel="0" collapsed="false">
      <c r="B22" s="23" t="s">
        <v>128</v>
      </c>
    </row>
    <row r="23" customFormat="false" ht="15" hidden="false" customHeight="false" outlineLevel="0" collapsed="false">
      <c r="B23" s="23" t="s">
        <v>129</v>
      </c>
    </row>
    <row r="25" customFormat="false" ht="15" hidden="false" customHeight="false" outlineLevel="0" collapsed="false">
      <c r="B25" s="9" t="s">
        <v>130</v>
      </c>
    </row>
    <row r="26" customFormat="false" ht="27.75" hidden="false" customHeight="true" outlineLevel="0" collapsed="false">
      <c r="B26" s="19" t="s">
        <v>131</v>
      </c>
      <c r="C26" s="19" t="s">
        <v>132</v>
      </c>
      <c r="D26" s="19" t="s">
        <v>133</v>
      </c>
      <c r="E26" s="19" t="s">
        <v>134</v>
      </c>
      <c r="F26" s="19" t="s">
        <v>135</v>
      </c>
      <c r="G26" s="19" t="s">
        <v>136</v>
      </c>
      <c r="H26" s="19" t="s">
        <v>137</v>
      </c>
      <c r="I26" s="19" t="s">
        <v>138</v>
      </c>
      <c r="J26" s="19" t="s">
        <v>139</v>
      </c>
      <c r="K26" s="19" t="s">
        <v>140</v>
      </c>
    </row>
    <row r="27" customFormat="false" ht="15" hidden="false" customHeight="false" outlineLevel="0" collapsed="false">
      <c r="B27" s="20" t="s">
        <v>141</v>
      </c>
      <c r="C27" s="20" t="s">
        <v>142</v>
      </c>
      <c r="D27" s="20" t="s">
        <v>117</v>
      </c>
      <c r="E27" s="20" t="s">
        <v>143</v>
      </c>
      <c r="F27" s="20" t="s">
        <v>144</v>
      </c>
      <c r="G27" s="20" t="n">
        <v>19</v>
      </c>
      <c r="H27" s="20" t="n">
        <v>0</v>
      </c>
      <c r="I27" s="21" t="n">
        <v>5000</v>
      </c>
      <c r="J27" s="21" t="n">
        <v>95000</v>
      </c>
      <c r="K27" s="24" t="n">
        <v>46022</v>
      </c>
    </row>
    <row r="28" customFormat="false" ht="15" hidden="false" customHeight="false" outlineLevel="0" collapsed="false">
      <c r="B28" s="20" t="s">
        <v>145</v>
      </c>
      <c r="C28" s="20" t="s">
        <v>146</v>
      </c>
      <c r="D28" s="20" t="s">
        <v>117</v>
      </c>
      <c r="E28" s="20" t="s">
        <v>143</v>
      </c>
      <c r="F28" s="20" t="s">
        <v>144</v>
      </c>
      <c r="G28" s="20" t="n">
        <v>5</v>
      </c>
      <c r="H28" s="20" t="n">
        <v>0</v>
      </c>
      <c r="I28" s="21" t="n">
        <v>15000</v>
      </c>
      <c r="J28" s="21" t="n">
        <v>75000</v>
      </c>
      <c r="K28" s="24" t="n">
        <v>46022</v>
      </c>
    </row>
    <row r="29" customFormat="false" ht="15" hidden="false" customHeight="false" outlineLevel="0" collapsed="false">
      <c r="B29" s="20" t="s">
        <v>147</v>
      </c>
      <c r="C29" s="20" t="s">
        <v>148</v>
      </c>
      <c r="D29" s="20" t="s">
        <v>117</v>
      </c>
      <c r="E29" s="20" t="s">
        <v>143</v>
      </c>
      <c r="F29" s="20" t="s">
        <v>144</v>
      </c>
      <c r="G29" s="20" t="n">
        <v>6</v>
      </c>
      <c r="H29" s="20" t="n">
        <v>0</v>
      </c>
      <c r="I29" s="21" t="n">
        <v>10000</v>
      </c>
      <c r="J29" s="21" t="n">
        <v>60000</v>
      </c>
      <c r="K29" s="24" t="n">
        <v>46022</v>
      </c>
    </row>
    <row r="30" customFormat="false" ht="15" hidden="false" customHeight="false" outlineLevel="0" collapsed="false">
      <c r="B30" s="20" t="s">
        <v>149</v>
      </c>
      <c r="C30" s="20" t="s">
        <v>150</v>
      </c>
      <c r="D30" s="20" t="s">
        <v>117</v>
      </c>
      <c r="E30" s="20" t="s">
        <v>151</v>
      </c>
      <c r="F30" s="20" t="s">
        <v>144</v>
      </c>
      <c r="G30" s="20" t="n">
        <v>23</v>
      </c>
      <c r="H30" s="20" t="n">
        <v>0</v>
      </c>
      <c r="I30" s="21" t="n">
        <v>2173.94</v>
      </c>
      <c r="J30" s="21" t="n">
        <v>50000.62</v>
      </c>
      <c r="K30" s="24" t="n">
        <v>46022</v>
      </c>
    </row>
    <row r="31" customFormat="false" ht="15" hidden="false" customHeight="false" outlineLevel="0" collapsed="false">
      <c r="B31" s="20" t="s">
        <v>152</v>
      </c>
      <c r="C31" s="20" t="s">
        <v>153</v>
      </c>
      <c r="D31" s="20" t="s">
        <v>117</v>
      </c>
      <c r="E31" s="20" t="s">
        <v>143</v>
      </c>
      <c r="F31" s="20" t="s">
        <v>144</v>
      </c>
      <c r="G31" s="20" t="n">
        <v>9</v>
      </c>
      <c r="H31" s="20" t="n">
        <v>0</v>
      </c>
      <c r="I31" s="21" t="n">
        <v>4000</v>
      </c>
      <c r="J31" s="21" t="n">
        <v>36000</v>
      </c>
      <c r="K31" s="24" t="n">
        <v>46022</v>
      </c>
    </row>
    <row r="32" customFormat="false" ht="15" hidden="false" customHeight="false" outlineLevel="0" collapsed="false">
      <c r="B32" s="20" t="s">
        <v>154</v>
      </c>
      <c r="C32" s="20" t="s">
        <v>155</v>
      </c>
      <c r="D32" s="20" t="s">
        <v>117</v>
      </c>
      <c r="E32" s="20" t="s">
        <v>156</v>
      </c>
      <c r="F32" s="20" t="s">
        <v>157</v>
      </c>
      <c r="G32" s="20" t="n">
        <v>398</v>
      </c>
      <c r="H32" s="20" t="n">
        <v>0</v>
      </c>
      <c r="I32" s="21" t="n">
        <v>89.73</v>
      </c>
      <c r="J32" s="21" t="n">
        <v>35712.54</v>
      </c>
      <c r="K32" s="24" t="n">
        <v>46210</v>
      </c>
    </row>
    <row r="33" customFormat="false" ht="15" hidden="false" customHeight="false" outlineLevel="0" collapsed="false">
      <c r="B33" s="20" t="s">
        <v>158</v>
      </c>
      <c r="C33" s="20" t="s">
        <v>159</v>
      </c>
      <c r="D33" s="20" t="s">
        <v>117</v>
      </c>
      <c r="E33" s="20" t="s">
        <v>143</v>
      </c>
      <c r="F33" s="20" t="s">
        <v>144</v>
      </c>
      <c r="G33" s="20" t="n">
        <v>13</v>
      </c>
      <c r="H33" s="20" t="n">
        <v>0</v>
      </c>
      <c r="I33" s="21" t="n">
        <v>2347.42</v>
      </c>
      <c r="J33" s="21" t="n">
        <v>30516.46</v>
      </c>
      <c r="K33" s="24" t="n">
        <v>46022</v>
      </c>
    </row>
    <row r="34" customFormat="false" ht="15" hidden="false" customHeight="false" outlineLevel="0" collapsed="false">
      <c r="B34" s="20" t="s">
        <v>160</v>
      </c>
      <c r="C34" s="20" t="s">
        <v>161</v>
      </c>
      <c r="D34" s="20" t="s">
        <v>117</v>
      </c>
      <c r="E34" s="20" t="s">
        <v>143</v>
      </c>
      <c r="F34" s="20" t="s">
        <v>144</v>
      </c>
      <c r="G34" s="20" t="n">
        <v>5</v>
      </c>
      <c r="H34" s="20" t="n">
        <v>0</v>
      </c>
      <c r="I34" s="21" t="n">
        <v>6000</v>
      </c>
      <c r="J34" s="21" t="n">
        <v>30000</v>
      </c>
      <c r="K34" s="24" t="n">
        <v>46147</v>
      </c>
    </row>
    <row r="35" customFormat="false" ht="15" hidden="false" customHeight="false" outlineLevel="0" collapsed="false">
      <c r="B35" s="20" t="s">
        <v>162</v>
      </c>
      <c r="C35" s="20" t="s">
        <v>163</v>
      </c>
      <c r="D35" s="20" t="s">
        <v>117</v>
      </c>
      <c r="E35" s="20" t="s">
        <v>164</v>
      </c>
      <c r="F35" s="20" t="s">
        <v>165</v>
      </c>
      <c r="G35" s="20" t="n">
        <v>80</v>
      </c>
      <c r="H35" s="20" t="n">
        <v>0</v>
      </c>
      <c r="I35" s="21" t="n">
        <v>315.836</v>
      </c>
      <c r="J35" s="21" t="n">
        <v>25266.88</v>
      </c>
      <c r="K35" s="24" t="n">
        <v>46247</v>
      </c>
    </row>
    <row r="36" customFormat="false" ht="15" hidden="false" customHeight="false" outlineLevel="0" collapsed="false">
      <c r="B36" s="20" t="s">
        <v>166</v>
      </c>
      <c r="C36" s="20" t="s">
        <v>167</v>
      </c>
      <c r="D36" s="20" t="s">
        <v>117</v>
      </c>
      <c r="E36" s="20" t="s">
        <v>156</v>
      </c>
      <c r="F36" s="20" t="s">
        <v>144</v>
      </c>
      <c r="G36" s="20" t="n">
        <v>320</v>
      </c>
      <c r="H36" s="20" t="n">
        <v>0</v>
      </c>
      <c r="I36" s="21" t="n">
        <v>75.68</v>
      </c>
      <c r="J36" s="21" t="n">
        <v>24217.6</v>
      </c>
      <c r="K36" s="24" t="n">
        <v>46022</v>
      </c>
    </row>
    <row r="37" customFormat="false" ht="15" hidden="false" customHeight="false" outlineLevel="0" collapsed="false">
      <c r="B37" s="20" t="s">
        <v>168</v>
      </c>
      <c r="C37" s="20" t="s">
        <v>169</v>
      </c>
      <c r="D37" s="20" t="s">
        <v>117</v>
      </c>
      <c r="E37" s="20" t="s">
        <v>170</v>
      </c>
      <c r="F37" s="20" t="s">
        <v>144</v>
      </c>
      <c r="G37" s="20" t="n">
        <v>1</v>
      </c>
      <c r="H37" s="20" t="n">
        <v>0</v>
      </c>
      <c r="I37" s="21" t="n">
        <v>20800</v>
      </c>
      <c r="J37" s="21" t="n">
        <v>20800</v>
      </c>
      <c r="K37" s="24" t="n">
        <v>46022</v>
      </c>
    </row>
    <row r="38" customFormat="false" ht="15" hidden="false" customHeight="false" outlineLevel="0" collapsed="false">
      <c r="B38" s="20" t="s">
        <v>171</v>
      </c>
      <c r="C38" s="20" t="s">
        <v>172</v>
      </c>
      <c r="D38" s="20" t="s">
        <v>119</v>
      </c>
      <c r="E38" s="20" t="s">
        <v>173</v>
      </c>
      <c r="F38" s="20" t="s">
        <v>165</v>
      </c>
      <c r="G38" s="20" t="n">
        <v>1</v>
      </c>
      <c r="H38" s="20" t="n">
        <v>0</v>
      </c>
      <c r="I38" s="21" t="n">
        <v>20295.085</v>
      </c>
      <c r="J38" s="21" t="n">
        <v>20295.085</v>
      </c>
      <c r="K38" s="24" t="n">
        <v>46170</v>
      </c>
    </row>
    <row r="39" customFormat="false" ht="15" hidden="false" customHeight="false" outlineLevel="0" collapsed="false">
      <c r="B39" s="20" t="s">
        <v>174</v>
      </c>
      <c r="C39" s="20" t="s">
        <v>175</v>
      </c>
      <c r="D39" s="20" t="s">
        <v>119</v>
      </c>
      <c r="E39" s="20" t="s">
        <v>173</v>
      </c>
      <c r="F39" s="20" t="s">
        <v>144</v>
      </c>
      <c r="G39" s="20" t="n">
        <v>1</v>
      </c>
      <c r="H39" s="20" t="n">
        <v>0</v>
      </c>
      <c r="I39" s="21" t="n">
        <v>20145.95</v>
      </c>
      <c r="J39" s="21" t="n">
        <v>20145.95</v>
      </c>
      <c r="K39" s="24" t="n">
        <v>46230</v>
      </c>
    </row>
    <row r="40" customFormat="false" ht="15" hidden="false" customHeight="false" outlineLevel="0" collapsed="false">
      <c r="B40" s="20" t="s">
        <v>176</v>
      </c>
      <c r="C40" s="20" t="s">
        <v>177</v>
      </c>
      <c r="D40" s="20" t="s">
        <v>117</v>
      </c>
      <c r="E40" s="20" t="s">
        <v>178</v>
      </c>
      <c r="F40" s="20" t="s">
        <v>144</v>
      </c>
      <c r="G40" s="20" t="n">
        <v>4</v>
      </c>
      <c r="H40" s="20" t="n">
        <v>0</v>
      </c>
      <c r="I40" s="21" t="n">
        <v>4823.24</v>
      </c>
      <c r="J40" s="21" t="n">
        <v>19292.96</v>
      </c>
      <c r="K40" s="24" t="n">
        <v>46022</v>
      </c>
    </row>
    <row r="41" customFormat="false" ht="15" hidden="false" customHeight="false" outlineLevel="0" collapsed="false">
      <c r="B41" s="20" t="s">
        <v>179</v>
      </c>
      <c r="C41" s="20" t="s">
        <v>180</v>
      </c>
      <c r="D41" s="20" t="s">
        <v>117</v>
      </c>
      <c r="E41" s="20" t="s">
        <v>181</v>
      </c>
      <c r="F41" s="20" t="s">
        <v>182</v>
      </c>
      <c r="G41" s="20" t="n">
        <v>1</v>
      </c>
      <c r="H41" s="20" t="n">
        <v>0</v>
      </c>
      <c r="I41" s="21" t="n">
        <v>18912.95</v>
      </c>
      <c r="J41" s="21" t="n">
        <v>18912.95</v>
      </c>
      <c r="K41" s="24" t="n">
        <v>46232</v>
      </c>
    </row>
    <row r="42" customFormat="false" ht="15" hidden="false" customHeight="false" outlineLevel="0" collapsed="false">
      <c r="B42" s="20" t="s">
        <v>183</v>
      </c>
      <c r="C42" s="20" t="s">
        <v>184</v>
      </c>
      <c r="D42" s="20" t="s">
        <v>117</v>
      </c>
      <c r="E42" s="20" t="s">
        <v>185</v>
      </c>
      <c r="F42" s="20" t="s">
        <v>144</v>
      </c>
      <c r="G42" s="20" t="n">
        <v>30</v>
      </c>
      <c r="H42" s="20" t="n">
        <v>0</v>
      </c>
      <c r="I42" s="21" t="n">
        <v>621.31</v>
      </c>
      <c r="J42" s="21" t="n">
        <v>18639.3</v>
      </c>
      <c r="K42" s="24" t="n">
        <v>46209</v>
      </c>
    </row>
    <row r="43" customFormat="false" ht="15" hidden="false" customHeight="false" outlineLevel="0" collapsed="false">
      <c r="B43" s="20" t="s">
        <v>186</v>
      </c>
      <c r="C43" s="20" t="s">
        <v>187</v>
      </c>
      <c r="D43" s="20" t="s">
        <v>117</v>
      </c>
      <c r="E43" s="20" t="s">
        <v>143</v>
      </c>
      <c r="F43" s="20" t="s">
        <v>144</v>
      </c>
      <c r="G43" s="20" t="n">
        <v>6</v>
      </c>
      <c r="H43" s="20" t="n">
        <v>0</v>
      </c>
      <c r="I43" s="21" t="n">
        <v>3000</v>
      </c>
      <c r="J43" s="21" t="n">
        <v>18000</v>
      </c>
      <c r="K43" s="24" t="n">
        <v>46022</v>
      </c>
    </row>
    <row r="44" customFormat="false" ht="15" hidden="false" customHeight="false" outlineLevel="0" collapsed="false">
      <c r="B44" s="20" t="s">
        <v>188</v>
      </c>
      <c r="C44" s="20" t="s">
        <v>189</v>
      </c>
      <c r="D44" s="20" t="s">
        <v>119</v>
      </c>
      <c r="E44" s="20" t="s">
        <v>190</v>
      </c>
      <c r="F44" s="20" t="s">
        <v>182</v>
      </c>
      <c r="G44" s="20" t="n">
        <v>3</v>
      </c>
      <c r="H44" s="20" t="n">
        <v>0</v>
      </c>
      <c r="I44" s="21" t="n">
        <v>5583.02</v>
      </c>
      <c r="J44" s="21" t="n">
        <v>16749.06</v>
      </c>
      <c r="K44" s="24" t="n">
        <v>46034</v>
      </c>
    </row>
    <row r="45" customFormat="false" ht="15" hidden="false" customHeight="false" outlineLevel="0" collapsed="false">
      <c r="B45" s="20" t="s">
        <v>191</v>
      </c>
      <c r="C45" s="20" t="s">
        <v>192</v>
      </c>
      <c r="D45" s="20" t="s">
        <v>117</v>
      </c>
      <c r="E45" s="20" t="s">
        <v>193</v>
      </c>
      <c r="F45" s="20" t="s">
        <v>144</v>
      </c>
      <c r="G45" s="20" t="n">
        <v>7</v>
      </c>
      <c r="H45" s="20" t="n">
        <v>0</v>
      </c>
      <c r="I45" s="21" t="n">
        <v>2366.87</v>
      </c>
      <c r="J45" s="21" t="n">
        <v>16568.09</v>
      </c>
      <c r="K45" s="24" t="n">
        <v>46022</v>
      </c>
    </row>
    <row r="46" customFormat="false" ht="15" hidden="false" customHeight="false" outlineLevel="0" collapsed="false">
      <c r="B46" s="20" t="s">
        <v>194</v>
      </c>
      <c r="C46" s="20" t="s">
        <v>195</v>
      </c>
      <c r="D46" s="20" t="s">
        <v>117</v>
      </c>
      <c r="E46" s="20" t="s">
        <v>196</v>
      </c>
      <c r="F46" s="20" t="s">
        <v>165</v>
      </c>
      <c r="G46" s="20" t="n">
        <v>13</v>
      </c>
      <c r="H46" s="20" t="n">
        <v>0</v>
      </c>
      <c r="I46" s="21" t="n">
        <v>1221.03385</v>
      </c>
      <c r="J46" s="21" t="n">
        <v>15873.44005</v>
      </c>
      <c r="K46" s="24" t="n">
        <v>46204</v>
      </c>
    </row>
    <row r="47" customFormat="false" ht="15" hidden="false" customHeight="false" outlineLevel="0" collapsed="false">
      <c r="B47" s="20" t="s">
        <v>197</v>
      </c>
      <c r="C47" s="20" t="s">
        <v>198</v>
      </c>
      <c r="D47" s="20" t="s">
        <v>119</v>
      </c>
      <c r="E47" s="20" t="s">
        <v>199</v>
      </c>
      <c r="F47" s="20" t="s">
        <v>200</v>
      </c>
      <c r="G47" s="20" t="n">
        <v>250</v>
      </c>
      <c r="H47" s="20" t="n">
        <v>0</v>
      </c>
      <c r="I47" s="21" t="n">
        <v>63.09</v>
      </c>
      <c r="J47" s="21" t="n">
        <v>15772.5</v>
      </c>
      <c r="K47" s="24" t="n">
        <v>46022</v>
      </c>
    </row>
    <row r="48" customFormat="false" ht="15" hidden="false" customHeight="false" outlineLevel="0" collapsed="false">
      <c r="B48" s="20" t="s">
        <v>201</v>
      </c>
      <c r="C48" s="20" t="s">
        <v>202</v>
      </c>
      <c r="D48" s="20" t="s">
        <v>119</v>
      </c>
      <c r="E48" s="20" t="s">
        <v>173</v>
      </c>
      <c r="F48" s="20" t="s">
        <v>165</v>
      </c>
      <c r="G48" s="20" t="n">
        <v>1</v>
      </c>
      <c r="H48" s="20" t="n">
        <v>0</v>
      </c>
      <c r="I48" s="21" t="n">
        <v>15428.8</v>
      </c>
      <c r="J48" s="21" t="n">
        <v>15428.8</v>
      </c>
      <c r="K48" s="24" t="n">
        <v>46154</v>
      </c>
    </row>
    <row r="49" customFormat="false" ht="15" hidden="false" customHeight="false" outlineLevel="0" collapsed="false">
      <c r="B49" s="20" t="s">
        <v>203</v>
      </c>
      <c r="C49" s="20" t="s">
        <v>204</v>
      </c>
      <c r="D49" s="20" t="s">
        <v>119</v>
      </c>
      <c r="E49" s="20" t="s">
        <v>205</v>
      </c>
      <c r="F49" s="20" t="s">
        <v>165</v>
      </c>
      <c r="G49" s="20" t="n">
        <v>7</v>
      </c>
      <c r="H49" s="20" t="n">
        <v>0</v>
      </c>
      <c r="I49" s="21" t="n">
        <v>2192.72806</v>
      </c>
      <c r="J49" s="21" t="n">
        <v>15349.09642</v>
      </c>
      <c r="K49" s="24" t="n">
        <v>46078</v>
      </c>
    </row>
    <row r="50" customFormat="false" ht="15" hidden="false" customHeight="false" outlineLevel="0" collapsed="false">
      <c r="B50" s="20" t="s">
        <v>206</v>
      </c>
      <c r="C50" s="20" t="s">
        <v>207</v>
      </c>
      <c r="D50" s="20" t="s">
        <v>117</v>
      </c>
      <c r="E50" s="20" t="s">
        <v>208</v>
      </c>
      <c r="F50" s="20" t="s">
        <v>144</v>
      </c>
      <c r="G50" s="20" t="n">
        <v>1</v>
      </c>
      <c r="H50" s="20" t="n">
        <v>0</v>
      </c>
      <c r="I50" s="21" t="n">
        <v>15224.65</v>
      </c>
      <c r="J50" s="21" t="n">
        <v>15224.65</v>
      </c>
      <c r="K50" s="24" t="n">
        <v>46022</v>
      </c>
    </row>
    <row r="51" customFormat="false" ht="15" hidden="false" customHeight="false" outlineLevel="0" collapsed="false">
      <c r="B51" s="20" t="s">
        <v>209</v>
      </c>
      <c r="C51" s="20" t="s">
        <v>210</v>
      </c>
      <c r="D51" s="20" t="s">
        <v>117</v>
      </c>
      <c r="E51" s="20" t="s">
        <v>211</v>
      </c>
      <c r="F51" s="20" t="s">
        <v>144</v>
      </c>
      <c r="G51" s="20" t="n">
        <v>12</v>
      </c>
      <c r="H51" s="20" t="n">
        <v>0</v>
      </c>
      <c r="I51" s="21" t="n">
        <v>1223.76</v>
      </c>
      <c r="J51" s="21" t="n">
        <v>14685.12</v>
      </c>
      <c r="K51" s="24" t="n">
        <v>46022</v>
      </c>
    </row>
    <row r="52" customFormat="false" ht="15" hidden="false" customHeight="false" outlineLevel="0" collapsed="false">
      <c r="B52" s="20" t="s">
        <v>212</v>
      </c>
      <c r="C52" s="20" t="s">
        <v>213</v>
      </c>
      <c r="D52" s="20" t="s">
        <v>120</v>
      </c>
      <c r="E52" s="20" t="s">
        <v>196</v>
      </c>
      <c r="F52" s="20" t="s">
        <v>214</v>
      </c>
      <c r="G52" s="20" t="n">
        <v>72</v>
      </c>
      <c r="H52" s="20" t="n">
        <v>0</v>
      </c>
      <c r="I52" s="21" t="n">
        <v>197.92249</v>
      </c>
      <c r="J52" s="21" t="n">
        <v>14250.41928</v>
      </c>
      <c r="K52" s="24" t="n">
        <v>46252</v>
      </c>
    </row>
    <row r="53" customFormat="false" ht="15" hidden="false" customHeight="false" outlineLevel="0" collapsed="false">
      <c r="B53" s="20" t="s">
        <v>215</v>
      </c>
      <c r="C53" s="20" t="s">
        <v>216</v>
      </c>
      <c r="D53" s="20" t="s">
        <v>117</v>
      </c>
      <c r="E53" s="20" t="s">
        <v>199</v>
      </c>
      <c r="F53" s="20" t="s">
        <v>157</v>
      </c>
      <c r="G53" s="20" t="n">
        <v>139</v>
      </c>
      <c r="H53" s="20" t="n">
        <v>0</v>
      </c>
      <c r="I53" s="21" t="n">
        <v>94.86586</v>
      </c>
      <c r="J53" s="21" t="n">
        <v>13186.35454</v>
      </c>
      <c r="K53" s="24" t="n">
        <v>46225</v>
      </c>
    </row>
    <row r="54" customFormat="false" ht="15" hidden="false" customHeight="false" outlineLevel="0" collapsed="false">
      <c r="B54" s="20" t="s">
        <v>217</v>
      </c>
      <c r="C54" s="20" t="s">
        <v>218</v>
      </c>
      <c r="D54" s="20" t="s">
        <v>117</v>
      </c>
      <c r="E54" s="20" t="s">
        <v>219</v>
      </c>
      <c r="F54" s="20" t="s">
        <v>157</v>
      </c>
      <c r="G54" s="20" t="n">
        <v>1</v>
      </c>
      <c r="H54" s="20" t="n">
        <v>0</v>
      </c>
      <c r="I54" s="21" t="n">
        <v>13033.58</v>
      </c>
      <c r="J54" s="21" t="n">
        <v>13033.58</v>
      </c>
      <c r="K54" s="24" t="n">
        <v>46108</v>
      </c>
    </row>
    <row r="55" customFormat="false" ht="15" hidden="false" customHeight="false" outlineLevel="0" collapsed="false">
      <c r="B55" s="20" t="s">
        <v>220</v>
      </c>
      <c r="C55" s="20" t="s">
        <v>221</v>
      </c>
      <c r="D55" s="20" t="s">
        <v>117</v>
      </c>
      <c r="E55" s="20" t="s">
        <v>178</v>
      </c>
      <c r="F55" s="20" t="s">
        <v>144</v>
      </c>
      <c r="G55" s="20" t="n">
        <v>20</v>
      </c>
      <c r="H55" s="20" t="n">
        <v>0</v>
      </c>
      <c r="I55" s="21" t="n">
        <v>648.312</v>
      </c>
      <c r="J55" s="21" t="n">
        <v>12966.24</v>
      </c>
      <c r="K55" s="24" t="n">
        <v>46202</v>
      </c>
    </row>
    <row r="56" customFormat="false" ht="15" hidden="false" customHeight="false" outlineLevel="0" collapsed="false">
      <c r="B56" s="20" t="s">
        <v>222</v>
      </c>
      <c r="C56" s="20" t="s">
        <v>223</v>
      </c>
      <c r="D56" s="20" t="s">
        <v>119</v>
      </c>
      <c r="E56" s="20" t="s">
        <v>224</v>
      </c>
      <c r="F56" s="20" t="s">
        <v>144</v>
      </c>
      <c r="G56" s="20" t="n">
        <v>20</v>
      </c>
      <c r="H56" s="20" t="n">
        <v>0</v>
      </c>
      <c r="I56" s="21" t="n">
        <v>611.6835</v>
      </c>
      <c r="J56" s="21" t="n">
        <v>12233.67</v>
      </c>
      <c r="K56" s="24" t="n">
        <v>46167</v>
      </c>
    </row>
    <row r="57" customFormat="false" ht="15" hidden="false" customHeight="false" outlineLevel="0" collapsed="false">
      <c r="B57" s="20" t="s">
        <v>225</v>
      </c>
      <c r="C57" s="20" t="s">
        <v>226</v>
      </c>
      <c r="D57" s="20" t="s">
        <v>117</v>
      </c>
      <c r="E57" s="20" t="s">
        <v>227</v>
      </c>
      <c r="F57" s="20" t="s">
        <v>144</v>
      </c>
      <c r="G57" s="20" t="n">
        <v>61</v>
      </c>
      <c r="H57" s="20" t="n">
        <v>0</v>
      </c>
      <c r="I57" s="21" t="n">
        <v>200</v>
      </c>
      <c r="J57" s="21" t="n">
        <v>12200</v>
      </c>
      <c r="K57" s="24" t="n">
        <v>46022</v>
      </c>
    </row>
    <row r="58" customFormat="false" ht="15" hidden="false" customHeight="false" outlineLevel="0" collapsed="false">
      <c r="B58" s="20" t="s">
        <v>228</v>
      </c>
      <c r="C58" s="20" t="s">
        <v>229</v>
      </c>
      <c r="D58" s="20" t="s">
        <v>117</v>
      </c>
      <c r="E58" s="20" t="s">
        <v>230</v>
      </c>
      <c r="F58" s="20" t="s">
        <v>165</v>
      </c>
      <c r="G58" s="20" t="n">
        <v>2</v>
      </c>
      <c r="H58" s="20" t="n">
        <v>0</v>
      </c>
      <c r="I58" s="21" t="n">
        <v>6100</v>
      </c>
      <c r="J58" s="21" t="n">
        <v>12200</v>
      </c>
      <c r="K58" s="24" t="n">
        <v>46022</v>
      </c>
    </row>
    <row r="59" customFormat="false" ht="15" hidden="false" customHeight="false" outlineLevel="0" collapsed="false">
      <c r="B59" s="20" t="s">
        <v>231</v>
      </c>
      <c r="C59" s="20" t="s">
        <v>232</v>
      </c>
      <c r="D59" s="20" t="s">
        <v>117</v>
      </c>
      <c r="E59" s="20" t="s">
        <v>233</v>
      </c>
      <c r="F59" s="20" t="s">
        <v>144</v>
      </c>
      <c r="G59" s="20" t="n">
        <v>2</v>
      </c>
      <c r="H59" s="20" t="n">
        <v>0</v>
      </c>
      <c r="I59" s="21" t="n">
        <v>6015.39</v>
      </c>
      <c r="J59" s="21" t="n">
        <v>12030.78</v>
      </c>
      <c r="K59" s="24" t="n">
        <v>46022</v>
      </c>
    </row>
    <row r="60" customFormat="false" ht="15" hidden="false" customHeight="false" outlineLevel="0" collapsed="false">
      <c r="B60" s="20" t="s">
        <v>234</v>
      </c>
      <c r="C60" s="20" t="s">
        <v>235</v>
      </c>
      <c r="D60" s="20" t="s">
        <v>117</v>
      </c>
      <c r="E60" s="20" t="s">
        <v>236</v>
      </c>
      <c r="F60" s="20" t="s">
        <v>144</v>
      </c>
      <c r="G60" s="20" t="n">
        <v>6</v>
      </c>
      <c r="H60" s="20" t="n">
        <v>0</v>
      </c>
      <c r="I60" s="21" t="n">
        <v>1984</v>
      </c>
      <c r="J60" s="21" t="n">
        <v>11904</v>
      </c>
      <c r="K60" s="24" t="n">
        <v>46022</v>
      </c>
    </row>
    <row r="61" customFormat="false" ht="15" hidden="false" customHeight="false" outlineLevel="0" collapsed="false">
      <c r="B61" s="20" t="s">
        <v>237</v>
      </c>
      <c r="C61" s="20" t="s">
        <v>238</v>
      </c>
      <c r="D61" s="20" t="s">
        <v>120</v>
      </c>
      <c r="E61" s="20" t="s">
        <v>211</v>
      </c>
      <c r="F61" s="20" t="s">
        <v>165</v>
      </c>
      <c r="G61" s="20" t="n">
        <v>6</v>
      </c>
      <c r="H61" s="20" t="n">
        <v>0</v>
      </c>
      <c r="I61" s="21" t="n">
        <v>1944.51</v>
      </c>
      <c r="J61" s="21" t="n">
        <v>11667.06</v>
      </c>
      <c r="K61" s="24" t="n">
        <v>46022</v>
      </c>
    </row>
    <row r="62" customFormat="false" ht="15" hidden="false" customHeight="false" outlineLevel="0" collapsed="false">
      <c r="B62" s="20" t="s">
        <v>239</v>
      </c>
      <c r="C62" s="20" t="s">
        <v>240</v>
      </c>
      <c r="D62" s="20" t="s">
        <v>117</v>
      </c>
      <c r="E62" s="20" t="s">
        <v>227</v>
      </c>
      <c r="F62" s="20" t="s">
        <v>144</v>
      </c>
      <c r="G62" s="20" t="n">
        <v>19</v>
      </c>
      <c r="H62" s="20" t="n">
        <v>0</v>
      </c>
      <c r="I62" s="21" t="n">
        <v>600</v>
      </c>
      <c r="J62" s="21" t="n">
        <v>11400</v>
      </c>
      <c r="K62" s="24" t="n">
        <v>46022</v>
      </c>
    </row>
    <row r="63" customFormat="false" ht="15" hidden="false" customHeight="false" outlineLevel="0" collapsed="false">
      <c r="B63" s="20" t="s">
        <v>241</v>
      </c>
      <c r="C63" s="20" t="s">
        <v>242</v>
      </c>
      <c r="D63" s="20" t="s">
        <v>117</v>
      </c>
      <c r="E63" s="20" t="s">
        <v>243</v>
      </c>
      <c r="F63" s="20" t="s">
        <v>144</v>
      </c>
      <c r="G63" s="20" t="n">
        <v>4</v>
      </c>
      <c r="H63" s="20" t="n">
        <v>0</v>
      </c>
      <c r="I63" s="21" t="n">
        <v>2811.43</v>
      </c>
      <c r="J63" s="21" t="n">
        <v>11245.72</v>
      </c>
      <c r="K63" s="24" t="n">
        <v>46210</v>
      </c>
    </row>
    <row r="64" customFormat="false" ht="15" hidden="false" customHeight="false" outlineLevel="0" collapsed="false">
      <c r="B64" s="20" t="s">
        <v>244</v>
      </c>
      <c r="C64" s="20" t="s">
        <v>245</v>
      </c>
      <c r="D64" s="20" t="s">
        <v>117</v>
      </c>
      <c r="E64" s="20" t="s">
        <v>199</v>
      </c>
      <c r="F64" s="20" t="s">
        <v>144</v>
      </c>
      <c r="G64" s="20" t="n">
        <v>138</v>
      </c>
      <c r="H64" s="20" t="n">
        <v>0</v>
      </c>
      <c r="I64" s="21" t="n">
        <v>80.04784</v>
      </c>
      <c r="J64" s="21" t="n">
        <v>11046.60192</v>
      </c>
      <c r="K64" s="24" t="n">
        <v>46225</v>
      </c>
    </row>
    <row r="65" customFormat="false" ht="15" hidden="false" customHeight="false" outlineLevel="0" collapsed="false">
      <c r="B65" s="20" t="s">
        <v>246</v>
      </c>
      <c r="C65" s="20" t="s">
        <v>247</v>
      </c>
      <c r="D65" s="20" t="s">
        <v>117</v>
      </c>
      <c r="E65" s="20" t="s">
        <v>181</v>
      </c>
      <c r="F65" s="20" t="s">
        <v>144</v>
      </c>
      <c r="G65" s="20" t="n">
        <v>6</v>
      </c>
      <c r="H65" s="20" t="n">
        <v>0</v>
      </c>
      <c r="I65" s="21" t="n">
        <v>1828.33518</v>
      </c>
      <c r="J65" s="21" t="n">
        <v>10970.01108</v>
      </c>
      <c r="K65" s="24" t="n">
        <v>46125</v>
      </c>
    </row>
    <row r="66" customFormat="false" ht="15" hidden="false" customHeight="false" outlineLevel="0" collapsed="false">
      <c r="B66" s="20" t="s">
        <v>248</v>
      </c>
      <c r="C66" s="20" t="s">
        <v>249</v>
      </c>
      <c r="D66" s="20" t="s">
        <v>119</v>
      </c>
      <c r="E66" s="20" t="s">
        <v>219</v>
      </c>
      <c r="F66" s="20" t="s">
        <v>165</v>
      </c>
      <c r="G66" s="20" t="n">
        <v>2</v>
      </c>
      <c r="H66" s="20" t="n">
        <v>0</v>
      </c>
      <c r="I66" s="21" t="n">
        <v>5372.65</v>
      </c>
      <c r="J66" s="21" t="n">
        <v>10745.3</v>
      </c>
      <c r="K66" s="24" t="n">
        <v>46181</v>
      </c>
    </row>
    <row r="67" customFormat="false" ht="15" hidden="false" customHeight="false" outlineLevel="0" collapsed="false">
      <c r="B67" s="20" t="s">
        <v>250</v>
      </c>
      <c r="C67" s="20" t="s">
        <v>251</v>
      </c>
      <c r="D67" s="20" t="s">
        <v>120</v>
      </c>
      <c r="E67" s="20" t="s">
        <v>208</v>
      </c>
      <c r="F67" s="20" t="s">
        <v>165</v>
      </c>
      <c r="G67" s="20" t="n">
        <v>1</v>
      </c>
      <c r="H67" s="20" t="n">
        <v>0</v>
      </c>
      <c r="I67" s="21" t="n">
        <v>10680.44</v>
      </c>
      <c r="J67" s="21" t="n">
        <v>10680.44</v>
      </c>
      <c r="K67" s="24" t="n">
        <v>46079</v>
      </c>
    </row>
    <row r="68" customFormat="false" ht="15" hidden="false" customHeight="false" outlineLevel="0" collapsed="false">
      <c r="B68" s="20" t="s">
        <v>252</v>
      </c>
      <c r="C68" s="20" t="s">
        <v>253</v>
      </c>
      <c r="D68" s="20" t="s">
        <v>121</v>
      </c>
      <c r="E68" s="20" t="s">
        <v>208</v>
      </c>
      <c r="F68" s="20" t="s">
        <v>165</v>
      </c>
      <c r="G68" s="20" t="n">
        <v>1</v>
      </c>
      <c r="H68" s="20" t="n">
        <v>0</v>
      </c>
      <c r="I68" s="21" t="n">
        <v>10538.37</v>
      </c>
      <c r="J68" s="21" t="n">
        <v>10538.37</v>
      </c>
      <c r="K68" s="24" t="n">
        <v>46218</v>
      </c>
    </row>
    <row r="69" customFormat="false" ht="15" hidden="false" customHeight="false" outlineLevel="0" collapsed="false">
      <c r="B69" s="20" t="s">
        <v>254</v>
      </c>
      <c r="C69" s="20" t="s">
        <v>255</v>
      </c>
      <c r="D69" s="20" t="s">
        <v>120</v>
      </c>
      <c r="E69" s="20" t="s">
        <v>256</v>
      </c>
      <c r="F69" s="20" t="s">
        <v>214</v>
      </c>
      <c r="G69" s="20" t="n">
        <v>78</v>
      </c>
      <c r="H69" s="20" t="n">
        <v>0</v>
      </c>
      <c r="I69" s="21" t="n">
        <v>134.44825</v>
      </c>
      <c r="J69" s="21" t="n">
        <v>10486.9635</v>
      </c>
      <c r="K69" s="24" t="n">
        <v>46098</v>
      </c>
    </row>
    <row r="70" customFormat="false" ht="15" hidden="false" customHeight="false" outlineLevel="0" collapsed="false">
      <c r="B70" s="20" t="s">
        <v>257</v>
      </c>
      <c r="C70" s="20" t="s">
        <v>258</v>
      </c>
      <c r="D70" s="20" t="s">
        <v>117</v>
      </c>
      <c r="E70" s="20" t="s">
        <v>259</v>
      </c>
      <c r="F70" s="20" t="s">
        <v>144</v>
      </c>
      <c r="G70" s="20" t="n">
        <v>4</v>
      </c>
      <c r="H70" s="20" t="n">
        <v>0</v>
      </c>
      <c r="I70" s="21" t="n">
        <v>2616.235</v>
      </c>
      <c r="J70" s="21" t="n">
        <v>10464.94</v>
      </c>
      <c r="K70" s="24" t="n">
        <v>46105</v>
      </c>
    </row>
    <row r="71" customFormat="false" ht="15" hidden="false" customHeight="false" outlineLevel="0" collapsed="false">
      <c r="B71" s="20" t="s">
        <v>260</v>
      </c>
      <c r="C71" s="20" t="s">
        <v>261</v>
      </c>
      <c r="D71" s="20" t="s">
        <v>117</v>
      </c>
      <c r="E71" s="20" t="s">
        <v>262</v>
      </c>
      <c r="F71" s="20" t="s">
        <v>182</v>
      </c>
      <c r="G71" s="20" t="n">
        <v>3</v>
      </c>
      <c r="H71" s="20" t="n">
        <v>0</v>
      </c>
      <c r="I71" s="21" t="n">
        <v>3482.62</v>
      </c>
      <c r="J71" s="21" t="n">
        <v>10447.86</v>
      </c>
      <c r="K71" s="24" t="n">
        <v>46225</v>
      </c>
    </row>
    <row r="72" customFormat="false" ht="15" hidden="false" customHeight="false" outlineLevel="0" collapsed="false">
      <c r="B72" s="20" t="s">
        <v>263</v>
      </c>
      <c r="C72" s="20" t="s">
        <v>264</v>
      </c>
      <c r="D72" s="20" t="s">
        <v>117</v>
      </c>
      <c r="E72" s="20" t="s">
        <v>265</v>
      </c>
      <c r="F72" s="20" t="s">
        <v>144</v>
      </c>
      <c r="G72" s="20" t="n">
        <v>19</v>
      </c>
      <c r="H72" s="20" t="n">
        <v>0</v>
      </c>
      <c r="I72" s="21" t="n">
        <v>549.22</v>
      </c>
      <c r="J72" s="21" t="n">
        <v>10435.18</v>
      </c>
      <c r="K72" s="24" t="n">
        <v>46022</v>
      </c>
    </row>
    <row r="73" customFormat="false" ht="15" hidden="false" customHeight="false" outlineLevel="0" collapsed="false">
      <c r="B73" s="20" t="s">
        <v>266</v>
      </c>
      <c r="C73" s="20" t="s">
        <v>267</v>
      </c>
      <c r="D73" s="20" t="s">
        <v>119</v>
      </c>
      <c r="E73" s="20" t="s">
        <v>268</v>
      </c>
      <c r="F73" s="20" t="s">
        <v>144</v>
      </c>
      <c r="G73" s="20" t="n">
        <v>254</v>
      </c>
      <c r="H73" s="20" t="n">
        <v>0</v>
      </c>
      <c r="I73" s="21" t="n">
        <v>41.05</v>
      </c>
      <c r="J73" s="21" t="n">
        <v>10426.7</v>
      </c>
      <c r="K73" s="24" t="n">
        <v>46022</v>
      </c>
    </row>
    <row r="74" customFormat="false" ht="15" hidden="false" customHeight="false" outlineLevel="0" collapsed="false">
      <c r="B74" s="20" t="s">
        <v>269</v>
      </c>
      <c r="C74" s="20" t="s">
        <v>270</v>
      </c>
      <c r="D74" s="20" t="s">
        <v>120</v>
      </c>
      <c r="E74" s="20" t="s">
        <v>196</v>
      </c>
      <c r="F74" s="20" t="s">
        <v>214</v>
      </c>
      <c r="G74" s="20" t="n">
        <v>18</v>
      </c>
      <c r="H74" s="20" t="n">
        <v>0</v>
      </c>
      <c r="I74" s="21" t="n">
        <v>575.33811</v>
      </c>
      <c r="J74" s="21" t="n">
        <v>10356.08598</v>
      </c>
      <c r="K74" s="24" t="n">
        <v>46252</v>
      </c>
    </row>
    <row r="75" customFormat="false" ht="15" hidden="false" customHeight="false" outlineLevel="0" collapsed="false">
      <c r="B75" s="20" t="s">
        <v>271</v>
      </c>
      <c r="C75" s="20" t="s">
        <v>272</v>
      </c>
      <c r="D75" s="20" t="s">
        <v>120</v>
      </c>
      <c r="E75" s="20" t="s">
        <v>273</v>
      </c>
      <c r="F75" s="20" t="s">
        <v>144</v>
      </c>
      <c r="G75" s="20" t="n">
        <v>143</v>
      </c>
      <c r="H75" s="20" t="n">
        <v>0</v>
      </c>
      <c r="I75" s="21" t="n">
        <v>70</v>
      </c>
      <c r="J75" s="21" t="n">
        <v>10010</v>
      </c>
      <c r="K75" s="24" t="n">
        <v>46223</v>
      </c>
    </row>
    <row r="76" customFormat="false" ht="15" hidden="false" customHeight="false" outlineLevel="0" collapsed="false">
      <c r="B76" s="20" t="s">
        <v>274</v>
      </c>
      <c r="C76" s="20" t="s">
        <v>275</v>
      </c>
      <c r="D76" s="20" t="s">
        <v>117</v>
      </c>
      <c r="E76" s="20" t="s">
        <v>156</v>
      </c>
      <c r="F76" s="20" t="s">
        <v>144</v>
      </c>
      <c r="G76" s="20" t="n">
        <v>38</v>
      </c>
      <c r="H76" s="20" t="n">
        <v>0</v>
      </c>
      <c r="I76" s="21" t="n">
        <v>262.24</v>
      </c>
      <c r="J76" s="21" t="n">
        <v>9965.12</v>
      </c>
      <c r="K76" s="24" t="n">
        <v>46022</v>
      </c>
    </row>
    <row r="77" customFormat="false" ht="15" hidden="false" customHeight="false" outlineLevel="0" collapsed="false">
      <c r="B77" s="20" t="s">
        <v>276</v>
      </c>
      <c r="C77" s="20" t="s">
        <v>277</v>
      </c>
      <c r="D77" s="20" t="s">
        <v>117</v>
      </c>
      <c r="E77" s="20" t="s">
        <v>193</v>
      </c>
      <c r="F77" s="20" t="s">
        <v>144</v>
      </c>
      <c r="G77" s="20" t="n">
        <v>6</v>
      </c>
      <c r="H77" s="20" t="n">
        <v>0</v>
      </c>
      <c r="I77" s="21" t="n">
        <v>1652.11</v>
      </c>
      <c r="J77" s="21" t="n">
        <v>9912.66</v>
      </c>
      <c r="K77" s="24" t="n">
        <v>46022</v>
      </c>
    </row>
    <row r="78" customFormat="false" ht="15" hidden="false" customHeight="false" outlineLevel="0" collapsed="false">
      <c r="B78" s="20" t="s">
        <v>278</v>
      </c>
      <c r="C78" s="20" t="s">
        <v>275</v>
      </c>
      <c r="D78" s="20" t="s">
        <v>117</v>
      </c>
      <c r="E78" s="20" t="s">
        <v>156</v>
      </c>
      <c r="F78" s="20" t="s">
        <v>144</v>
      </c>
      <c r="G78" s="20" t="n">
        <v>40</v>
      </c>
      <c r="H78" s="20" t="n">
        <v>0</v>
      </c>
      <c r="I78" s="21" t="n">
        <v>235.84</v>
      </c>
      <c r="J78" s="21" t="n">
        <v>9433.6</v>
      </c>
      <c r="K78" s="24" t="n">
        <v>46022</v>
      </c>
    </row>
    <row r="79" customFormat="false" ht="15" hidden="false" customHeight="false" outlineLevel="0" collapsed="false">
      <c r="B79" s="20" t="s">
        <v>279</v>
      </c>
      <c r="C79" s="20" t="s">
        <v>280</v>
      </c>
      <c r="D79" s="20" t="s">
        <v>117</v>
      </c>
      <c r="E79" s="20" t="s">
        <v>181</v>
      </c>
      <c r="F79" s="20" t="s">
        <v>144</v>
      </c>
      <c r="G79" s="20" t="n">
        <v>1</v>
      </c>
      <c r="H79" s="20" t="n">
        <v>0</v>
      </c>
      <c r="I79" s="21" t="n">
        <v>9320.89</v>
      </c>
      <c r="J79" s="21" t="n">
        <v>9320.89</v>
      </c>
      <c r="K79" s="24" t="n">
        <v>46022</v>
      </c>
    </row>
    <row r="80" customFormat="false" ht="15" hidden="false" customHeight="false" outlineLevel="0" collapsed="false">
      <c r="B80" s="20" t="s">
        <v>281</v>
      </c>
      <c r="C80" s="20" t="s">
        <v>282</v>
      </c>
      <c r="D80" s="20" t="s">
        <v>119</v>
      </c>
      <c r="E80" s="20" t="s">
        <v>178</v>
      </c>
      <c r="F80" s="20" t="s">
        <v>144</v>
      </c>
      <c r="G80" s="20" t="n">
        <v>1</v>
      </c>
      <c r="H80" s="20" t="n">
        <v>0</v>
      </c>
      <c r="I80" s="21" t="n">
        <v>9300</v>
      </c>
      <c r="J80" s="21" t="n">
        <v>9300</v>
      </c>
      <c r="K80" s="24" t="n">
        <v>46192</v>
      </c>
    </row>
    <row r="81" customFormat="false" ht="15" hidden="false" customHeight="false" outlineLevel="0" collapsed="false">
      <c r="B81" s="20" t="s">
        <v>283</v>
      </c>
      <c r="C81" s="20" t="s">
        <v>284</v>
      </c>
      <c r="D81" s="20" t="s">
        <v>117</v>
      </c>
      <c r="E81" s="20" t="s">
        <v>208</v>
      </c>
      <c r="F81" s="20" t="s">
        <v>144</v>
      </c>
      <c r="G81" s="20" t="n">
        <v>2</v>
      </c>
      <c r="H81" s="20" t="n">
        <v>0</v>
      </c>
      <c r="I81" s="21" t="n">
        <v>4640.425</v>
      </c>
      <c r="J81" s="21" t="n">
        <v>9280.85</v>
      </c>
      <c r="K81" s="24" t="n">
        <v>46185</v>
      </c>
    </row>
    <row r="82" customFormat="false" ht="15" hidden="false" customHeight="false" outlineLevel="0" collapsed="false">
      <c r="B82" s="20" t="s">
        <v>285</v>
      </c>
      <c r="C82" s="20" t="s">
        <v>286</v>
      </c>
      <c r="D82" s="20" t="s">
        <v>120</v>
      </c>
      <c r="E82" s="20" t="s">
        <v>196</v>
      </c>
      <c r="F82" s="20" t="s">
        <v>157</v>
      </c>
      <c r="G82" s="20" t="n">
        <v>3</v>
      </c>
      <c r="H82" s="20" t="n">
        <v>0</v>
      </c>
      <c r="I82" s="21" t="n">
        <v>3081.05365</v>
      </c>
      <c r="J82" s="21" t="n">
        <v>9243.16095</v>
      </c>
      <c r="K82" s="24" t="n">
        <v>46252</v>
      </c>
    </row>
    <row r="83" customFormat="false" ht="15" hidden="false" customHeight="false" outlineLevel="0" collapsed="false">
      <c r="B83" s="20" t="s">
        <v>287</v>
      </c>
      <c r="C83" s="20" t="s">
        <v>288</v>
      </c>
      <c r="D83" s="20" t="s">
        <v>117</v>
      </c>
      <c r="E83" s="20" t="s">
        <v>156</v>
      </c>
      <c r="F83" s="20" t="s">
        <v>144</v>
      </c>
      <c r="G83" s="20" t="n">
        <v>20</v>
      </c>
      <c r="H83" s="20" t="n">
        <v>0</v>
      </c>
      <c r="I83" s="21" t="n">
        <v>457.6</v>
      </c>
      <c r="J83" s="21" t="n">
        <v>9152</v>
      </c>
      <c r="K83" s="24" t="n">
        <v>46209</v>
      </c>
    </row>
    <row r="84" customFormat="false" ht="15" hidden="false" customHeight="false" outlineLevel="0" collapsed="false">
      <c r="B84" s="20" t="s">
        <v>289</v>
      </c>
      <c r="C84" s="20" t="s">
        <v>290</v>
      </c>
      <c r="D84" s="20" t="s">
        <v>117</v>
      </c>
      <c r="E84" s="20" t="s">
        <v>208</v>
      </c>
      <c r="F84" s="20" t="s">
        <v>144</v>
      </c>
      <c r="G84" s="20" t="n">
        <v>6</v>
      </c>
      <c r="H84" s="20" t="n">
        <v>0</v>
      </c>
      <c r="I84" s="21" t="n">
        <v>1521.47</v>
      </c>
      <c r="J84" s="21" t="n">
        <v>9128.82</v>
      </c>
      <c r="K84" s="24" t="n">
        <v>46022</v>
      </c>
    </row>
    <row r="85" customFormat="false" ht="15" hidden="false" customHeight="false" outlineLevel="0" collapsed="false">
      <c r="B85" s="20" t="s">
        <v>291</v>
      </c>
      <c r="C85" s="20" t="s">
        <v>292</v>
      </c>
      <c r="D85" s="20" t="s">
        <v>117</v>
      </c>
      <c r="E85" s="20" t="s">
        <v>236</v>
      </c>
      <c r="F85" s="20" t="s">
        <v>144</v>
      </c>
      <c r="G85" s="20" t="n">
        <v>6</v>
      </c>
      <c r="H85" s="20" t="n">
        <v>0</v>
      </c>
      <c r="I85" s="21" t="n">
        <v>1520</v>
      </c>
      <c r="J85" s="21" t="n">
        <v>9120</v>
      </c>
      <c r="K85" s="24" t="n">
        <v>46022</v>
      </c>
    </row>
    <row r="86" customFormat="false" ht="15" hidden="false" customHeight="false" outlineLevel="0" collapsed="false">
      <c r="B86" s="20" t="s">
        <v>293</v>
      </c>
      <c r="C86" s="20" t="s">
        <v>294</v>
      </c>
      <c r="D86" s="20" t="s">
        <v>119</v>
      </c>
      <c r="E86" s="20" t="s">
        <v>295</v>
      </c>
      <c r="F86" s="20" t="s">
        <v>144</v>
      </c>
      <c r="G86" s="20" t="n">
        <v>6</v>
      </c>
      <c r="H86" s="20" t="n">
        <v>0</v>
      </c>
      <c r="I86" s="21" t="n">
        <v>1514.54</v>
      </c>
      <c r="J86" s="21" t="n">
        <v>9087.24</v>
      </c>
      <c r="K86" s="24" t="n">
        <v>46022</v>
      </c>
    </row>
    <row r="87" customFormat="false" ht="15" hidden="false" customHeight="false" outlineLevel="0" collapsed="false">
      <c r="B87" s="20" t="s">
        <v>296</v>
      </c>
      <c r="C87" s="20" t="s">
        <v>297</v>
      </c>
      <c r="D87" s="20" t="s">
        <v>119</v>
      </c>
      <c r="E87" s="20" t="s">
        <v>298</v>
      </c>
      <c r="F87" s="20" t="s">
        <v>144</v>
      </c>
      <c r="G87" s="20" t="n">
        <v>1</v>
      </c>
      <c r="H87" s="20" t="n">
        <v>0</v>
      </c>
      <c r="I87" s="21" t="n">
        <v>9000</v>
      </c>
      <c r="J87" s="21" t="n">
        <v>9000</v>
      </c>
      <c r="K87" s="24" t="n">
        <v>46022</v>
      </c>
    </row>
    <row r="88" customFormat="false" ht="15" hidden="false" customHeight="false" outlineLevel="0" collapsed="false">
      <c r="B88" s="20" t="s">
        <v>299</v>
      </c>
      <c r="C88" s="20" t="s">
        <v>300</v>
      </c>
      <c r="D88" s="20" t="s">
        <v>117</v>
      </c>
      <c r="E88" s="20" t="s">
        <v>259</v>
      </c>
      <c r="F88" s="20" t="s">
        <v>144</v>
      </c>
      <c r="G88" s="20" t="n">
        <v>4</v>
      </c>
      <c r="H88" s="20" t="n">
        <v>0</v>
      </c>
      <c r="I88" s="21" t="n">
        <v>2187.3525</v>
      </c>
      <c r="J88" s="21" t="n">
        <v>8749.41</v>
      </c>
      <c r="K88" s="24" t="n">
        <v>46105</v>
      </c>
    </row>
    <row r="89" customFormat="false" ht="15" hidden="false" customHeight="false" outlineLevel="0" collapsed="false">
      <c r="B89" s="20" t="s">
        <v>301</v>
      </c>
      <c r="C89" s="20" t="s">
        <v>302</v>
      </c>
      <c r="D89" s="20" t="s">
        <v>117</v>
      </c>
      <c r="E89" s="20" t="s">
        <v>181</v>
      </c>
      <c r="F89" s="20" t="s">
        <v>144</v>
      </c>
      <c r="G89" s="20" t="n">
        <v>6</v>
      </c>
      <c r="H89" s="20" t="n">
        <v>0</v>
      </c>
      <c r="I89" s="21" t="n">
        <v>1425.85238</v>
      </c>
      <c r="J89" s="21" t="n">
        <v>8555.11428</v>
      </c>
      <c r="K89" s="24" t="n">
        <v>46126</v>
      </c>
    </row>
    <row r="90" customFormat="false" ht="15" hidden="false" customHeight="false" outlineLevel="0" collapsed="false">
      <c r="B90" s="20" t="s">
        <v>303</v>
      </c>
      <c r="C90" s="20" t="s">
        <v>304</v>
      </c>
      <c r="D90" s="20" t="s">
        <v>117</v>
      </c>
      <c r="E90" s="20" t="s">
        <v>243</v>
      </c>
      <c r="F90" s="20" t="s">
        <v>144</v>
      </c>
      <c r="G90" s="20" t="n">
        <v>3</v>
      </c>
      <c r="H90" s="20" t="n">
        <v>0</v>
      </c>
      <c r="I90" s="21" t="n">
        <v>2807.33</v>
      </c>
      <c r="J90" s="21" t="n">
        <v>8421.99</v>
      </c>
      <c r="K90" s="24" t="n">
        <v>46022</v>
      </c>
    </row>
    <row r="91" customFormat="false" ht="15" hidden="false" customHeight="false" outlineLevel="0" collapsed="false">
      <c r="B91" s="20" t="s">
        <v>305</v>
      </c>
      <c r="C91" s="20" t="s">
        <v>306</v>
      </c>
      <c r="D91" s="20" t="s">
        <v>117</v>
      </c>
      <c r="E91" s="20" t="s">
        <v>196</v>
      </c>
      <c r="F91" s="20" t="s">
        <v>182</v>
      </c>
      <c r="G91" s="20" t="n">
        <v>2</v>
      </c>
      <c r="H91" s="20" t="n">
        <v>0</v>
      </c>
      <c r="I91" s="21" t="n">
        <v>4196.48655</v>
      </c>
      <c r="J91" s="21" t="n">
        <v>8392.9731</v>
      </c>
      <c r="K91" s="24" t="n">
        <v>46224</v>
      </c>
    </row>
    <row r="92" customFormat="false" ht="15" hidden="false" customHeight="false" outlineLevel="0" collapsed="false">
      <c r="B92" s="20" t="s">
        <v>307</v>
      </c>
      <c r="C92" s="20" t="s">
        <v>308</v>
      </c>
      <c r="D92" s="20" t="s">
        <v>117</v>
      </c>
      <c r="E92" s="20" t="s">
        <v>211</v>
      </c>
      <c r="F92" s="20" t="s">
        <v>144</v>
      </c>
      <c r="G92" s="20" t="n">
        <v>5</v>
      </c>
      <c r="H92" s="20" t="n">
        <v>0</v>
      </c>
      <c r="I92" s="21" t="n">
        <v>1676.48</v>
      </c>
      <c r="J92" s="21" t="n">
        <v>8382.4</v>
      </c>
      <c r="K92" s="24" t="n">
        <v>46022</v>
      </c>
    </row>
    <row r="93" customFormat="false" ht="15" hidden="false" customHeight="false" outlineLevel="0" collapsed="false">
      <c r="B93" s="20" t="s">
        <v>309</v>
      </c>
      <c r="C93" s="20" t="s">
        <v>310</v>
      </c>
      <c r="D93" s="20" t="s">
        <v>117</v>
      </c>
      <c r="E93" s="20" t="s">
        <v>311</v>
      </c>
      <c r="F93" s="20" t="s">
        <v>165</v>
      </c>
      <c r="G93" s="20" t="n">
        <v>4</v>
      </c>
      <c r="H93" s="20" t="n">
        <v>0</v>
      </c>
      <c r="I93" s="21" t="n">
        <v>2090.745</v>
      </c>
      <c r="J93" s="21" t="n">
        <v>8362.98</v>
      </c>
      <c r="K93" s="24" t="n">
        <v>46185</v>
      </c>
    </row>
    <row r="94" customFormat="false" ht="15" hidden="false" customHeight="false" outlineLevel="0" collapsed="false">
      <c r="B94" s="20" t="s">
        <v>312</v>
      </c>
      <c r="C94" s="20" t="s">
        <v>313</v>
      </c>
      <c r="D94" s="20" t="s">
        <v>117</v>
      </c>
      <c r="E94" s="20" t="s">
        <v>205</v>
      </c>
      <c r="F94" s="20" t="s">
        <v>144</v>
      </c>
      <c r="G94" s="20" t="n">
        <v>26</v>
      </c>
      <c r="H94" s="20" t="n">
        <v>0</v>
      </c>
      <c r="I94" s="21" t="n">
        <v>320.75</v>
      </c>
      <c r="J94" s="21" t="n">
        <v>8339.5</v>
      </c>
      <c r="K94" s="24" t="n">
        <v>46188</v>
      </c>
    </row>
    <row r="95" customFormat="false" ht="15" hidden="false" customHeight="false" outlineLevel="0" collapsed="false">
      <c r="B95" s="20" t="s">
        <v>314</v>
      </c>
      <c r="C95" s="20" t="s">
        <v>315</v>
      </c>
      <c r="D95" s="20" t="s">
        <v>119</v>
      </c>
      <c r="E95" s="20" t="s">
        <v>211</v>
      </c>
      <c r="F95" s="20" t="s">
        <v>182</v>
      </c>
      <c r="G95" s="20" t="n">
        <v>12</v>
      </c>
      <c r="H95" s="20" t="n">
        <v>0</v>
      </c>
      <c r="I95" s="21" t="n">
        <v>689.62</v>
      </c>
      <c r="J95" s="21" t="n">
        <v>8275.44</v>
      </c>
      <c r="K95" s="24" t="n">
        <v>46022</v>
      </c>
    </row>
    <row r="96" customFormat="false" ht="15" hidden="false" customHeight="false" outlineLevel="0" collapsed="false">
      <c r="B96" s="20" t="s">
        <v>316</v>
      </c>
      <c r="C96" s="20" t="s">
        <v>317</v>
      </c>
      <c r="D96" s="20" t="s">
        <v>119</v>
      </c>
      <c r="E96" s="20" t="s">
        <v>224</v>
      </c>
      <c r="F96" s="20" t="s">
        <v>144</v>
      </c>
      <c r="G96" s="20" t="n">
        <v>12</v>
      </c>
      <c r="H96" s="20" t="n">
        <v>0</v>
      </c>
      <c r="I96" s="21" t="n">
        <v>676.68</v>
      </c>
      <c r="J96" s="21" t="n">
        <v>8120.16</v>
      </c>
      <c r="K96" s="24" t="n">
        <v>46022</v>
      </c>
    </row>
    <row r="97" customFormat="false" ht="15" hidden="false" customHeight="false" outlineLevel="0" collapsed="false">
      <c r="B97" s="20" t="s">
        <v>318</v>
      </c>
      <c r="C97" s="20" t="s">
        <v>319</v>
      </c>
      <c r="D97" s="20" t="s">
        <v>117</v>
      </c>
      <c r="E97" s="20" t="s">
        <v>196</v>
      </c>
      <c r="F97" s="20" t="s">
        <v>144</v>
      </c>
      <c r="G97" s="20" t="n">
        <v>6</v>
      </c>
      <c r="H97" s="20" t="n">
        <v>0</v>
      </c>
      <c r="I97" s="21" t="n">
        <v>1340.78</v>
      </c>
      <c r="J97" s="21" t="n">
        <v>8044.68</v>
      </c>
      <c r="K97" s="24" t="n">
        <v>46022</v>
      </c>
    </row>
    <row r="98" customFormat="false" ht="15" hidden="false" customHeight="false" outlineLevel="0" collapsed="false">
      <c r="B98" s="20" t="s">
        <v>320</v>
      </c>
      <c r="C98" s="20" t="s">
        <v>321</v>
      </c>
      <c r="D98" s="20" t="s">
        <v>117</v>
      </c>
      <c r="E98" s="20" t="s">
        <v>178</v>
      </c>
      <c r="F98" s="20" t="s">
        <v>144</v>
      </c>
      <c r="G98" s="20" t="n">
        <v>2</v>
      </c>
      <c r="H98" s="20" t="n">
        <v>0</v>
      </c>
      <c r="I98" s="21" t="n">
        <v>4021.44</v>
      </c>
      <c r="J98" s="21" t="n">
        <v>8042.88</v>
      </c>
      <c r="K98" s="24" t="n">
        <v>46022</v>
      </c>
    </row>
    <row r="99" customFormat="false" ht="15" hidden="false" customHeight="false" outlineLevel="0" collapsed="false">
      <c r="B99" s="20" t="s">
        <v>322</v>
      </c>
      <c r="C99" s="20" t="s">
        <v>323</v>
      </c>
      <c r="D99" s="20" t="s">
        <v>119</v>
      </c>
      <c r="E99" s="20" t="s">
        <v>324</v>
      </c>
      <c r="F99" s="20" t="s">
        <v>144</v>
      </c>
      <c r="G99" s="20" t="n">
        <v>243</v>
      </c>
      <c r="H99" s="20" t="n">
        <v>0</v>
      </c>
      <c r="I99" s="21" t="n">
        <v>32.72</v>
      </c>
      <c r="J99" s="21" t="n">
        <v>7950.96</v>
      </c>
      <c r="K99" s="24" t="n">
        <v>46022</v>
      </c>
    </row>
    <row r="100" customFormat="false" ht="15" hidden="false" customHeight="false" outlineLevel="0" collapsed="false">
      <c r="B100" s="20" t="s">
        <v>325</v>
      </c>
      <c r="C100" s="20" t="s">
        <v>326</v>
      </c>
      <c r="D100" s="20" t="s">
        <v>119</v>
      </c>
      <c r="E100" s="20" t="s">
        <v>327</v>
      </c>
      <c r="F100" s="20" t="s">
        <v>165</v>
      </c>
      <c r="G100" s="20" t="n">
        <v>12</v>
      </c>
      <c r="H100" s="20" t="n">
        <v>0</v>
      </c>
      <c r="I100" s="21" t="n">
        <v>660.20167</v>
      </c>
      <c r="J100" s="21" t="n">
        <v>7922.42004</v>
      </c>
      <c r="K100" s="24" t="n">
        <v>46045</v>
      </c>
    </row>
    <row r="101" customFormat="false" ht="15" hidden="false" customHeight="false" outlineLevel="0" collapsed="false">
      <c r="B101" s="20" t="s">
        <v>328</v>
      </c>
      <c r="C101" s="20" t="s">
        <v>329</v>
      </c>
      <c r="D101" s="20" t="s">
        <v>119</v>
      </c>
      <c r="E101" s="20" t="s">
        <v>199</v>
      </c>
      <c r="F101" s="20" t="s">
        <v>165</v>
      </c>
      <c r="G101" s="20" t="n">
        <v>116</v>
      </c>
      <c r="H101" s="20" t="n">
        <v>0</v>
      </c>
      <c r="I101" s="21" t="n">
        <v>68.23</v>
      </c>
      <c r="J101" s="21" t="n">
        <v>7914.68</v>
      </c>
      <c r="K101" s="24" t="n">
        <v>46022</v>
      </c>
    </row>
    <row r="102" customFormat="false" ht="15" hidden="false" customHeight="false" outlineLevel="0" collapsed="false">
      <c r="B102" s="20" t="s">
        <v>330</v>
      </c>
      <c r="C102" s="20" t="s">
        <v>331</v>
      </c>
      <c r="D102" s="20" t="s">
        <v>120</v>
      </c>
      <c r="E102" s="20" t="s">
        <v>196</v>
      </c>
      <c r="F102" s="20" t="s">
        <v>157</v>
      </c>
      <c r="G102" s="20" t="n">
        <v>12</v>
      </c>
      <c r="H102" s="20" t="n">
        <v>0</v>
      </c>
      <c r="I102" s="21" t="n">
        <v>658.6</v>
      </c>
      <c r="J102" s="21" t="n">
        <v>7903.2</v>
      </c>
      <c r="K102" s="24" t="n">
        <v>46022</v>
      </c>
    </row>
    <row r="103" customFormat="false" ht="15" hidden="false" customHeight="false" outlineLevel="0" collapsed="false">
      <c r="B103" s="20" t="s">
        <v>332</v>
      </c>
      <c r="C103" s="20" t="s">
        <v>333</v>
      </c>
      <c r="D103" s="20" t="s">
        <v>117</v>
      </c>
      <c r="E103" s="20" t="s">
        <v>230</v>
      </c>
      <c r="F103" s="20" t="s">
        <v>144</v>
      </c>
      <c r="G103" s="20" t="n">
        <v>2</v>
      </c>
      <c r="H103" s="20" t="n">
        <v>0</v>
      </c>
      <c r="I103" s="21" t="n">
        <v>3950</v>
      </c>
      <c r="J103" s="21" t="n">
        <v>7900</v>
      </c>
      <c r="K103" s="24" t="n">
        <v>46210</v>
      </c>
    </row>
    <row r="104" customFormat="false" ht="15" hidden="false" customHeight="false" outlineLevel="0" collapsed="false">
      <c r="B104" s="20" t="s">
        <v>334</v>
      </c>
      <c r="C104" s="20" t="s">
        <v>335</v>
      </c>
      <c r="D104" s="20" t="s">
        <v>119</v>
      </c>
      <c r="E104" s="20" t="s">
        <v>224</v>
      </c>
      <c r="F104" s="20" t="s">
        <v>144</v>
      </c>
      <c r="G104" s="20" t="n">
        <v>85</v>
      </c>
      <c r="H104" s="20" t="n">
        <v>0</v>
      </c>
      <c r="I104" s="21" t="n">
        <v>92.56</v>
      </c>
      <c r="J104" s="21" t="n">
        <v>7867.6</v>
      </c>
      <c r="K104" s="24" t="n">
        <v>46022</v>
      </c>
    </row>
    <row r="105" customFormat="false" ht="15" hidden="false" customHeight="false" outlineLevel="0" collapsed="false">
      <c r="B105" s="20" t="s">
        <v>336</v>
      </c>
      <c r="C105" s="20" t="s">
        <v>337</v>
      </c>
      <c r="D105" s="20" t="s">
        <v>117</v>
      </c>
      <c r="E105" s="20" t="s">
        <v>230</v>
      </c>
      <c r="F105" s="20" t="s">
        <v>165</v>
      </c>
      <c r="G105" s="20" t="n">
        <v>2</v>
      </c>
      <c r="H105" s="20" t="n">
        <v>0</v>
      </c>
      <c r="I105" s="21" t="n">
        <v>3900</v>
      </c>
      <c r="J105" s="21" t="n">
        <v>7800</v>
      </c>
      <c r="K105" s="24" t="n">
        <v>46205</v>
      </c>
    </row>
    <row r="106" customFormat="false" ht="15" hidden="false" customHeight="false" outlineLevel="0" collapsed="false">
      <c r="B106" s="20" t="s">
        <v>338</v>
      </c>
      <c r="C106" s="20" t="s">
        <v>339</v>
      </c>
      <c r="D106" s="20" t="s">
        <v>117</v>
      </c>
      <c r="E106" s="20" t="s">
        <v>340</v>
      </c>
      <c r="F106" s="20" t="s">
        <v>182</v>
      </c>
      <c r="G106" s="20" t="n">
        <v>12</v>
      </c>
      <c r="H106" s="20" t="n">
        <v>0</v>
      </c>
      <c r="I106" s="21" t="n">
        <v>647.55667</v>
      </c>
      <c r="J106" s="21" t="n">
        <v>7770.68004</v>
      </c>
      <c r="K106" s="24" t="n">
        <v>46203</v>
      </c>
    </row>
    <row r="107" customFormat="false" ht="15" hidden="false" customHeight="false" outlineLevel="0" collapsed="false">
      <c r="B107" s="20" t="s">
        <v>341</v>
      </c>
      <c r="C107" s="20" t="s">
        <v>342</v>
      </c>
      <c r="D107" s="20" t="s">
        <v>119</v>
      </c>
      <c r="E107" s="20" t="s">
        <v>211</v>
      </c>
      <c r="F107" s="20" t="s">
        <v>182</v>
      </c>
      <c r="G107" s="20" t="n">
        <v>5</v>
      </c>
      <c r="H107" s="20" t="n">
        <v>0</v>
      </c>
      <c r="I107" s="21" t="n">
        <v>1549.15</v>
      </c>
      <c r="J107" s="21" t="n">
        <v>7745.75</v>
      </c>
      <c r="K107" s="24" t="n">
        <v>46022</v>
      </c>
    </row>
    <row r="108" customFormat="false" ht="15" hidden="false" customHeight="false" outlineLevel="0" collapsed="false">
      <c r="B108" s="20" t="s">
        <v>343</v>
      </c>
      <c r="C108" s="20" t="s">
        <v>344</v>
      </c>
      <c r="D108" s="20" t="s">
        <v>119</v>
      </c>
      <c r="E108" s="20" t="s">
        <v>340</v>
      </c>
      <c r="F108" s="20" t="s">
        <v>182</v>
      </c>
      <c r="G108" s="20" t="n">
        <v>18</v>
      </c>
      <c r="H108" s="20" t="n">
        <v>0</v>
      </c>
      <c r="I108" s="21" t="n">
        <v>427.96643</v>
      </c>
      <c r="J108" s="21" t="n">
        <v>7703.39574</v>
      </c>
      <c r="K108" s="24" t="n">
        <v>46134</v>
      </c>
    </row>
    <row r="109" customFormat="false" ht="15" hidden="false" customHeight="false" outlineLevel="0" collapsed="false">
      <c r="B109" s="20" t="s">
        <v>345</v>
      </c>
      <c r="C109" s="20" t="s">
        <v>346</v>
      </c>
      <c r="D109" s="20" t="s">
        <v>120</v>
      </c>
      <c r="E109" s="20" t="s">
        <v>208</v>
      </c>
      <c r="F109" s="20" t="s">
        <v>182</v>
      </c>
      <c r="G109" s="20" t="n">
        <v>1</v>
      </c>
      <c r="H109" s="20" t="n">
        <v>0</v>
      </c>
      <c r="I109" s="21" t="n">
        <v>7663.59</v>
      </c>
      <c r="J109" s="21" t="n">
        <v>7663.59</v>
      </c>
      <c r="K109" s="24" t="n">
        <v>46022</v>
      </c>
    </row>
    <row r="110" customFormat="false" ht="15" hidden="false" customHeight="false" outlineLevel="0" collapsed="false">
      <c r="B110" s="20" t="s">
        <v>347</v>
      </c>
      <c r="C110" s="20" t="s">
        <v>348</v>
      </c>
      <c r="D110" s="20" t="s">
        <v>121</v>
      </c>
      <c r="E110" s="20" t="s">
        <v>208</v>
      </c>
      <c r="F110" s="20" t="s">
        <v>157</v>
      </c>
      <c r="G110" s="20" t="n">
        <v>1</v>
      </c>
      <c r="H110" s="20" t="n">
        <v>0</v>
      </c>
      <c r="I110" s="21" t="n">
        <v>7581.6</v>
      </c>
      <c r="J110" s="21" t="n">
        <v>7581.6</v>
      </c>
      <c r="K110" s="24" t="n">
        <v>46218</v>
      </c>
    </row>
    <row r="111" customFormat="false" ht="15" hidden="false" customHeight="false" outlineLevel="0" collapsed="false">
      <c r="B111" s="20" t="s">
        <v>349</v>
      </c>
      <c r="C111" s="20" t="s">
        <v>350</v>
      </c>
      <c r="D111" s="20" t="s">
        <v>119</v>
      </c>
      <c r="E111" s="20" t="s">
        <v>178</v>
      </c>
      <c r="F111" s="20" t="s">
        <v>144</v>
      </c>
      <c r="G111" s="20" t="n">
        <v>1</v>
      </c>
      <c r="H111" s="20" t="n">
        <v>0</v>
      </c>
      <c r="I111" s="21" t="n">
        <v>7440</v>
      </c>
      <c r="J111" s="21" t="n">
        <v>7440</v>
      </c>
      <c r="K111" s="24" t="n">
        <v>46192</v>
      </c>
    </row>
    <row r="112" customFormat="false" ht="15" hidden="false" customHeight="false" outlineLevel="0" collapsed="false">
      <c r="B112" s="20" t="s">
        <v>351</v>
      </c>
      <c r="C112" s="20" t="s">
        <v>352</v>
      </c>
      <c r="D112" s="20" t="s">
        <v>117</v>
      </c>
      <c r="E112" s="20" t="s">
        <v>353</v>
      </c>
      <c r="F112" s="20" t="s">
        <v>144</v>
      </c>
      <c r="G112" s="20" t="n">
        <v>7</v>
      </c>
      <c r="H112" s="20" t="n">
        <v>0</v>
      </c>
      <c r="I112" s="21" t="n">
        <v>1061.38</v>
      </c>
      <c r="J112" s="21" t="n">
        <v>7429.66</v>
      </c>
      <c r="K112" s="24" t="n">
        <v>46196</v>
      </c>
    </row>
    <row r="113" customFormat="false" ht="15" hidden="false" customHeight="false" outlineLevel="0" collapsed="false">
      <c r="B113" s="20" t="s">
        <v>354</v>
      </c>
      <c r="C113" s="20" t="s">
        <v>355</v>
      </c>
      <c r="D113" s="20" t="s">
        <v>119</v>
      </c>
      <c r="E113" s="20" t="s">
        <v>151</v>
      </c>
      <c r="F113" s="20" t="s">
        <v>144</v>
      </c>
      <c r="G113" s="20" t="n">
        <v>2</v>
      </c>
      <c r="H113" s="20" t="n">
        <v>0</v>
      </c>
      <c r="I113" s="21" t="n">
        <v>3709.96</v>
      </c>
      <c r="J113" s="21" t="n">
        <v>7419.92</v>
      </c>
      <c r="K113" s="24" t="n">
        <v>46022</v>
      </c>
    </row>
    <row r="114" customFormat="false" ht="15" hidden="false" customHeight="false" outlineLevel="0" collapsed="false">
      <c r="B114" s="20" t="s">
        <v>356</v>
      </c>
      <c r="C114" s="20" t="s">
        <v>357</v>
      </c>
      <c r="D114" s="20" t="s">
        <v>119</v>
      </c>
      <c r="E114" s="20" t="s">
        <v>219</v>
      </c>
      <c r="F114" s="20" t="s">
        <v>144</v>
      </c>
      <c r="G114" s="20" t="n">
        <v>1</v>
      </c>
      <c r="H114" s="20" t="n">
        <v>0</v>
      </c>
      <c r="I114" s="21" t="n">
        <v>7416.39</v>
      </c>
      <c r="J114" s="21" t="n">
        <v>7416.39</v>
      </c>
      <c r="K114" s="24" t="n">
        <v>46022</v>
      </c>
    </row>
    <row r="115" customFormat="false" ht="15" hidden="false" customHeight="false" outlineLevel="0" collapsed="false">
      <c r="B115" s="20" t="s">
        <v>358</v>
      </c>
      <c r="C115" s="20" t="s">
        <v>359</v>
      </c>
      <c r="D115" s="20" t="s">
        <v>117</v>
      </c>
      <c r="E115" s="20" t="s">
        <v>196</v>
      </c>
      <c r="F115" s="20" t="s">
        <v>144</v>
      </c>
      <c r="G115" s="20" t="n">
        <v>1</v>
      </c>
      <c r="H115" s="20" t="n">
        <v>0</v>
      </c>
      <c r="I115" s="21" t="n">
        <v>7391.99</v>
      </c>
      <c r="J115" s="21" t="n">
        <v>7391.99</v>
      </c>
      <c r="K115" s="24" t="n">
        <v>46022</v>
      </c>
    </row>
    <row r="116" customFormat="false" ht="15" hidden="false" customHeight="false" outlineLevel="0" collapsed="false">
      <c r="B116" s="20" t="s">
        <v>360</v>
      </c>
      <c r="C116" s="20" t="s">
        <v>361</v>
      </c>
      <c r="D116" s="20" t="s">
        <v>117</v>
      </c>
      <c r="E116" s="20" t="s">
        <v>362</v>
      </c>
      <c r="F116" s="20" t="s">
        <v>144</v>
      </c>
      <c r="G116" s="20" t="n">
        <v>29</v>
      </c>
      <c r="H116" s="20" t="n">
        <v>0</v>
      </c>
      <c r="I116" s="21" t="n">
        <v>254.74</v>
      </c>
      <c r="J116" s="21" t="n">
        <v>7387.46</v>
      </c>
      <c r="K116" s="24" t="n">
        <v>46022</v>
      </c>
    </row>
    <row r="117" customFormat="false" ht="15" hidden="false" customHeight="false" outlineLevel="0" collapsed="false">
      <c r="B117" s="20" t="s">
        <v>363</v>
      </c>
      <c r="C117" s="20" t="s">
        <v>364</v>
      </c>
      <c r="D117" s="20" t="s">
        <v>117</v>
      </c>
      <c r="E117" s="20" t="s">
        <v>156</v>
      </c>
      <c r="F117" s="20" t="s">
        <v>182</v>
      </c>
      <c r="G117" s="20" t="n">
        <v>26</v>
      </c>
      <c r="H117" s="20" t="n">
        <v>0</v>
      </c>
      <c r="I117" s="21" t="n">
        <v>281.6</v>
      </c>
      <c r="J117" s="21" t="n">
        <v>7321.6</v>
      </c>
      <c r="K117" s="24" t="n">
        <v>46022</v>
      </c>
    </row>
    <row r="118" customFormat="false" ht="15" hidden="false" customHeight="false" outlineLevel="0" collapsed="false">
      <c r="B118" s="20" t="s">
        <v>365</v>
      </c>
      <c r="C118" s="20" t="s">
        <v>366</v>
      </c>
      <c r="D118" s="20" t="s">
        <v>117</v>
      </c>
      <c r="E118" s="20" t="s">
        <v>367</v>
      </c>
      <c r="F118" s="20" t="s">
        <v>182</v>
      </c>
      <c r="G118" s="20" t="n">
        <v>1</v>
      </c>
      <c r="H118" s="20" t="n">
        <v>0</v>
      </c>
      <c r="I118" s="21" t="n">
        <v>7298.33</v>
      </c>
      <c r="J118" s="21" t="n">
        <v>7298.33</v>
      </c>
      <c r="K118" s="24" t="n">
        <v>46022</v>
      </c>
    </row>
    <row r="119" customFormat="false" ht="15" hidden="false" customHeight="false" outlineLevel="0" collapsed="false">
      <c r="B119" s="20" t="s">
        <v>368</v>
      </c>
      <c r="C119" s="20" t="s">
        <v>369</v>
      </c>
      <c r="D119" s="20" t="s">
        <v>117</v>
      </c>
      <c r="E119" s="20" t="s">
        <v>208</v>
      </c>
      <c r="F119" s="20" t="s">
        <v>144</v>
      </c>
      <c r="G119" s="20" t="n">
        <v>1</v>
      </c>
      <c r="H119" s="20" t="n">
        <v>0</v>
      </c>
      <c r="I119" s="21" t="n">
        <v>7227.49</v>
      </c>
      <c r="J119" s="21" t="n">
        <v>7227.49</v>
      </c>
      <c r="K119" s="24" t="n">
        <v>46022</v>
      </c>
    </row>
    <row r="120" customFormat="false" ht="15" hidden="false" customHeight="false" outlineLevel="0" collapsed="false">
      <c r="B120" s="20" t="s">
        <v>370</v>
      </c>
      <c r="C120" s="20" t="s">
        <v>371</v>
      </c>
      <c r="D120" s="20" t="s">
        <v>117</v>
      </c>
      <c r="E120" s="20" t="s">
        <v>372</v>
      </c>
      <c r="F120" s="20" t="s">
        <v>144</v>
      </c>
      <c r="G120" s="20" t="n">
        <v>2</v>
      </c>
      <c r="H120" s="20" t="n">
        <v>0</v>
      </c>
      <c r="I120" s="21" t="n">
        <v>3603.63</v>
      </c>
      <c r="J120" s="21" t="n">
        <v>7207.26</v>
      </c>
      <c r="K120" s="24" t="n">
        <v>46022</v>
      </c>
    </row>
    <row r="121" customFormat="false" ht="15" hidden="false" customHeight="false" outlineLevel="0" collapsed="false">
      <c r="B121" s="20" t="s">
        <v>373</v>
      </c>
      <c r="C121" s="20" t="s">
        <v>374</v>
      </c>
      <c r="D121" s="20" t="s">
        <v>120</v>
      </c>
      <c r="E121" s="20" t="s">
        <v>151</v>
      </c>
      <c r="F121" s="20" t="s">
        <v>200</v>
      </c>
      <c r="G121" s="20" t="n">
        <v>2</v>
      </c>
      <c r="H121" s="20" t="n">
        <v>0</v>
      </c>
      <c r="I121" s="21" t="n">
        <v>3585.97667</v>
      </c>
      <c r="J121" s="21" t="n">
        <v>7171.95334</v>
      </c>
      <c r="K121" s="24" t="n">
        <v>46169</v>
      </c>
    </row>
    <row r="122" customFormat="false" ht="15" hidden="false" customHeight="false" outlineLevel="0" collapsed="false">
      <c r="B122" s="20" t="s">
        <v>375</v>
      </c>
      <c r="C122" s="20" t="s">
        <v>376</v>
      </c>
      <c r="D122" s="20" t="s">
        <v>117</v>
      </c>
      <c r="E122" s="20" t="s">
        <v>259</v>
      </c>
      <c r="F122" s="20" t="s">
        <v>144</v>
      </c>
      <c r="G122" s="20" t="n">
        <v>4</v>
      </c>
      <c r="H122" s="20" t="n">
        <v>0</v>
      </c>
      <c r="I122" s="21" t="n">
        <v>1783.375</v>
      </c>
      <c r="J122" s="21" t="n">
        <v>7133.5</v>
      </c>
      <c r="K122" s="24" t="n">
        <v>46105</v>
      </c>
    </row>
    <row r="123" customFormat="false" ht="15" hidden="false" customHeight="false" outlineLevel="0" collapsed="false">
      <c r="B123" s="20" t="s">
        <v>377</v>
      </c>
      <c r="C123" s="20" t="s">
        <v>378</v>
      </c>
      <c r="D123" s="20" t="s">
        <v>117</v>
      </c>
      <c r="E123" s="20" t="s">
        <v>262</v>
      </c>
      <c r="F123" s="20" t="s">
        <v>144</v>
      </c>
      <c r="G123" s="20" t="n">
        <v>5</v>
      </c>
      <c r="H123" s="20" t="n">
        <v>0</v>
      </c>
      <c r="I123" s="21" t="n">
        <v>1421.51</v>
      </c>
      <c r="J123" s="21" t="n">
        <v>7107.55</v>
      </c>
      <c r="K123" s="24" t="n">
        <v>46022</v>
      </c>
    </row>
    <row r="124" customFormat="false" ht="15" hidden="false" customHeight="false" outlineLevel="0" collapsed="false">
      <c r="B124" s="20" t="s">
        <v>379</v>
      </c>
      <c r="C124" s="20" t="s">
        <v>380</v>
      </c>
      <c r="D124" s="20" t="s">
        <v>117</v>
      </c>
      <c r="E124" s="20" t="s">
        <v>381</v>
      </c>
      <c r="F124" s="20" t="s">
        <v>144</v>
      </c>
      <c r="G124" s="20" t="n">
        <v>1</v>
      </c>
      <c r="H124" s="20" t="n">
        <v>0</v>
      </c>
      <c r="I124" s="21" t="n">
        <v>7085.79</v>
      </c>
      <c r="J124" s="21" t="n">
        <v>7085.79</v>
      </c>
      <c r="K124" s="24" t="n">
        <v>46022</v>
      </c>
    </row>
    <row r="125" customFormat="false" ht="15" hidden="false" customHeight="false" outlineLevel="0" collapsed="false">
      <c r="B125" s="20" t="s">
        <v>382</v>
      </c>
      <c r="C125" s="20" t="s">
        <v>383</v>
      </c>
      <c r="D125" s="20" t="s">
        <v>117</v>
      </c>
      <c r="E125" s="20" t="s">
        <v>178</v>
      </c>
      <c r="F125" s="20" t="s">
        <v>144</v>
      </c>
      <c r="G125" s="20" t="n">
        <v>6</v>
      </c>
      <c r="H125" s="20" t="n">
        <v>0</v>
      </c>
      <c r="I125" s="21" t="n">
        <v>1177.33</v>
      </c>
      <c r="J125" s="21" t="n">
        <v>7063.98</v>
      </c>
      <c r="K125" s="24" t="n">
        <v>46022</v>
      </c>
    </row>
    <row r="126" customFormat="false" ht="15" hidden="false" customHeight="false" outlineLevel="0" collapsed="false">
      <c r="B126" s="20" t="s">
        <v>384</v>
      </c>
      <c r="C126" s="20" t="s">
        <v>317</v>
      </c>
      <c r="D126" s="20" t="s">
        <v>119</v>
      </c>
      <c r="E126" s="20" t="s">
        <v>205</v>
      </c>
      <c r="F126" s="20" t="s">
        <v>144</v>
      </c>
      <c r="G126" s="20" t="n">
        <v>11</v>
      </c>
      <c r="H126" s="20" t="n">
        <v>0</v>
      </c>
      <c r="I126" s="21" t="n">
        <v>640.65</v>
      </c>
      <c r="J126" s="21" t="n">
        <v>7047.15</v>
      </c>
      <c r="K126" s="24" t="n">
        <v>46022</v>
      </c>
    </row>
    <row r="127" customFormat="false" ht="15" hidden="false" customHeight="false" outlineLevel="0" collapsed="false">
      <c r="B127" s="20" t="s">
        <v>385</v>
      </c>
      <c r="C127" s="20" t="s">
        <v>386</v>
      </c>
      <c r="D127" s="20" t="s">
        <v>117</v>
      </c>
      <c r="E127" s="20" t="s">
        <v>151</v>
      </c>
      <c r="F127" s="20" t="s">
        <v>165</v>
      </c>
      <c r="G127" s="20" t="n">
        <v>2</v>
      </c>
      <c r="H127" s="20" t="n">
        <v>0</v>
      </c>
      <c r="I127" s="21" t="n">
        <v>3519.79</v>
      </c>
      <c r="J127" s="21" t="n">
        <v>7039.58</v>
      </c>
      <c r="K127" s="24" t="n">
        <v>46066</v>
      </c>
    </row>
    <row r="128" customFormat="false" ht="15" hidden="false" customHeight="false" outlineLevel="0" collapsed="false">
      <c r="B128" s="20" t="s">
        <v>387</v>
      </c>
      <c r="C128" s="20" t="s">
        <v>388</v>
      </c>
      <c r="D128" s="20" t="s">
        <v>117</v>
      </c>
      <c r="E128" s="20" t="s">
        <v>389</v>
      </c>
      <c r="F128" s="20" t="s">
        <v>165</v>
      </c>
      <c r="G128" s="20" t="n">
        <v>12</v>
      </c>
      <c r="H128" s="20" t="n">
        <v>0</v>
      </c>
      <c r="I128" s="21" t="n">
        <v>585.09</v>
      </c>
      <c r="J128" s="21" t="n">
        <v>7021.08</v>
      </c>
      <c r="K128" s="24" t="n">
        <v>46022</v>
      </c>
    </row>
    <row r="129" customFormat="false" ht="15" hidden="false" customHeight="false" outlineLevel="0" collapsed="false">
      <c r="B129" s="20" t="s">
        <v>390</v>
      </c>
      <c r="C129" s="20" t="s">
        <v>391</v>
      </c>
      <c r="D129" s="20" t="s">
        <v>121</v>
      </c>
      <c r="E129" s="20" t="s">
        <v>196</v>
      </c>
      <c r="F129" s="20" t="s">
        <v>200</v>
      </c>
      <c r="G129" s="20" t="n">
        <v>12</v>
      </c>
      <c r="H129" s="20" t="n">
        <v>0</v>
      </c>
      <c r="I129" s="21" t="n">
        <v>585.07</v>
      </c>
      <c r="J129" s="21" t="n">
        <v>7020.84</v>
      </c>
      <c r="K129" s="24" t="n">
        <v>46224</v>
      </c>
    </row>
    <row r="130" customFormat="false" ht="15" hidden="false" customHeight="false" outlineLevel="0" collapsed="false">
      <c r="B130" s="20" t="s">
        <v>392</v>
      </c>
      <c r="C130" s="20" t="s">
        <v>393</v>
      </c>
      <c r="D130" s="20" t="s">
        <v>120</v>
      </c>
      <c r="E130" s="20" t="s">
        <v>193</v>
      </c>
      <c r="F130" s="20" t="s">
        <v>144</v>
      </c>
      <c r="G130" s="20" t="n">
        <v>5</v>
      </c>
      <c r="H130" s="20" t="n">
        <v>0</v>
      </c>
      <c r="I130" s="21" t="n">
        <v>1399.12</v>
      </c>
      <c r="J130" s="21" t="n">
        <v>6995.6</v>
      </c>
      <c r="K130" s="24" t="n">
        <v>46022</v>
      </c>
    </row>
    <row r="131" customFormat="false" ht="15" hidden="false" customHeight="false" outlineLevel="0" collapsed="false">
      <c r="B131" s="20" t="s">
        <v>394</v>
      </c>
      <c r="C131" s="20" t="s">
        <v>395</v>
      </c>
      <c r="D131" s="20" t="s">
        <v>119</v>
      </c>
      <c r="E131" s="20" t="s">
        <v>396</v>
      </c>
      <c r="F131" s="20" t="s">
        <v>144</v>
      </c>
      <c r="G131" s="20" t="n">
        <v>50</v>
      </c>
      <c r="H131" s="20" t="n">
        <v>0</v>
      </c>
      <c r="I131" s="21" t="n">
        <v>139.71</v>
      </c>
      <c r="J131" s="21" t="n">
        <v>6985.5</v>
      </c>
      <c r="K131" s="24" t="n">
        <v>46022</v>
      </c>
    </row>
    <row r="132" customFormat="false" ht="15" hidden="false" customHeight="false" outlineLevel="0" collapsed="false">
      <c r="B132" s="20" t="s">
        <v>397</v>
      </c>
      <c r="C132" s="20" t="s">
        <v>398</v>
      </c>
      <c r="D132" s="20" t="s">
        <v>117</v>
      </c>
      <c r="E132" s="20" t="s">
        <v>399</v>
      </c>
      <c r="F132" s="20" t="s">
        <v>144</v>
      </c>
      <c r="G132" s="20" t="n">
        <v>1</v>
      </c>
      <c r="H132" s="20" t="n">
        <v>0</v>
      </c>
      <c r="I132" s="21" t="n">
        <v>6841.94</v>
      </c>
      <c r="J132" s="21" t="n">
        <v>6841.94</v>
      </c>
      <c r="K132" s="24" t="n">
        <v>46022</v>
      </c>
    </row>
    <row r="133" customFormat="false" ht="15" hidden="false" customHeight="false" outlineLevel="0" collapsed="false">
      <c r="B133" s="20" t="s">
        <v>400</v>
      </c>
      <c r="C133" s="20" t="s">
        <v>401</v>
      </c>
      <c r="D133" s="20" t="s">
        <v>117</v>
      </c>
      <c r="E133" s="20" t="s">
        <v>402</v>
      </c>
      <c r="F133" s="20" t="s">
        <v>144</v>
      </c>
      <c r="G133" s="20" t="n">
        <v>13</v>
      </c>
      <c r="H133" s="20" t="n">
        <v>0</v>
      </c>
      <c r="I133" s="21" t="n">
        <v>525.35</v>
      </c>
      <c r="J133" s="21" t="n">
        <v>6829.55</v>
      </c>
      <c r="K133" s="24" t="n">
        <v>46022</v>
      </c>
    </row>
    <row r="134" customFormat="false" ht="15" hidden="false" customHeight="false" outlineLevel="0" collapsed="false">
      <c r="B134" s="20" t="s">
        <v>403</v>
      </c>
      <c r="C134" s="20" t="s">
        <v>404</v>
      </c>
      <c r="D134" s="20" t="s">
        <v>119</v>
      </c>
      <c r="E134" s="20" t="s">
        <v>405</v>
      </c>
      <c r="F134" s="20" t="s">
        <v>182</v>
      </c>
      <c r="G134" s="20" t="n">
        <v>1</v>
      </c>
      <c r="H134" s="20" t="n">
        <v>0</v>
      </c>
      <c r="I134" s="21" t="n">
        <v>6785.13167</v>
      </c>
      <c r="J134" s="21" t="n">
        <v>6785.13167</v>
      </c>
      <c r="K134" s="24" t="n">
        <v>46238</v>
      </c>
    </row>
    <row r="135" customFormat="false" ht="15" hidden="false" customHeight="false" outlineLevel="0" collapsed="false">
      <c r="B135" s="20" t="s">
        <v>406</v>
      </c>
      <c r="C135" s="20" t="s">
        <v>407</v>
      </c>
      <c r="D135" s="20" t="s">
        <v>119</v>
      </c>
      <c r="E135" s="20" t="s">
        <v>199</v>
      </c>
      <c r="F135" s="20" t="s">
        <v>157</v>
      </c>
      <c r="G135" s="20" t="n">
        <v>75</v>
      </c>
      <c r="H135" s="20" t="n">
        <v>0</v>
      </c>
      <c r="I135" s="21" t="n">
        <v>90.42</v>
      </c>
      <c r="J135" s="21" t="n">
        <v>6781.5</v>
      </c>
      <c r="K135" s="24" t="n">
        <v>46022</v>
      </c>
    </row>
    <row r="136" customFormat="false" ht="15" hidden="false" customHeight="false" outlineLevel="0" collapsed="false">
      <c r="B136" s="20" t="s">
        <v>408</v>
      </c>
      <c r="C136" s="20" t="s">
        <v>409</v>
      </c>
      <c r="D136" s="20" t="s">
        <v>119</v>
      </c>
      <c r="E136" s="20" t="s">
        <v>151</v>
      </c>
      <c r="F136" s="20" t="s">
        <v>144</v>
      </c>
      <c r="G136" s="20" t="n">
        <v>1</v>
      </c>
      <c r="H136" s="20" t="n">
        <v>0</v>
      </c>
      <c r="I136" s="21" t="n">
        <v>6765.67</v>
      </c>
      <c r="J136" s="21" t="n">
        <v>6765.67</v>
      </c>
      <c r="K136" s="24" t="n">
        <v>46022</v>
      </c>
    </row>
    <row r="137" customFormat="false" ht="15" hidden="false" customHeight="false" outlineLevel="0" collapsed="false">
      <c r="B137" s="20" t="s">
        <v>410</v>
      </c>
      <c r="C137" s="20" t="s">
        <v>411</v>
      </c>
      <c r="D137" s="20" t="s">
        <v>117</v>
      </c>
      <c r="E137" s="20" t="s">
        <v>211</v>
      </c>
      <c r="F137" s="20" t="s">
        <v>182</v>
      </c>
      <c r="G137" s="20" t="n">
        <v>11</v>
      </c>
      <c r="H137" s="20" t="n">
        <v>0</v>
      </c>
      <c r="I137" s="21" t="n">
        <v>612.7</v>
      </c>
      <c r="J137" s="21" t="n">
        <v>6739.7</v>
      </c>
      <c r="K137" s="24" t="n">
        <v>46022</v>
      </c>
    </row>
    <row r="138" customFormat="false" ht="15" hidden="false" customHeight="false" outlineLevel="0" collapsed="false">
      <c r="B138" s="20" t="s">
        <v>412</v>
      </c>
      <c r="C138" s="20" t="s">
        <v>413</v>
      </c>
      <c r="D138" s="20" t="s">
        <v>119</v>
      </c>
      <c r="E138" s="20" t="s">
        <v>414</v>
      </c>
      <c r="F138" s="20" t="s">
        <v>165</v>
      </c>
      <c r="G138" s="20" t="n">
        <v>225</v>
      </c>
      <c r="H138" s="20" t="n">
        <v>0</v>
      </c>
      <c r="I138" s="21" t="n">
        <v>29.91</v>
      </c>
      <c r="J138" s="21" t="n">
        <v>6729.75</v>
      </c>
      <c r="K138" s="24" t="n">
        <v>46022</v>
      </c>
    </row>
    <row r="139" customFormat="false" ht="15" hidden="false" customHeight="false" outlineLevel="0" collapsed="false">
      <c r="B139" s="20" t="s">
        <v>415</v>
      </c>
      <c r="C139" s="20" t="s">
        <v>416</v>
      </c>
      <c r="D139" s="20" t="s">
        <v>119</v>
      </c>
      <c r="E139" s="20" t="s">
        <v>417</v>
      </c>
      <c r="F139" s="20" t="s">
        <v>144</v>
      </c>
      <c r="G139" s="20" t="n">
        <v>4</v>
      </c>
      <c r="H139" s="20" t="n">
        <v>0</v>
      </c>
      <c r="I139" s="21" t="n">
        <v>1649.1</v>
      </c>
      <c r="J139" s="21" t="n">
        <v>6596.4</v>
      </c>
      <c r="K139" s="24" t="n">
        <v>46022</v>
      </c>
    </row>
    <row r="140" customFormat="false" ht="15" hidden="false" customHeight="false" outlineLevel="0" collapsed="false">
      <c r="B140" s="20" t="s">
        <v>418</v>
      </c>
      <c r="C140" s="20" t="s">
        <v>419</v>
      </c>
      <c r="D140" s="20" t="s">
        <v>119</v>
      </c>
      <c r="E140" s="20" t="s">
        <v>420</v>
      </c>
      <c r="F140" s="20" t="s">
        <v>144</v>
      </c>
      <c r="G140" s="20" t="n">
        <v>63</v>
      </c>
      <c r="H140" s="20" t="n">
        <v>0</v>
      </c>
      <c r="I140" s="21" t="n">
        <v>104.3</v>
      </c>
      <c r="J140" s="21" t="n">
        <v>6570.9</v>
      </c>
      <c r="K140" s="24" t="n">
        <v>46022</v>
      </c>
    </row>
    <row r="141" customFormat="false" ht="15" hidden="false" customHeight="false" outlineLevel="0" collapsed="false">
      <c r="B141" s="20" t="s">
        <v>421</v>
      </c>
      <c r="C141" s="20" t="s">
        <v>422</v>
      </c>
      <c r="D141" s="20" t="s">
        <v>117</v>
      </c>
      <c r="E141" s="20" t="s">
        <v>423</v>
      </c>
      <c r="F141" s="20" t="s">
        <v>144</v>
      </c>
      <c r="G141" s="20" t="n">
        <v>2</v>
      </c>
      <c r="H141" s="20" t="n">
        <v>0</v>
      </c>
      <c r="I141" s="21" t="n">
        <v>3268.51</v>
      </c>
      <c r="J141" s="21" t="n">
        <v>6537.02</v>
      </c>
      <c r="K141" s="24" t="n">
        <v>46022</v>
      </c>
    </row>
    <row r="142" customFormat="false" ht="15" hidden="false" customHeight="false" outlineLevel="0" collapsed="false">
      <c r="B142" s="20" t="s">
        <v>424</v>
      </c>
      <c r="C142" s="20" t="s">
        <v>425</v>
      </c>
      <c r="D142" s="20" t="s">
        <v>117</v>
      </c>
      <c r="E142" s="20" t="s">
        <v>426</v>
      </c>
      <c r="F142" s="20" t="s">
        <v>144</v>
      </c>
      <c r="G142" s="20" t="n">
        <v>18</v>
      </c>
      <c r="H142" s="20" t="n">
        <v>0</v>
      </c>
      <c r="I142" s="21" t="n">
        <v>361.69444</v>
      </c>
      <c r="J142" s="21" t="n">
        <v>6510.49992</v>
      </c>
      <c r="K142" s="24" t="n">
        <v>46196</v>
      </c>
    </row>
    <row r="143" customFormat="false" ht="15" hidden="false" customHeight="false" outlineLevel="0" collapsed="false">
      <c r="B143" s="20" t="s">
        <v>427</v>
      </c>
      <c r="C143" s="20" t="s">
        <v>223</v>
      </c>
      <c r="D143" s="20" t="s">
        <v>117</v>
      </c>
      <c r="E143" s="20" t="s">
        <v>224</v>
      </c>
      <c r="F143" s="20" t="s">
        <v>144</v>
      </c>
      <c r="G143" s="20" t="n">
        <v>22</v>
      </c>
      <c r="H143" s="20" t="n">
        <v>0</v>
      </c>
      <c r="I143" s="21" t="n">
        <v>291.8</v>
      </c>
      <c r="J143" s="21" t="n">
        <v>6419.6</v>
      </c>
      <c r="K143" s="24" t="n">
        <v>46022</v>
      </c>
    </row>
    <row r="144" customFormat="false" ht="15" hidden="false" customHeight="false" outlineLevel="0" collapsed="false">
      <c r="B144" s="20" t="s">
        <v>428</v>
      </c>
      <c r="C144" s="20" t="s">
        <v>429</v>
      </c>
      <c r="D144" s="20" t="s">
        <v>119</v>
      </c>
      <c r="E144" s="20"/>
      <c r="F144" s="20" t="s">
        <v>144</v>
      </c>
      <c r="G144" s="20" t="n">
        <v>6</v>
      </c>
      <c r="H144" s="20" t="n">
        <v>0</v>
      </c>
      <c r="I144" s="21" t="n">
        <v>1063.64</v>
      </c>
      <c r="J144" s="21" t="n">
        <v>6381.84</v>
      </c>
      <c r="K144" s="24" t="n">
        <v>46022</v>
      </c>
    </row>
    <row r="145" customFormat="false" ht="15" hidden="false" customHeight="false" outlineLevel="0" collapsed="false">
      <c r="B145" s="20" t="s">
        <v>430</v>
      </c>
      <c r="C145" s="20" t="s">
        <v>431</v>
      </c>
      <c r="D145" s="20" t="s">
        <v>119</v>
      </c>
      <c r="E145" s="20" t="s">
        <v>432</v>
      </c>
      <c r="F145" s="20" t="s">
        <v>144</v>
      </c>
      <c r="G145" s="20" t="n">
        <v>12</v>
      </c>
      <c r="H145" s="20" t="n">
        <v>0</v>
      </c>
      <c r="I145" s="21" t="n">
        <v>528.37</v>
      </c>
      <c r="J145" s="21" t="n">
        <v>6340.44</v>
      </c>
      <c r="K145" s="24" t="n">
        <v>46022</v>
      </c>
    </row>
    <row r="146" customFormat="false" ht="15" hidden="false" customHeight="false" outlineLevel="0" collapsed="false">
      <c r="B146" s="20" t="s">
        <v>433</v>
      </c>
      <c r="C146" s="20" t="s">
        <v>434</v>
      </c>
      <c r="D146" s="20" t="s">
        <v>117</v>
      </c>
      <c r="E146" s="20" t="s">
        <v>243</v>
      </c>
      <c r="F146" s="20" t="s">
        <v>165</v>
      </c>
      <c r="G146" s="20" t="n">
        <v>2</v>
      </c>
      <c r="H146" s="20" t="n">
        <v>0</v>
      </c>
      <c r="I146" s="21" t="n">
        <v>3162.55</v>
      </c>
      <c r="J146" s="21" t="n">
        <v>6325.1</v>
      </c>
      <c r="K146" s="24" t="n">
        <v>46253</v>
      </c>
    </row>
    <row r="147" customFormat="false" ht="15" hidden="false" customHeight="false" outlineLevel="0" collapsed="false">
      <c r="B147" s="20" t="s">
        <v>435</v>
      </c>
      <c r="C147" s="20" t="s">
        <v>436</v>
      </c>
      <c r="D147" s="20" t="s">
        <v>117</v>
      </c>
      <c r="E147" s="20" t="s">
        <v>196</v>
      </c>
      <c r="F147" s="20" t="s">
        <v>165</v>
      </c>
      <c r="G147" s="20" t="n">
        <v>10</v>
      </c>
      <c r="H147" s="20" t="n">
        <v>0</v>
      </c>
      <c r="I147" s="21" t="n">
        <v>630.56547</v>
      </c>
      <c r="J147" s="21" t="n">
        <v>6305.6547</v>
      </c>
      <c r="K147" s="24" t="n">
        <v>46184</v>
      </c>
    </row>
    <row r="148" customFormat="false" ht="15" hidden="false" customHeight="false" outlineLevel="0" collapsed="false">
      <c r="B148" s="20" t="s">
        <v>437</v>
      </c>
      <c r="C148" s="20" t="s">
        <v>438</v>
      </c>
      <c r="D148" s="20" t="s">
        <v>117</v>
      </c>
      <c r="E148" s="20" t="s">
        <v>211</v>
      </c>
      <c r="F148" s="20" t="s">
        <v>144</v>
      </c>
      <c r="G148" s="20" t="n">
        <v>6</v>
      </c>
      <c r="H148" s="20" t="n">
        <v>0</v>
      </c>
      <c r="I148" s="21" t="n">
        <v>1050.71</v>
      </c>
      <c r="J148" s="21" t="n">
        <v>6304.26</v>
      </c>
      <c r="K148" s="24" t="n">
        <v>46022</v>
      </c>
    </row>
    <row r="149" customFormat="false" ht="15" hidden="false" customHeight="false" outlineLevel="0" collapsed="false">
      <c r="B149" s="20" t="s">
        <v>439</v>
      </c>
      <c r="C149" s="20" t="s">
        <v>393</v>
      </c>
      <c r="D149" s="20" t="s">
        <v>117</v>
      </c>
      <c r="E149" s="20" t="s">
        <v>193</v>
      </c>
      <c r="F149" s="20" t="s">
        <v>144</v>
      </c>
      <c r="G149" s="20" t="n">
        <v>5</v>
      </c>
      <c r="H149" s="20" t="n">
        <v>0</v>
      </c>
      <c r="I149" s="21" t="n">
        <v>1256.85</v>
      </c>
      <c r="J149" s="21" t="n">
        <v>6284.25</v>
      </c>
      <c r="K149" s="24" t="n">
        <v>46022</v>
      </c>
    </row>
    <row r="150" customFormat="false" ht="15" hidden="false" customHeight="false" outlineLevel="0" collapsed="false">
      <c r="B150" s="20" t="s">
        <v>440</v>
      </c>
      <c r="C150" s="20" t="s">
        <v>441</v>
      </c>
      <c r="D150" s="20" t="s">
        <v>121</v>
      </c>
      <c r="E150" s="20" t="s">
        <v>211</v>
      </c>
      <c r="F150" s="20" t="s">
        <v>165</v>
      </c>
      <c r="G150" s="20" t="n">
        <v>7</v>
      </c>
      <c r="H150" s="20" t="n">
        <v>0</v>
      </c>
      <c r="I150" s="21" t="n">
        <v>886.99857</v>
      </c>
      <c r="J150" s="21" t="n">
        <v>6208.98999</v>
      </c>
      <c r="K150" s="24" t="n">
        <v>46232</v>
      </c>
    </row>
    <row r="151" customFormat="false" ht="15" hidden="false" customHeight="false" outlineLevel="0" collapsed="false">
      <c r="B151" s="20" t="s">
        <v>442</v>
      </c>
      <c r="C151" s="20" t="s">
        <v>443</v>
      </c>
      <c r="D151" s="20" t="s">
        <v>121</v>
      </c>
      <c r="E151" s="20" t="s">
        <v>259</v>
      </c>
      <c r="F151" s="20" t="s">
        <v>144</v>
      </c>
      <c r="G151" s="20" t="n">
        <v>4</v>
      </c>
      <c r="H151" s="20" t="n">
        <v>0</v>
      </c>
      <c r="I151" s="21" t="n">
        <v>1550.61</v>
      </c>
      <c r="J151" s="21" t="n">
        <v>6202.44</v>
      </c>
      <c r="K151" s="24" t="n">
        <v>46183</v>
      </c>
    </row>
    <row r="152" customFormat="false" ht="15" hidden="false" customHeight="false" outlineLevel="0" collapsed="false">
      <c r="B152" s="20" t="s">
        <v>444</v>
      </c>
      <c r="C152" s="20" t="s">
        <v>445</v>
      </c>
      <c r="D152" s="20" t="s">
        <v>119</v>
      </c>
      <c r="E152" s="20" t="s">
        <v>446</v>
      </c>
      <c r="F152" s="20" t="s">
        <v>182</v>
      </c>
      <c r="G152" s="20" t="n">
        <v>10</v>
      </c>
      <c r="H152" s="20" t="n">
        <v>0</v>
      </c>
      <c r="I152" s="21" t="n">
        <v>615.568</v>
      </c>
      <c r="J152" s="21" t="n">
        <v>6155.68</v>
      </c>
      <c r="K152" s="24" t="n">
        <v>46233</v>
      </c>
    </row>
    <row r="153" customFormat="false" ht="15" hidden="false" customHeight="false" outlineLevel="0" collapsed="false">
      <c r="B153" s="20" t="s">
        <v>447</v>
      </c>
      <c r="C153" s="20" t="s">
        <v>448</v>
      </c>
      <c r="D153" s="20" t="s">
        <v>117</v>
      </c>
      <c r="E153" s="20" t="s">
        <v>381</v>
      </c>
      <c r="F153" s="20" t="s">
        <v>144</v>
      </c>
      <c r="G153" s="20" t="n">
        <v>3</v>
      </c>
      <c r="H153" s="20" t="n">
        <v>0</v>
      </c>
      <c r="I153" s="21" t="n">
        <v>2043.77</v>
      </c>
      <c r="J153" s="21" t="n">
        <v>6131.31</v>
      </c>
      <c r="K153" s="24" t="n">
        <v>46022</v>
      </c>
    </row>
    <row r="154" customFormat="false" ht="15" hidden="false" customHeight="false" outlineLevel="0" collapsed="false">
      <c r="B154" s="20" t="s">
        <v>449</v>
      </c>
      <c r="C154" s="20" t="s">
        <v>450</v>
      </c>
      <c r="D154" s="20" t="s">
        <v>121</v>
      </c>
      <c r="E154" s="20" t="s">
        <v>208</v>
      </c>
      <c r="F154" s="20" t="s">
        <v>157</v>
      </c>
      <c r="G154" s="20" t="n">
        <v>1</v>
      </c>
      <c r="H154" s="20" t="n">
        <v>0</v>
      </c>
      <c r="I154" s="21" t="n">
        <v>6131.01</v>
      </c>
      <c r="J154" s="21" t="n">
        <v>6131.01</v>
      </c>
      <c r="K154" s="24" t="n">
        <v>46218</v>
      </c>
    </row>
    <row r="155" customFormat="false" ht="15" hidden="false" customHeight="false" outlineLevel="0" collapsed="false">
      <c r="B155" s="20" t="s">
        <v>451</v>
      </c>
      <c r="C155" s="20" t="s">
        <v>452</v>
      </c>
      <c r="D155" s="20" t="s">
        <v>120</v>
      </c>
      <c r="E155" s="20" t="s">
        <v>208</v>
      </c>
      <c r="F155" s="20" t="s">
        <v>182</v>
      </c>
      <c r="G155" s="20" t="n">
        <v>1</v>
      </c>
      <c r="H155" s="20" t="n">
        <v>0</v>
      </c>
      <c r="I155" s="21" t="n">
        <v>6112.78</v>
      </c>
      <c r="J155" s="21" t="n">
        <v>6112.78</v>
      </c>
      <c r="K155" s="24" t="n">
        <v>46079</v>
      </c>
    </row>
    <row r="156" customFormat="false" ht="15" hidden="false" customHeight="false" outlineLevel="0" collapsed="false">
      <c r="B156" s="20" t="s">
        <v>453</v>
      </c>
      <c r="C156" s="20" t="s">
        <v>452</v>
      </c>
      <c r="D156" s="20" t="s">
        <v>121</v>
      </c>
      <c r="E156" s="20" t="s">
        <v>208</v>
      </c>
      <c r="F156" s="20" t="s">
        <v>200</v>
      </c>
      <c r="G156" s="20" t="n">
        <v>1</v>
      </c>
      <c r="H156" s="20" t="n">
        <v>0</v>
      </c>
      <c r="I156" s="21" t="n">
        <v>6061.17</v>
      </c>
      <c r="J156" s="21" t="n">
        <v>6061.17</v>
      </c>
      <c r="K156" s="24" t="n">
        <v>46218</v>
      </c>
    </row>
    <row r="157" customFormat="false" ht="15" hidden="false" customHeight="false" outlineLevel="0" collapsed="false">
      <c r="B157" s="20" t="s">
        <v>454</v>
      </c>
      <c r="C157" s="20" t="s">
        <v>455</v>
      </c>
      <c r="D157" s="20" t="s">
        <v>120</v>
      </c>
      <c r="E157" s="20" t="s">
        <v>208</v>
      </c>
      <c r="F157" s="20" t="s">
        <v>144</v>
      </c>
      <c r="G157" s="20" t="n">
        <v>3</v>
      </c>
      <c r="H157" s="20" t="n">
        <v>0</v>
      </c>
      <c r="I157" s="21" t="n">
        <v>2020.2</v>
      </c>
      <c r="J157" s="21" t="n">
        <v>6060.6</v>
      </c>
      <c r="K157" s="24" t="n">
        <v>46022</v>
      </c>
    </row>
    <row r="158" customFormat="false" ht="15" hidden="false" customHeight="false" outlineLevel="0" collapsed="false">
      <c r="B158" s="20" t="s">
        <v>456</v>
      </c>
      <c r="C158" s="20" t="s">
        <v>457</v>
      </c>
      <c r="D158" s="20" t="s">
        <v>121</v>
      </c>
      <c r="E158" s="20" t="s">
        <v>196</v>
      </c>
      <c r="F158" s="20" t="s">
        <v>200</v>
      </c>
      <c r="G158" s="20" t="n">
        <v>1</v>
      </c>
      <c r="H158" s="20" t="n">
        <v>0</v>
      </c>
      <c r="I158" s="21" t="n">
        <v>6054.77</v>
      </c>
      <c r="J158" s="21" t="n">
        <v>6054.77</v>
      </c>
      <c r="K158" s="24" t="n">
        <v>46220</v>
      </c>
    </row>
    <row r="159" customFormat="false" ht="15" hidden="false" customHeight="false" outlineLevel="0" collapsed="false">
      <c r="B159" s="20" t="s">
        <v>458</v>
      </c>
      <c r="C159" s="20" t="s">
        <v>459</v>
      </c>
      <c r="D159" s="20" t="s">
        <v>117</v>
      </c>
      <c r="E159" s="20" t="s">
        <v>208</v>
      </c>
      <c r="F159" s="20" t="s">
        <v>144</v>
      </c>
      <c r="G159" s="20" t="n">
        <v>1</v>
      </c>
      <c r="H159" s="20" t="n">
        <v>0</v>
      </c>
      <c r="I159" s="21" t="n">
        <v>6012.04</v>
      </c>
      <c r="J159" s="21" t="n">
        <v>6012.04</v>
      </c>
      <c r="K159" s="24" t="n">
        <v>46022</v>
      </c>
    </row>
    <row r="160" customFormat="false" ht="15" hidden="false" customHeight="false" outlineLevel="0" collapsed="false">
      <c r="B160" s="20" t="s">
        <v>460</v>
      </c>
      <c r="C160" s="20" t="s">
        <v>461</v>
      </c>
      <c r="D160" s="20" t="s">
        <v>117</v>
      </c>
      <c r="E160" s="20" t="s">
        <v>462</v>
      </c>
      <c r="F160" s="20" t="s">
        <v>144</v>
      </c>
      <c r="G160" s="20" t="n">
        <v>12</v>
      </c>
      <c r="H160" s="20" t="n">
        <v>0</v>
      </c>
      <c r="I160" s="21" t="n">
        <v>499.42</v>
      </c>
      <c r="J160" s="21" t="n">
        <v>5993.04</v>
      </c>
      <c r="K160" s="24" t="n">
        <v>46204</v>
      </c>
    </row>
    <row r="161" customFormat="false" ht="15" hidden="false" customHeight="false" outlineLevel="0" collapsed="false">
      <c r="B161" s="20" t="s">
        <v>463</v>
      </c>
      <c r="C161" s="20" t="s">
        <v>464</v>
      </c>
      <c r="D161" s="20" t="s">
        <v>119</v>
      </c>
      <c r="E161" s="20" t="s">
        <v>151</v>
      </c>
      <c r="F161" s="20" t="s">
        <v>144</v>
      </c>
      <c r="G161" s="20" t="n">
        <v>3</v>
      </c>
      <c r="H161" s="20" t="n">
        <v>0</v>
      </c>
      <c r="I161" s="21" t="n">
        <v>1989.25</v>
      </c>
      <c r="J161" s="21" t="n">
        <v>5967.75</v>
      </c>
      <c r="K161" s="24" t="n">
        <v>46022</v>
      </c>
    </row>
    <row r="162" customFormat="false" ht="15" hidden="false" customHeight="false" outlineLevel="0" collapsed="false">
      <c r="B162" s="20" t="s">
        <v>465</v>
      </c>
      <c r="C162" s="20" t="s">
        <v>466</v>
      </c>
      <c r="D162" s="20" t="s">
        <v>117</v>
      </c>
      <c r="E162" s="20" t="s">
        <v>467</v>
      </c>
      <c r="F162" s="20" t="s">
        <v>144</v>
      </c>
      <c r="G162" s="20" t="n">
        <v>1</v>
      </c>
      <c r="H162" s="20" t="n">
        <v>0</v>
      </c>
      <c r="I162" s="21" t="n">
        <v>5961.28</v>
      </c>
      <c r="J162" s="21" t="n">
        <v>5961.28</v>
      </c>
      <c r="K162" s="24" t="n">
        <v>46022</v>
      </c>
    </row>
    <row r="163" customFormat="false" ht="15" hidden="false" customHeight="false" outlineLevel="0" collapsed="false">
      <c r="B163" s="20" t="s">
        <v>468</v>
      </c>
      <c r="C163" s="20" t="s">
        <v>469</v>
      </c>
      <c r="D163" s="20" t="s">
        <v>117</v>
      </c>
      <c r="E163" s="20" t="s">
        <v>196</v>
      </c>
      <c r="F163" s="20" t="s">
        <v>165</v>
      </c>
      <c r="G163" s="20" t="n">
        <v>1</v>
      </c>
      <c r="H163" s="20" t="n">
        <v>0</v>
      </c>
      <c r="I163" s="21" t="n">
        <v>5943.68</v>
      </c>
      <c r="J163" s="21" t="n">
        <v>5943.68</v>
      </c>
      <c r="K163" s="24" t="n">
        <v>46185</v>
      </c>
    </row>
    <row r="164" customFormat="false" ht="15" hidden="false" customHeight="false" outlineLevel="0" collapsed="false">
      <c r="B164" s="20" t="s">
        <v>470</v>
      </c>
      <c r="C164" s="20" t="s">
        <v>471</v>
      </c>
      <c r="D164" s="20" t="s">
        <v>121</v>
      </c>
      <c r="E164" s="20" t="s">
        <v>211</v>
      </c>
      <c r="F164" s="20" t="s">
        <v>157</v>
      </c>
      <c r="G164" s="20" t="n">
        <v>6</v>
      </c>
      <c r="H164" s="20" t="n">
        <v>0</v>
      </c>
      <c r="I164" s="21" t="n">
        <v>988.46</v>
      </c>
      <c r="J164" s="21" t="n">
        <v>5930.76</v>
      </c>
      <c r="K164" s="24" t="n">
        <v>46232</v>
      </c>
    </row>
    <row r="165" customFormat="false" ht="15" hidden="false" customHeight="false" outlineLevel="0" collapsed="false">
      <c r="B165" s="20" t="s">
        <v>472</v>
      </c>
      <c r="C165" s="20" t="s">
        <v>452</v>
      </c>
      <c r="D165" s="20" t="s">
        <v>121</v>
      </c>
      <c r="E165" s="20" t="s">
        <v>208</v>
      </c>
      <c r="F165" s="20" t="s">
        <v>165</v>
      </c>
      <c r="G165" s="20" t="n">
        <v>1</v>
      </c>
      <c r="H165" s="20" t="n">
        <v>0</v>
      </c>
      <c r="I165" s="21" t="n">
        <v>5926.7</v>
      </c>
      <c r="J165" s="21" t="n">
        <v>5926.7</v>
      </c>
      <c r="K165" s="24" t="n">
        <v>46223</v>
      </c>
    </row>
    <row r="166" customFormat="false" ht="15" hidden="false" customHeight="false" outlineLevel="0" collapsed="false">
      <c r="B166" s="20" t="s">
        <v>473</v>
      </c>
      <c r="C166" s="20" t="s">
        <v>474</v>
      </c>
      <c r="D166" s="20" t="s">
        <v>121</v>
      </c>
      <c r="E166" s="20" t="s">
        <v>208</v>
      </c>
      <c r="F166" s="20" t="s">
        <v>165</v>
      </c>
      <c r="G166" s="20" t="n">
        <v>1</v>
      </c>
      <c r="H166" s="20" t="n">
        <v>0</v>
      </c>
      <c r="I166" s="21" t="n">
        <v>5861.59</v>
      </c>
      <c r="J166" s="21" t="n">
        <v>5861.59</v>
      </c>
      <c r="K166" s="24" t="n">
        <v>46218</v>
      </c>
    </row>
    <row r="167" customFormat="false" ht="15" hidden="false" customHeight="false" outlineLevel="0" collapsed="false">
      <c r="B167" s="20" t="s">
        <v>475</v>
      </c>
      <c r="C167" s="20" t="s">
        <v>476</v>
      </c>
      <c r="D167" s="20" t="s">
        <v>119</v>
      </c>
      <c r="E167" s="20" t="s">
        <v>467</v>
      </c>
      <c r="F167" s="20" t="s">
        <v>182</v>
      </c>
      <c r="G167" s="20" t="n">
        <v>7</v>
      </c>
      <c r="H167" s="20" t="n">
        <v>0</v>
      </c>
      <c r="I167" s="21" t="n">
        <v>836.68</v>
      </c>
      <c r="J167" s="21" t="n">
        <v>5856.76</v>
      </c>
      <c r="K167" s="24" t="n">
        <v>46022</v>
      </c>
    </row>
    <row r="168" customFormat="false" ht="15" hidden="false" customHeight="false" outlineLevel="0" collapsed="false">
      <c r="B168" s="20" t="s">
        <v>477</v>
      </c>
      <c r="C168" s="20" t="s">
        <v>478</v>
      </c>
      <c r="D168" s="20" t="s">
        <v>117</v>
      </c>
      <c r="E168" s="20" t="s">
        <v>479</v>
      </c>
      <c r="F168" s="20" t="s">
        <v>182</v>
      </c>
      <c r="G168" s="20" t="n">
        <v>2</v>
      </c>
      <c r="H168" s="20" t="n">
        <v>0</v>
      </c>
      <c r="I168" s="21" t="n">
        <v>2927.24</v>
      </c>
      <c r="J168" s="21" t="n">
        <v>5854.48</v>
      </c>
      <c r="K168" s="24" t="n">
        <v>46023</v>
      </c>
    </row>
    <row r="169" customFormat="false" ht="15" hidden="false" customHeight="false" outlineLevel="0" collapsed="false">
      <c r="B169" s="20" t="s">
        <v>480</v>
      </c>
      <c r="C169" s="20" t="s">
        <v>481</v>
      </c>
      <c r="D169" s="20" t="s">
        <v>120</v>
      </c>
      <c r="E169" s="20" t="s">
        <v>482</v>
      </c>
      <c r="F169" s="20" t="s">
        <v>182</v>
      </c>
      <c r="G169" s="20" t="n">
        <v>2</v>
      </c>
      <c r="H169" s="20" t="n">
        <v>0</v>
      </c>
      <c r="I169" s="21" t="n">
        <v>2910.72</v>
      </c>
      <c r="J169" s="21" t="n">
        <v>5821.44</v>
      </c>
      <c r="K169" s="24" t="n">
        <v>46022</v>
      </c>
    </row>
    <row r="170" customFormat="false" ht="15" hidden="false" customHeight="false" outlineLevel="0" collapsed="false">
      <c r="B170" s="20" t="s">
        <v>483</v>
      </c>
      <c r="C170" s="20" t="s">
        <v>443</v>
      </c>
      <c r="D170" s="20" t="s">
        <v>117</v>
      </c>
      <c r="E170" s="20" t="s">
        <v>236</v>
      </c>
      <c r="F170" s="20" t="s">
        <v>144</v>
      </c>
      <c r="G170" s="20" t="n">
        <v>4</v>
      </c>
      <c r="H170" s="20" t="n">
        <v>0</v>
      </c>
      <c r="I170" s="21" t="n">
        <v>1455</v>
      </c>
      <c r="J170" s="21" t="n">
        <v>5820</v>
      </c>
      <c r="K170" s="24" t="n">
        <v>46022</v>
      </c>
    </row>
    <row r="171" customFormat="false" ht="15" hidden="false" customHeight="false" outlineLevel="0" collapsed="false">
      <c r="B171" s="20" t="s">
        <v>453</v>
      </c>
      <c r="C171" s="20" t="s">
        <v>452</v>
      </c>
      <c r="D171" s="20" t="s">
        <v>120</v>
      </c>
      <c r="E171" s="20" t="s">
        <v>208</v>
      </c>
      <c r="F171" s="20" t="s">
        <v>200</v>
      </c>
      <c r="G171" s="20" t="n">
        <v>1</v>
      </c>
      <c r="H171" s="20" t="n">
        <v>0</v>
      </c>
      <c r="I171" s="21" t="n">
        <v>5812.3</v>
      </c>
      <c r="J171" s="21" t="n">
        <v>5812.3</v>
      </c>
      <c r="K171" s="24" t="n">
        <v>46022</v>
      </c>
    </row>
    <row r="172" customFormat="false" ht="15" hidden="false" customHeight="false" outlineLevel="0" collapsed="false">
      <c r="B172" s="20" t="s">
        <v>484</v>
      </c>
      <c r="C172" s="20" t="s">
        <v>485</v>
      </c>
      <c r="D172" s="20" t="s">
        <v>117</v>
      </c>
      <c r="E172" s="20" t="s">
        <v>432</v>
      </c>
      <c r="F172" s="20" t="s">
        <v>144</v>
      </c>
      <c r="G172" s="20" t="n">
        <v>4</v>
      </c>
      <c r="H172" s="20" t="n">
        <v>0</v>
      </c>
      <c r="I172" s="21" t="n">
        <v>1449.995</v>
      </c>
      <c r="J172" s="21" t="n">
        <v>5799.98</v>
      </c>
      <c r="K172" s="24" t="n">
        <v>46112</v>
      </c>
    </row>
    <row r="173" customFormat="false" ht="15" hidden="false" customHeight="false" outlineLevel="0" collapsed="false">
      <c r="B173" s="20" t="s">
        <v>486</v>
      </c>
      <c r="C173" s="20" t="s">
        <v>487</v>
      </c>
      <c r="D173" s="20" t="s">
        <v>117</v>
      </c>
      <c r="E173" s="20" t="s">
        <v>340</v>
      </c>
      <c r="F173" s="20" t="s">
        <v>144</v>
      </c>
      <c r="G173" s="20" t="n">
        <v>8</v>
      </c>
      <c r="H173" s="20" t="n">
        <v>0</v>
      </c>
      <c r="I173" s="21" t="n">
        <v>723.15</v>
      </c>
      <c r="J173" s="21" t="n">
        <v>5785.2</v>
      </c>
      <c r="K173" s="24" t="n">
        <v>46022</v>
      </c>
    </row>
    <row r="174" customFormat="false" ht="15" hidden="false" customHeight="false" outlineLevel="0" collapsed="false">
      <c r="B174" s="20" t="s">
        <v>488</v>
      </c>
      <c r="C174" s="20" t="s">
        <v>489</v>
      </c>
      <c r="D174" s="20" t="s">
        <v>121</v>
      </c>
      <c r="E174" s="20" t="s">
        <v>193</v>
      </c>
      <c r="F174" s="20" t="s">
        <v>157</v>
      </c>
      <c r="G174" s="20" t="n">
        <v>6</v>
      </c>
      <c r="H174" s="20" t="n">
        <v>0</v>
      </c>
      <c r="I174" s="21" t="n">
        <v>963.73</v>
      </c>
      <c r="J174" s="21" t="n">
        <v>5782.38</v>
      </c>
      <c r="K174" s="24" t="n">
        <v>46219</v>
      </c>
    </row>
    <row r="175" customFormat="false" ht="15" hidden="false" customHeight="false" outlineLevel="0" collapsed="false">
      <c r="B175" s="20" t="s">
        <v>490</v>
      </c>
      <c r="C175" s="20" t="s">
        <v>491</v>
      </c>
      <c r="D175" s="20" t="s">
        <v>117</v>
      </c>
      <c r="E175" s="20" t="s">
        <v>173</v>
      </c>
      <c r="F175" s="20" t="s">
        <v>182</v>
      </c>
      <c r="G175" s="20" t="n">
        <v>2</v>
      </c>
      <c r="H175" s="20" t="n">
        <v>0</v>
      </c>
      <c r="I175" s="21" t="n">
        <v>2871.7</v>
      </c>
      <c r="J175" s="21" t="n">
        <v>5743.4</v>
      </c>
      <c r="K175" s="24" t="n">
        <v>46022</v>
      </c>
    </row>
    <row r="176" customFormat="false" ht="15" hidden="false" customHeight="false" outlineLevel="0" collapsed="false">
      <c r="B176" s="20" t="s">
        <v>492</v>
      </c>
      <c r="C176" s="20" t="s">
        <v>493</v>
      </c>
      <c r="D176" s="20" t="s">
        <v>117</v>
      </c>
      <c r="E176" s="20" t="s">
        <v>494</v>
      </c>
      <c r="F176" s="20" t="s">
        <v>144</v>
      </c>
      <c r="G176" s="20" t="n">
        <v>2</v>
      </c>
      <c r="H176" s="20" t="n">
        <v>0</v>
      </c>
      <c r="I176" s="21" t="n">
        <v>2870</v>
      </c>
      <c r="J176" s="21" t="n">
        <v>5740</v>
      </c>
      <c r="K176" s="24" t="n">
        <v>46022</v>
      </c>
    </row>
    <row r="177" customFormat="false" ht="15" hidden="false" customHeight="false" outlineLevel="0" collapsed="false">
      <c r="B177" s="20" t="s">
        <v>495</v>
      </c>
      <c r="C177" s="20" t="s">
        <v>496</v>
      </c>
      <c r="D177" s="20" t="s">
        <v>117</v>
      </c>
      <c r="E177" s="20" t="s">
        <v>265</v>
      </c>
      <c r="F177" s="20" t="s">
        <v>144</v>
      </c>
      <c r="G177" s="20" t="n">
        <v>9</v>
      </c>
      <c r="H177" s="20" t="n">
        <v>0</v>
      </c>
      <c r="I177" s="21" t="n">
        <v>636.72</v>
      </c>
      <c r="J177" s="21" t="n">
        <v>5730.48</v>
      </c>
      <c r="K177" s="24" t="n">
        <v>46022</v>
      </c>
    </row>
    <row r="178" customFormat="false" ht="15" hidden="false" customHeight="false" outlineLevel="0" collapsed="false">
      <c r="B178" s="20" t="s">
        <v>497</v>
      </c>
      <c r="C178" s="20" t="s">
        <v>498</v>
      </c>
      <c r="D178" s="20" t="s">
        <v>119</v>
      </c>
      <c r="E178" s="20" t="s">
        <v>151</v>
      </c>
      <c r="F178" s="20" t="s">
        <v>144</v>
      </c>
      <c r="G178" s="20" t="n">
        <v>1</v>
      </c>
      <c r="H178" s="20" t="n">
        <v>0</v>
      </c>
      <c r="I178" s="21" t="n">
        <v>5712.71</v>
      </c>
      <c r="J178" s="21" t="n">
        <v>5712.71</v>
      </c>
      <c r="K178" s="24" t="n">
        <v>46137</v>
      </c>
    </row>
    <row r="179" customFormat="false" ht="15" hidden="false" customHeight="false" outlineLevel="0" collapsed="false">
      <c r="B179" s="20" t="s">
        <v>499</v>
      </c>
      <c r="C179" s="20" t="s">
        <v>500</v>
      </c>
      <c r="D179" s="20" t="s">
        <v>117</v>
      </c>
      <c r="E179" s="20" t="s">
        <v>219</v>
      </c>
      <c r="F179" s="20" t="s">
        <v>165</v>
      </c>
      <c r="G179" s="20" t="n">
        <v>1</v>
      </c>
      <c r="H179" s="20" t="n">
        <v>0</v>
      </c>
      <c r="I179" s="21" t="n">
        <v>5705.94</v>
      </c>
      <c r="J179" s="21" t="n">
        <v>5705.94</v>
      </c>
      <c r="K179" s="24" t="n">
        <v>46127</v>
      </c>
    </row>
    <row r="180" customFormat="false" ht="15" hidden="false" customHeight="false" outlineLevel="0" collapsed="false">
      <c r="B180" s="20" t="s">
        <v>501</v>
      </c>
      <c r="C180" s="20" t="s">
        <v>502</v>
      </c>
      <c r="D180" s="20" t="s">
        <v>117</v>
      </c>
      <c r="E180" s="20" t="s">
        <v>482</v>
      </c>
      <c r="F180" s="20" t="s">
        <v>165</v>
      </c>
      <c r="G180" s="20" t="n">
        <v>1</v>
      </c>
      <c r="H180" s="20" t="n">
        <v>0</v>
      </c>
      <c r="I180" s="21" t="n">
        <v>5641.95</v>
      </c>
      <c r="J180" s="21" t="n">
        <v>5641.95</v>
      </c>
      <c r="K180" s="24" t="n">
        <v>46184</v>
      </c>
    </row>
    <row r="181" customFormat="false" ht="15" hidden="false" customHeight="false" outlineLevel="0" collapsed="false">
      <c r="B181" s="20" t="s">
        <v>503</v>
      </c>
      <c r="C181" s="20" t="s">
        <v>504</v>
      </c>
      <c r="D181" s="20" t="s">
        <v>117</v>
      </c>
      <c r="E181" s="20" t="s">
        <v>196</v>
      </c>
      <c r="F181" s="20" t="s">
        <v>182</v>
      </c>
      <c r="G181" s="20" t="n">
        <v>2</v>
      </c>
      <c r="H181" s="20" t="n">
        <v>0</v>
      </c>
      <c r="I181" s="21" t="n">
        <v>2813.56</v>
      </c>
      <c r="J181" s="21" t="n">
        <v>5627.12</v>
      </c>
      <c r="K181" s="24" t="n">
        <v>46022</v>
      </c>
    </row>
    <row r="182" customFormat="false" ht="15" hidden="false" customHeight="false" outlineLevel="0" collapsed="false">
      <c r="B182" s="20" t="s">
        <v>505</v>
      </c>
      <c r="C182" s="20" t="s">
        <v>506</v>
      </c>
      <c r="D182" s="20" t="s">
        <v>117</v>
      </c>
      <c r="E182" s="20" t="s">
        <v>353</v>
      </c>
      <c r="F182" s="20" t="s">
        <v>144</v>
      </c>
      <c r="G182" s="20" t="n">
        <v>1</v>
      </c>
      <c r="H182" s="20" t="n">
        <v>0</v>
      </c>
      <c r="I182" s="21" t="n">
        <v>5567.04</v>
      </c>
      <c r="J182" s="21" t="n">
        <v>5567.04</v>
      </c>
      <c r="K182" s="24" t="n">
        <v>46203</v>
      </c>
    </row>
    <row r="183" customFormat="false" ht="15" hidden="false" customHeight="false" outlineLevel="0" collapsed="false">
      <c r="B183" s="20" t="s">
        <v>507</v>
      </c>
      <c r="C183" s="20" t="s">
        <v>508</v>
      </c>
      <c r="D183" s="20" t="s">
        <v>117</v>
      </c>
      <c r="E183" s="20" t="s">
        <v>208</v>
      </c>
      <c r="F183" s="20" t="s">
        <v>165</v>
      </c>
      <c r="G183" s="20" t="n">
        <v>1</v>
      </c>
      <c r="H183" s="20" t="n">
        <v>0</v>
      </c>
      <c r="I183" s="21" t="n">
        <v>5559.59</v>
      </c>
      <c r="J183" s="21" t="n">
        <v>5559.59</v>
      </c>
      <c r="K183" s="24" t="n">
        <v>46022</v>
      </c>
    </row>
    <row r="184" customFormat="false" ht="15" hidden="false" customHeight="false" outlineLevel="0" collapsed="false">
      <c r="B184" s="20" t="s">
        <v>509</v>
      </c>
      <c r="C184" s="20" t="s">
        <v>510</v>
      </c>
      <c r="D184" s="20" t="s">
        <v>117</v>
      </c>
      <c r="E184" s="20" t="s">
        <v>381</v>
      </c>
      <c r="F184" s="20" t="s">
        <v>144</v>
      </c>
      <c r="G184" s="20" t="n">
        <v>1</v>
      </c>
      <c r="H184" s="20" t="n">
        <v>0</v>
      </c>
      <c r="I184" s="21" t="n">
        <v>5520.38</v>
      </c>
      <c r="J184" s="21" t="n">
        <v>5520.38</v>
      </c>
      <c r="K184" s="24" t="n">
        <v>46022</v>
      </c>
    </row>
    <row r="185" customFormat="false" ht="15" hidden="false" customHeight="false" outlineLevel="0" collapsed="false">
      <c r="B185" s="20" t="s">
        <v>511</v>
      </c>
      <c r="C185" s="20" t="s">
        <v>512</v>
      </c>
      <c r="D185" s="20" t="s">
        <v>117</v>
      </c>
      <c r="E185" s="20" t="s">
        <v>219</v>
      </c>
      <c r="F185" s="20" t="s">
        <v>157</v>
      </c>
      <c r="G185" s="20" t="n">
        <v>1</v>
      </c>
      <c r="H185" s="20" t="n">
        <v>0</v>
      </c>
      <c r="I185" s="21" t="n">
        <v>5504.85</v>
      </c>
      <c r="J185" s="21" t="n">
        <v>5504.85</v>
      </c>
      <c r="K185" s="24" t="n">
        <v>46142</v>
      </c>
    </row>
    <row r="186" customFormat="false" ht="15" hidden="false" customHeight="false" outlineLevel="0" collapsed="false">
      <c r="B186" s="20" t="s">
        <v>513</v>
      </c>
      <c r="C186" s="20" t="s">
        <v>514</v>
      </c>
      <c r="D186" s="20" t="s">
        <v>119</v>
      </c>
      <c r="E186" s="20" t="s">
        <v>432</v>
      </c>
      <c r="F186" s="20" t="s">
        <v>144</v>
      </c>
      <c r="G186" s="20" t="n">
        <v>12</v>
      </c>
      <c r="H186" s="20" t="n">
        <v>0</v>
      </c>
      <c r="I186" s="21" t="n">
        <v>458.11941</v>
      </c>
      <c r="J186" s="21" t="n">
        <v>5497.43292</v>
      </c>
      <c r="K186" s="24" t="n">
        <v>46008</v>
      </c>
    </row>
    <row r="187" customFormat="false" ht="15" hidden="false" customHeight="false" outlineLevel="0" collapsed="false">
      <c r="B187" s="20" t="s">
        <v>515</v>
      </c>
      <c r="C187" s="20" t="s">
        <v>516</v>
      </c>
      <c r="D187" s="20" t="s">
        <v>117</v>
      </c>
      <c r="E187" s="20" t="s">
        <v>196</v>
      </c>
      <c r="F187" s="20" t="s">
        <v>165</v>
      </c>
      <c r="G187" s="20" t="n">
        <v>1</v>
      </c>
      <c r="H187" s="20" t="n">
        <v>0</v>
      </c>
      <c r="I187" s="21" t="n">
        <v>5464.94363</v>
      </c>
      <c r="J187" s="21" t="n">
        <v>5464.94363</v>
      </c>
      <c r="K187" s="24" t="n">
        <v>46150</v>
      </c>
    </row>
    <row r="188" customFormat="false" ht="15" hidden="false" customHeight="false" outlineLevel="0" collapsed="false">
      <c r="B188" s="20" t="s">
        <v>517</v>
      </c>
      <c r="C188" s="20" t="s">
        <v>518</v>
      </c>
      <c r="D188" s="20" t="s">
        <v>117</v>
      </c>
      <c r="E188" s="20" t="s">
        <v>151</v>
      </c>
      <c r="F188" s="20" t="s">
        <v>182</v>
      </c>
      <c r="G188" s="20" t="n">
        <v>2</v>
      </c>
      <c r="H188" s="20" t="n">
        <v>0</v>
      </c>
      <c r="I188" s="21" t="n">
        <v>2728.64</v>
      </c>
      <c r="J188" s="21" t="n">
        <v>5457.28</v>
      </c>
      <c r="K188" s="24" t="n">
        <v>46072</v>
      </c>
    </row>
    <row r="189" customFormat="false" ht="15" hidden="false" customHeight="false" outlineLevel="0" collapsed="false">
      <c r="B189" s="20" t="s">
        <v>519</v>
      </c>
      <c r="C189" s="20" t="s">
        <v>520</v>
      </c>
      <c r="D189" s="20" t="s">
        <v>117</v>
      </c>
      <c r="E189" s="20" t="s">
        <v>521</v>
      </c>
      <c r="F189" s="20" t="s">
        <v>144</v>
      </c>
      <c r="G189" s="20" t="n">
        <v>2</v>
      </c>
      <c r="H189" s="20" t="n">
        <v>0</v>
      </c>
      <c r="I189" s="21" t="n">
        <v>2689.43</v>
      </c>
      <c r="J189" s="21" t="n">
        <v>5378.86</v>
      </c>
      <c r="K189" s="24" t="n">
        <v>46022</v>
      </c>
    </row>
    <row r="190" customFormat="false" ht="15" hidden="false" customHeight="false" outlineLevel="0" collapsed="false">
      <c r="B190" s="20" t="s">
        <v>522</v>
      </c>
      <c r="C190" s="20" t="s">
        <v>523</v>
      </c>
      <c r="D190" s="20" t="s">
        <v>117</v>
      </c>
      <c r="E190" s="20" t="s">
        <v>524</v>
      </c>
      <c r="F190" s="20" t="s">
        <v>144</v>
      </c>
      <c r="G190" s="20" t="n">
        <v>11</v>
      </c>
      <c r="H190" s="20" t="n">
        <v>0</v>
      </c>
      <c r="I190" s="21" t="n">
        <v>488.09</v>
      </c>
      <c r="J190" s="21" t="n">
        <v>5368.99</v>
      </c>
      <c r="K190" s="24" t="n">
        <v>46022</v>
      </c>
    </row>
    <row r="191" customFormat="false" ht="15" hidden="false" customHeight="false" outlineLevel="0" collapsed="false">
      <c r="B191" s="20" t="s">
        <v>525</v>
      </c>
      <c r="C191" s="20" t="s">
        <v>526</v>
      </c>
      <c r="D191" s="20" t="s">
        <v>120</v>
      </c>
      <c r="E191" s="20" t="s">
        <v>482</v>
      </c>
      <c r="F191" s="20" t="s">
        <v>165</v>
      </c>
      <c r="G191" s="20" t="n">
        <v>3</v>
      </c>
      <c r="H191" s="20" t="n">
        <v>0</v>
      </c>
      <c r="I191" s="21" t="n">
        <v>1779.69</v>
      </c>
      <c r="J191" s="21" t="n">
        <v>5339.07</v>
      </c>
      <c r="K191" s="24" t="n">
        <v>46022</v>
      </c>
    </row>
    <row r="192" customFormat="false" ht="15" hidden="false" customHeight="false" outlineLevel="0" collapsed="false">
      <c r="B192" s="20" t="s">
        <v>527</v>
      </c>
      <c r="C192" s="20" t="s">
        <v>528</v>
      </c>
      <c r="D192" s="20" t="s">
        <v>119</v>
      </c>
      <c r="E192" s="20"/>
      <c r="F192" s="20" t="s">
        <v>165</v>
      </c>
      <c r="G192" s="20" t="n">
        <v>3</v>
      </c>
      <c r="H192" s="20" t="n">
        <v>0</v>
      </c>
      <c r="I192" s="21" t="n">
        <v>1779.12333</v>
      </c>
      <c r="J192" s="21" t="n">
        <v>5337.36999</v>
      </c>
      <c r="K192" s="24" t="n">
        <v>46076</v>
      </c>
    </row>
    <row r="193" customFormat="false" ht="15" hidden="false" customHeight="false" outlineLevel="0" collapsed="false">
      <c r="B193" s="20" t="s">
        <v>529</v>
      </c>
      <c r="C193" s="20" t="s">
        <v>530</v>
      </c>
      <c r="D193" s="20" t="s">
        <v>117</v>
      </c>
      <c r="E193" s="20" t="s">
        <v>531</v>
      </c>
      <c r="F193" s="20" t="s">
        <v>144</v>
      </c>
      <c r="G193" s="20" t="n">
        <v>1</v>
      </c>
      <c r="H193" s="20" t="n">
        <v>0</v>
      </c>
      <c r="I193" s="21" t="n">
        <v>5325.25</v>
      </c>
      <c r="J193" s="21" t="n">
        <v>5325.25</v>
      </c>
      <c r="K193" s="24" t="n">
        <v>46022</v>
      </c>
    </row>
    <row r="194" customFormat="false" ht="15" hidden="false" customHeight="false" outlineLevel="0" collapsed="false">
      <c r="B194" s="20" t="s">
        <v>532</v>
      </c>
      <c r="C194" s="20" t="s">
        <v>533</v>
      </c>
      <c r="D194" s="20" t="s">
        <v>117</v>
      </c>
      <c r="E194" s="20" t="s">
        <v>311</v>
      </c>
      <c r="F194" s="20" t="s">
        <v>144</v>
      </c>
      <c r="G194" s="20" t="n">
        <v>7</v>
      </c>
      <c r="H194" s="20" t="n">
        <v>0</v>
      </c>
      <c r="I194" s="21" t="n">
        <v>759.61286</v>
      </c>
      <c r="J194" s="21" t="n">
        <v>5317.29002</v>
      </c>
      <c r="K194" s="24" t="n">
        <v>46185</v>
      </c>
    </row>
    <row r="195" customFormat="false" ht="15" hidden="false" customHeight="false" outlineLevel="0" collapsed="false">
      <c r="B195" s="20" t="s">
        <v>534</v>
      </c>
      <c r="C195" s="20" t="s">
        <v>535</v>
      </c>
      <c r="D195" s="20" t="s">
        <v>119</v>
      </c>
      <c r="E195" s="20" t="s">
        <v>224</v>
      </c>
      <c r="F195" s="20" t="s">
        <v>144</v>
      </c>
      <c r="G195" s="20" t="n">
        <v>6</v>
      </c>
      <c r="H195" s="20" t="n">
        <v>0</v>
      </c>
      <c r="I195" s="21" t="n">
        <v>879.78167</v>
      </c>
      <c r="J195" s="21" t="n">
        <v>5278.69002</v>
      </c>
      <c r="K195" s="24" t="n">
        <v>46035</v>
      </c>
    </row>
    <row r="196" customFormat="false" ht="15" hidden="false" customHeight="false" outlineLevel="0" collapsed="false">
      <c r="B196" s="20" t="s">
        <v>536</v>
      </c>
      <c r="C196" s="20" t="s">
        <v>537</v>
      </c>
      <c r="D196" s="20" t="s">
        <v>117</v>
      </c>
      <c r="E196" s="20" t="s">
        <v>538</v>
      </c>
      <c r="F196" s="20" t="s">
        <v>144</v>
      </c>
      <c r="G196" s="20" t="n">
        <v>1</v>
      </c>
      <c r="H196" s="20" t="n">
        <v>0</v>
      </c>
      <c r="I196" s="21" t="n">
        <v>5277.36</v>
      </c>
      <c r="J196" s="21" t="n">
        <v>5277.36</v>
      </c>
      <c r="K196" s="24" t="n">
        <v>46022</v>
      </c>
    </row>
    <row r="197" customFormat="false" ht="15" hidden="false" customHeight="false" outlineLevel="0" collapsed="false">
      <c r="B197" s="20" t="s">
        <v>539</v>
      </c>
      <c r="C197" s="20" t="s">
        <v>540</v>
      </c>
      <c r="D197" s="20" t="s">
        <v>120</v>
      </c>
      <c r="E197" s="20" t="s">
        <v>208</v>
      </c>
      <c r="F197" s="20" t="s">
        <v>144</v>
      </c>
      <c r="G197" s="20" t="n">
        <v>1</v>
      </c>
      <c r="H197" s="20" t="n">
        <v>0</v>
      </c>
      <c r="I197" s="21" t="n">
        <v>5273.61</v>
      </c>
      <c r="J197" s="21" t="n">
        <v>5273.61</v>
      </c>
      <c r="K197" s="24" t="n">
        <v>46022</v>
      </c>
    </row>
    <row r="198" customFormat="false" ht="15" hidden="false" customHeight="false" outlineLevel="0" collapsed="false">
      <c r="B198" s="20" t="s">
        <v>541</v>
      </c>
      <c r="C198" s="20" t="s">
        <v>542</v>
      </c>
      <c r="D198" s="20" t="s">
        <v>121</v>
      </c>
      <c r="E198" s="20" t="s">
        <v>211</v>
      </c>
      <c r="F198" s="20" t="s">
        <v>182</v>
      </c>
      <c r="G198" s="20" t="n">
        <v>6</v>
      </c>
      <c r="H198" s="20" t="n">
        <v>0</v>
      </c>
      <c r="I198" s="21" t="n">
        <v>875.38</v>
      </c>
      <c r="J198" s="21" t="n">
        <v>5252.28</v>
      </c>
      <c r="K198" s="24" t="n">
        <v>46232</v>
      </c>
    </row>
    <row r="199" customFormat="false" ht="15" hidden="false" customHeight="false" outlineLevel="0" collapsed="false">
      <c r="B199" s="20" t="s">
        <v>451</v>
      </c>
      <c r="C199" s="20" t="s">
        <v>452</v>
      </c>
      <c r="D199" s="20" t="s">
        <v>117</v>
      </c>
      <c r="E199" s="20" t="s">
        <v>208</v>
      </c>
      <c r="F199" s="20" t="s">
        <v>182</v>
      </c>
      <c r="G199" s="20" t="n">
        <v>1</v>
      </c>
      <c r="H199" s="20" t="n">
        <v>0</v>
      </c>
      <c r="I199" s="21" t="n">
        <v>5237.55</v>
      </c>
      <c r="J199" s="21" t="n">
        <v>5237.55</v>
      </c>
      <c r="K199" s="24" t="n">
        <v>46022</v>
      </c>
    </row>
    <row r="200" customFormat="false" ht="15" hidden="false" customHeight="false" outlineLevel="0" collapsed="false">
      <c r="B200" s="20" t="s">
        <v>543</v>
      </c>
      <c r="C200" s="20" t="s">
        <v>232</v>
      </c>
      <c r="D200" s="20" t="s">
        <v>117</v>
      </c>
      <c r="E200" s="20" t="s">
        <v>353</v>
      </c>
      <c r="F200" s="20" t="s">
        <v>182</v>
      </c>
      <c r="G200" s="20" t="n">
        <v>1</v>
      </c>
      <c r="H200" s="20" t="n">
        <v>0</v>
      </c>
      <c r="I200" s="21" t="n">
        <v>5234.39</v>
      </c>
      <c r="J200" s="21" t="n">
        <v>5234.39</v>
      </c>
      <c r="K200" s="24" t="n">
        <v>46052</v>
      </c>
    </row>
    <row r="201" customFormat="false" ht="15" hidden="false" customHeight="false" outlineLevel="0" collapsed="false">
      <c r="B201" s="20" t="s">
        <v>544</v>
      </c>
      <c r="C201" s="20" t="s">
        <v>545</v>
      </c>
      <c r="D201" s="20" t="s">
        <v>117</v>
      </c>
      <c r="E201" s="20" t="s">
        <v>199</v>
      </c>
      <c r="F201" s="20" t="s">
        <v>144</v>
      </c>
      <c r="G201" s="20" t="n">
        <v>60</v>
      </c>
      <c r="H201" s="20" t="n">
        <v>0</v>
      </c>
      <c r="I201" s="21" t="n">
        <v>87.07461</v>
      </c>
      <c r="J201" s="21" t="n">
        <v>5224.4766</v>
      </c>
      <c r="K201" s="24" t="n">
        <v>46225</v>
      </c>
    </row>
    <row r="202" customFormat="false" ht="15" hidden="false" customHeight="false" outlineLevel="0" collapsed="false">
      <c r="B202" s="20" t="s">
        <v>546</v>
      </c>
      <c r="C202" s="20" t="s">
        <v>547</v>
      </c>
      <c r="D202" s="20" t="s">
        <v>120</v>
      </c>
      <c r="E202" s="20" t="s">
        <v>196</v>
      </c>
      <c r="F202" s="20" t="s">
        <v>165</v>
      </c>
      <c r="G202" s="20" t="n">
        <v>1</v>
      </c>
      <c r="H202" s="20" t="n">
        <v>0</v>
      </c>
      <c r="I202" s="21" t="n">
        <v>5197.22351</v>
      </c>
      <c r="J202" s="21" t="n">
        <v>5197.22351</v>
      </c>
      <c r="K202" s="24" t="n">
        <v>46055</v>
      </c>
    </row>
    <row r="203" customFormat="false" ht="15" hidden="false" customHeight="false" outlineLevel="0" collapsed="false">
      <c r="B203" s="20" t="s">
        <v>548</v>
      </c>
      <c r="C203" s="20" t="s">
        <v>549</v>
      </c>
      <c r="D203" s="20" t="s">
        <v>117</v>
      </c>
      <c r="E203" s="20" t="s">
        <v>381</v>
      </c>
      <c r="F203" s="20" t="s">
        <v>144</v>
      </c>
      <c r="G203" s="20" t="n">
        <v>1</v>
      </c>
      <c r="H203" s="20" t="n">
        <v>0</v>
      </c>
      <c r="I203" s="21" t="n">
        <v>5173.82</v>
      </c>
      <c r="J203" s="21" t="n">
        <v>5173.82</v>
      </c>
      <c r="K203" s="24" t="n">
        <v>46022</v>
      </c>
    </row>
    <row r="204" customFormat="false" ht="15" hidden="false" customHeight="false" outlineLevel="0" collapsed="false">
      <c r="B204" s="20" t="s">
        <v>550</v>
      </c>
      <c r="C204" s="20" t="s">
        <v>551</v>
      </c>
      <c r="D204" s="20" t="s">
        <v>117</v>
      </c>
      <c r="E204" s="20" t="s">
        <v>178</v>
      </c>
      <c r="F204" s="20" t="s">
        <v>144</v>
      </c>
      <c r="G204" s="20" t="n">
        <v>120</v>
      </c>
      <c r="H204" s="20" t="n">
        <v>0</v>
      </c>
      <c r="I204" s="21" t="n">
        <v>43.09</v>
      </c>
      <c r="J204" s="21" t="n">
        <v>5170.8</v>
      </c>
      <c r="K204" s="24" t="n">
        <v>46022</v>
      </c>
    </row>
    <row r="205" customFormat="false" ht="15" hidden="false" customHeight="false" outlineLevel="0" collapsed="false">
      <c r="B205" s="20" t="s">
        <v>468</v>
      </c>
      <c r="C205" s="20" t="s">
        <v>469</v>
      </c>
      <c r="D205" s="20" t="s">
        <v>120</v>
      </c>
      <c r="E205" s="20" t="s">
        <v>196</v>
      </c>
      <c r="F205" s="20" t="s">
        <v>165</v>
      </c>
      <c r="G205" s="20" t="n">
        <v>1</v>
      </c>
      <c r="H205" s="20" t="n">
        <v>0</v>
      </c>
      <c r="I205" s="21" t="n">
        <v>5121.84</v>
      </c>
      <c r="J205" s="21" t="n">
        <v>5121.84</v>
      </c>
      <c r="K205" s="24" t="n">
        <v>46022</v>
      </c>
    </row>
    <row r="206" customFormat="false" ht="15" hidden="false" customHeight="false" outlineLevel="0" collapsed="false">
      <c r="B206" s="20" t="s">
        <v>552</v>
      </c>
      <c r="C206" s="20" t="s">
        <v>553</v>
      </c>
      <c r="D206" s="20" t="s">
        <v>117</v>
      </c>
      <c r="E206" s="20" t="s">
        <v>467</v>
      </c>
      <c r="F206" s="20" t="s">
        <v>144</v>
      </c>
      <c r="G206" s="20" t="n">
        <v>16</v>
      </c>
      <c r="H206" s="20" t="n">
        <v>0</v>
      </c>
      <c r="I206" s="21" t="n">
        <v>320</v>
      </c>
      <c r="J206" s="21" t="n">
        <v>5120</v>
      </c>
      <c r="K206" s="24" t="n">
        <v>46022</v>
      </c>
    </row>
    <row r="207" customFormat="false" ht="15" hidden="false" customHeight="false" outlineLevel="0" collapsed="false">
      <c r="B207" s="20" t="s">
        <v>554</v>
      </c>
      <c r="C207" s="20" t="s">
        <v>555</v>
      </c>
      <c r="D207" s="20" t="s">
        <v>120</v>
      </c>
      <c r="E207" s="20" t="s">
        <v>196</v>
      </c>
      <c r="F207" s="20" t="s">
        <v>144</v>
      </c>
      <c r="G207" s="20" t="n">
        <v>1</v>
      </c>
      <c r="H207" s="20" t="n">
        <v>0</v>
      </c>
      <c r="I207" s="21" t="n">
        <v>5117.05</v>
      </c>
      <c r="J207" s="21" t="n">
        <v>5117.05</v>
      </c>
      <c r="K207" s="24" t="n">
        <v>46022</v>
      </c>
    </row>
    <row r="208" customFormat="false" ht="15" hidden="false" customHeight="false" outlineLevel="0" collapsed="false">
      <c r="B208" s="20" t="s">
        <v>556</v>
      </c>
      <c r="C208" s="20" t="s">
        <v>557</v>
      </c>
      <c r="D208" s="20" t="s">
        <v>119</v>
      </c>
      <c r="E208" s="20" t="s">
        <v>259</v>
      </c>
      <c r="F208" s="20" t="s">
        <v>144</v>
      </c>
      <c r="G208" s="20" t="n">
        <v>10</v>
      </c>
      <c r="H208" s="20" t="n">
        <v>0</v>
      </c>
      <c r="I208" s="21" t="n">
        <v>511.594</v>
      </c>
      <c r="J208" s="21" t="n">
        <v>5115.94</v>
      </c>
      <c r="K208" s="24" t="n">
        <v>46245</v>
      </c>
    </row>
    <row r="209" customFormat="false" ht="15" hidden="false" customHeight="false" outlineLevel="0" collapsed="false">
      <c r="B209" s="20" t="s">
        <v>558</v>
      </c>
      <c r="C209" s="20" t="s">
        <v>559</v>
      </c>
      <c r="D209" s="20" t="s">
        <v>117</v>
      </c>
      <c r="E209" s="20" t="s">
        <v>211</v>
      </c>
      <c r="F209" s="20" t="s">
        <v>144</v>
      </c>
      <c r="G209" s="20" t="n">
        <v>12</v>
      </c>
      <c r="H209" s="20" t="n">
        <v>0</v>
      </c>
      <c r="I209" s="21" t="n">
        <v>425.79</v>
      </c>
      <c r="J209" s="21" t="n">
        <v>5109.48</v>
      </c>
      <c r="K209" s="24" t="n">
        <v>46190</v>
      </c>
    </row>
    <row r="210" customFormat="false" ht="15" hidden="false" customHeight="false" outlineLevel="0" collapsed="false">
      <c r="B210" s="20" t="s">
        <v>560</v>
      </c>
      <c r="C210" s="20" t="s">
        <v>561</v>
      </c>
      <c r="D210" s="20" t="s">
        <v>117</v>
      </c>
      <c r="E210" s="20" t="s">
        <v>432</v>
      </c>
      <c r="F210" s="20" t="s">
        <v>144</v>
      </c>
      <c r="G210" s="20" t="n">
        <v>6</v>
      </c>
      <c r="H210" s="20" t="n">
        <v>0</v>
      </c>
      <c r="I210" s="21" t="n">
        <v>851.57</v>
      </c>
      <c r="J210" s="21" t="n">
        <v>5109.42</v>
      </c>
      <c r="K210" s="24" t="n">
        <v>46112</v>
      </c>
    </row>
    <row r="211" customFormat="false" ht="15" hidden="false" customHeight="false" outlineLevel="0" collapsed="false">
      <c r="B211" s="20" t="s">
        <v>562</v>
      </c>
      <c r="C211" s="20" t="s">
        <v>563</v>
      </c>
      <c r="D211" s="20" t="s">
        <v>117</v>
      </c>
      <c r="E211" s="20" t="s">
        <v>432</v>
      </c>
      <c r="F211" s="20" t="s">
        <v>144</v>
      </c>
      <c r="G211" s="20" t="n">
        <v>6</v>
      </c>
      <c r="H211" s="20" t="n">
        <v>0</v>
      </c>
      <c r="I211" s="21" t="n">
        <v>851.57</v>
      </c>
      <c r="J211" s="21" t="n">
        <v>5109.42</v>
      </c>
      <c r="K211" s="24" t="n">
        <v>46112</v>
      </c>
    </row>
    <row r="212" customFormat="false" ht="15" hidden="false" customHeight="false" outlineLevel="0" collapsed="false">
      <c r="B212" s="20" t="s">
        <v>564</v>
      </c>
      <c r="C212" s="20" t="s">
        <v>565</v>
      </c>
      <c r="D212" s="20" t="s">
        <v>119</v>
      </c>
      <c r="E212" s="20" t="s">
        <v>432</v>
      </c>
      <c r="F212" s="20" t="s">
        <v>144</v>
      </c>
      <c r="G212" s="20" t="n">
        <v>12</v>
      </c>
      <c r="H212" s="20" t="n">
        <v>0</v>
      </c>
      <c r="I212" s="21" t="n">
        <v>424.16</v>
      </c>
      <c r="J212" s="21" t="n">
        <v>5089.92</v>
      </c>
      <c r="K212" s="24" t="n">
        <v>46022</v>
      </c>
    </row>
    <row r="213" customFormat="false" ht="15" hidden="false" customHeight="false" outlineLevel="0" collapsed="false">
      <c r="B213" s="20" t="s">
        <v>566</v>
      </c>
      <c r="C213" s="20" t="s">
        <v>567</v>
      </c>
      <c r="D213" s="20" t="s">
        <v>119</v>
      </c>
      <c r="E213" s="20" t="s">
        <v>211</v>
      </c>
      <c r="F213" s="20" t="s">
        <v>157</v>
      </c>
      <c r="G213" s="20" t="n">
        <v>4</v>
      </c>
      <c r="H213" s="20" t="n">
        <v>0</v>
      </c>
      <c r="I213" s="21" t="n">
        <v>1269.325</v>
      </c>
      <c r="J213" s="21" t="n">
        <v>5077.3</v>
      </c>
      <c r="K213" s="24" t="n">
        <v>46149</v>
      </c>
    </row>
    <row r="214" customFormat="false" ht="15" hidden="false" customHeight="false" outlineLevel="0" collapsed="false">
      <c r="B214" s="20" t="s">
        <v>568</v>
      </c>
      <c r="C214" s="20" t="s">
        <v>569</v>
      </c>
      <c r="D214" s="20" t="s">
        <v>119</v>
      </c>
      <c r="E214" s="20" t="s">
        <v>432</v>
      </c>
      <c r="F214" s="20" t="s">
        <v>144</v>
      </c>
      <c r="G214" s="20" t="n">
        <v>12</v>
      </c>
      <c r="H214" s="20" t="n">
        <v>0</v>
      </c>
      <c r="I214" s="21" t="n">
        <v>418.09</v>
      </c>
      <c r="J214" s="21" t="n">
        <v>5017.08</v>
      </c>
      <c r="K214" s="24" t="n">
        <v>46022</v>
      </c>
    </row>
    <row r="215" customFormat="false" ht="15" hidden="false" customHeight="false" outlineLevel="0" collapsed="false">
      <c r="B215" s="20" t="s">
        <v>570</v>
      </c>
      <c r="C215" s="20" t="s">
        <v>571</v>
      </c>
      <c r="D215" s="20" t="s">
        <v>119</v>
      </c>
      <c r="E215" s="20" t="s">
        <v>432</v>
      </c>
      <c r="F215" s="20" t="s">
        <v>144</v>
      </c>
      <c r="G215" s="20" t="n">
        <v>12</v>
      </c>
      <c r="H215" s="20" t="n">
        <v>0</v>
      </c>
      <c r="I215" s="21" t="n">
        <v>418.09</v>
      </c>
      <c r="J215" s="21" t="n">
        <v>5017.08</v>
      </c>
      <c r="K215" s="24" t="n">
        <v>46022</v>
      </c>
    </row>
    <row r="216" customFormat="false" ht="15" hidden="false" customHeight="false" outlineLevel="0" collapsed="false">
      <c r="B216" s="20" t="s">
        <v>572</v>
      </c>
      <c r="C216" s="20" t="s">
        <v>573</v>
      </c>
      <c r="D216" s="20" t="s">
        <v>117</v>
      </c>
      <c r="E216" s="20" t="s">
        <v>143</v>
      </c>
      <c r="F216" s="20" t="s">
        <v>144</v>
      </c>
      <c r="G216" s="20" t="n">
        <v>1</v>
      </c>
      <c r="H216" s="20" t="n">
        <v>0</v>
      </c>
      <c r="I216" s="21" t="n">
        <v>5000</v>
      </c>
      <c r="J216" s="21" t="n">
        <v>5000</v>
      </c>
      <c r="K216" s="24" t="n">
        <v>46022</v>
      </c>
    </row>
    <row r="217" customFormat="false" ht="15" hidden="false" customHeight="false" outlineLevel="0" collapsed="false">
      <c r="B217" s="20" t="s">
        <v>574</v>
      </c>
      <c r="C217" s="20" t="s">
        <v>575</v>
      </c>
      <c r="D217" s="20" t="s">
        <v>120</v>
      </c>
      <c r="E217" s="20" t="s">
        <v>151</v>
      </c>
      <c r="F217" s="20" t="s">
        <v>200</v>
      </c>
      <c r="G217" s="20" t="n">
        <v>3</v>
      </c>
      <c r="H217" s="20" t="n">
        <v>0</v>
      </c>
      <c r="I217" s="21" t="n">
        <v>1666.535</v>
      </c>
      <c r="J217" s="21" t="n">
        <v>4999.605</v>
      </c>
      <c r="K217" s="24" t="n">
        <v>46177</v>
      </c>
    </row>
    <row r="218" customFormat="false" ht="15" hidden="false" customHeight="false" outlineLevel="0" collapsed="false">
      <c r="B218" s="20" t="s">
        <v>576</v>
      </c>
      <c r="C218" s="20" t="s">
        <v>577</v>
      </c>
      <c r="D218" s="20" t="s">
        <v>117</v>
      </c>
      <c r="E218" s="20" t="s">
        <v>353</v>
      </c>
      <c r="F218" s="20" t="s">
        <v>144</v>
      </c>
      <c r="G218" s="20" t="n">
        <v>8</v>
      </c>
      <c r="H218" s="20" t="n">
        <v>0</v>
      </c>
      <c r="I218" s="21" t="n">
        <v>624.34</v>
      </c>
      <c r="J218" s="21" t="n">
        <v>4994.72</v>
      </c>
      <c r="K218" s="24" t="n">
        <v>46206</v>
      </c>
    </row>
    <row r="219" customFormat="false" ht="15" hidden="false" customHeight="false" outlineLevel="0" collapsed="false">
      <c r="B219" s="20" t="s">
        <v>578</v>
      </c>
      <c r="C219" s="20" t="s">
        <v>579</v>
      </c>
      <c r="D219" s="20" t="s">
        <v>119</v>
      </c>
      <c r="E219" s="20" t="s">
        <v>219</v>
      </c>
      <c r="F219" s="20" t="s">
        <v>182</v>
      </c>
      <c r="G219" s="20" t="n">
        <v>1</v>
      </c>
      <c r="H219" s="20" t="n">
        <v>0</v>
      </c>
      <c r="I219" s="21" t="n">
        <v>4960.8</v>
      </c>
      <c r="J219" s="21" t="n">
        <v>4960.8</v>
      </c>
      <c r="K219" s="24" t="n">
        <v>46258</v>
      </c>
    </row>
    <row r="220" customFormat="false" ht="15" hidden="false" customHeight="false" outlineLevel="0" collapsed="false">
      <c r="B220" s="20" t="s">
        <v>580</v>
      </c>
      <c r="C220" s="20" t="s">
        <v>581</v>
      </c>
      <c r="D220" s="20" t="s">
        <v>117</v>
      </c>
      <c r="E220" s="20" t="s">
        <v>482</v>
      </c>
      <c r="F220" s="20" t="s">
        <v>144</v>
      </c>
      <c r="G220" s="20" t="n">
        <v>1</v>
      </c>
      <c r="H220" s="20" t="n">
        <v>0</v>
      </c>
      <c r="I220" s="21" t="n">
        <v>4880.86</v>
      </c>
      <c r="J220" s="21" t="n">
        <v>4880.86</v>
      </c>
      <c r="K220" s="24" t="n">
        <v>46022</v>
      </c>
    </row>
    <row r="221" customFormat="false" ht="15" hidden="false" customHeight="false" outlineLevel="0" collapsed="false">
      <c r="B221" s="20" t="s">
        <v>582</v>
      </c>
      <c r="C221" s="20" t="s">
        <v>583</v>
      </c>
      <c r="D221" s="20" t="s">
        <v>117</v>
      </c>
      <c r="E221" s="20" t="s">
        <v>584</v>
      </c>
      <c r="F221" s="20" t="s">
        <v>144</v>
      </c>
      <c r="G221" s="20" t="n">
        <v>2</v>
      </c>
      <c r="H221" s="20" t="n">
        <v>0</v>
      </c>
      <c r="I221" s="21" t="n">
        <v>2421.4</v>
      </c>
      <c r="J221" s="21" t="n">
        <v>4842.8</v>
      </c>
      <c r="K221" s="24" t="n">
        <v>46022</v>
      </c>
    </row>
    <row r="222" customFormat="false" ht="15" hidden="false" customHeight="false" outlineLevel="0" collapsed="false">
      <c r="B222" s="20" t="s">
        <v>585</v>
      </c>
      <c r="C222" s="20" t="s">
        <v>586</v>
      </c>
      <c r="D222" s="20" t="s">
        <v>117</v>
      </c>
      <c r="E222" s="20" t="s">
        <v>381</v>
      </c>
      <c r="F222" s="20" t="s">
        <v>144</v>
      </c>
      <c r="G222" s="20" t="n">
        <v>2</v>
      </c>
      <c r="H222" s="20" t="n">
        <v>0</v>
      </c>
      <c r="I222" s="21" t="n">
        <v>2419.86</v>
      </c>
      <c r="J222" s="21" t="n">
        <v>4839.72</v>
      </c>
      <c r="K222" s="24" t="n">
        <v>46022</v>
      </c>
    </row>
    <row r="223" customFormat="false" ht="15" hidden="false" customHeight="false" outlineLevel="0" collapsed="false">
      <c r="B223" s="20" t="s">
        <v>587</v>
      </c>
      <c r="C223" s="20" t="s">
        <v>588</v>
      </c>
      <c r="D223" s="20" t="s">
        <v>117</v>
      </c>
      <c r="E223" s="20" t="s">
        <v>381</v>
      </c>
      <c r="F223" s="20" t="s">
        <v>144</v>
      </c>
      <c r="G223" s="20" t="n">
        <v>4</v>
      </c>
      <c r="H223" s="20" t="n">
        <v>0</v>
      </c>
      <c r="I223" s="21" t="n">
        <v>1207.8725</v>
      </c>
      <c r="J223" s="21" t="n">
        <v>4831.49</v>
      </c>
      <c r="K223" s="24" t="n">
        <v>46195</v>
      </c>
    </row>
    <row r="224" customFormat="false" ht="15" hidden="false" customHeight="false" outlineLevel="0" collapsed="false">
      <c r="B224" s="20" t="s">
        <v>589</v>
      </c>
      <c r="C224" s="20" t="s">
        <v>590</v>
      </c>
      <c r="D224" s="20" t="s">
        <v>119</v>
      </c>
      <c r="E224" s="20" t="s">
        <v>591</v>
      </c>
      <c r="F224" s="20" t="s">
        <v>182</v>
      </c>
      <c r="G224" s="20" t="n">
        <v>1</v>
      </c>
      <c r="H224" s="20" t="n">
        <v>0</v>
      </c>
      <c r="I224" s="21" t="n">
        <v>4819.07</v>
      </c>
      <c r="J224" s="21" t="n">
        <v>4819.07</v>
      </c>
      <c r="K224" s="24" t="n">
        <v>46022</v>
      </c>
    </row>
    <row r="225" customFormat="false" ht="15" hidden="false" customHeight="false" outlineLevel="0" collapsed="false">
      <c r="B225" s="20" t="s">
        <v>592</v>
      </c>
      <c r="C225" s="20" t="s">
        <v>593</v>
      </c>
      <c r="D225" s="20" t="s">
        <v>117</v>
      </c>
      <c r="E225" s="20" t="s">
        <v>594</v>
      </c>
      <c r="F225" s="20" t="s">
        <v>182</v>
      </c>
      <c r="G225" s="20" t="n">
        <v>1</v>
      </c>
      <c r="H225" s="20" t="n">
        <v>0</v>
      </c>
      <c r="I225" s="21" t="n">
        <v>4800</v>
      </c>
      <c r="J225" s="21" t="n">
        <v>4800</v>
      </c>
      <c r="K225" s="24" t="n">
        <v>46022</v>
      </c>
    </row>
    <row r="226" customFormat="false" ht="15" hidden="false" customHeight="false" outlineLevel="0" collapsed="false">
      <c r="B226" s="20" t="s">
        <v>595</v>
      </c>
      <c r="C226" s="20" t="s">
        <v>317</v>
      </c>
      <c r="D226" s="20" t="s">
        <v>119</v>
      </c>
      <c r="E226" s="20" t="s">
        <v>224</v>
      </c>
      <c r="F226" s="20" t="s">
        <v>144</v>
      </c>
      <c r="G226" s="20" t="n">
        <v>17</v>
      </c>
      <c r="H226" s="20" t="n">
        <v>0</v>
      </c>
      <c r="I226" s="21" t="n">
        <v>281.39</v>
      </c>
      <c r="J226" s="21" t="n">
        <v>4783.63</v>
      </c>
      <c r="K226" s="24" t="n">
        <v>46022</v>
      </c>
    </row>
    <row r="228" customFormat="false" ht="15" hidden="false" customHeight="false" outlineLevel="0" collapsed="false">
      <c r="B228" s="9" t="s">
        <v>596</v>
      </c>
    </row>
    <row r="229" customFormat="false" ht="27.75" hidden="false" customHeight="true" outlineLevel="0" collapsed="false">
      <c r="B229" s="19" t="s">
        <v>131</v>
      </c>
      <c r="C229" s="19" t="s">
        <v>132</v>
      </c>
      <c r="D229" s="19" t="s">
        <v>133</v>
      </c>
      <c r="E229" s="19" t="s">
        <v>134</v>
      </c>
      <c r="F229" s="19" t="s">
        <v>135</v>
      </c>
      <c r="G229" s="19" t="s">
        <v>136</v>
      </c>
      <c r="H229" s="19" t="s">
        <v>597</v>
      </c>
      <c r="I229" s="19" t="s">
        <v>598</v>
      </c>
      <c r="J229" s="19" t="s">
        <v>139</v>
      </c>
    </row>
    <row r="230" customFormat="false" ht="15" hidden="false" customHeight="false" outlineLevel="0" collapsed="false">
      <c r="B230" s="20" t="s">
        <v>599</v>
      </c>
      <c r="C230" s="20" t="s">
        <v>600</v>
      </c>
      <c r="D230" s="20" t="s">
        <v>117</v>
      </c>
      <c r="E230" s="20" t="s">
        <v>199</v>
      </c>
      <c r="F230" s="20" t="s">
        <v>214</v>
      </c>
      <c r="G230" s="20" t="n">
        <v>1128</v>
      </c>
      <c r="H230" s="20" t="n">
        <v>117</v>
      </c>
      <c r="I230" s="20" t="n">
        <v>868</v>
      </c>
      <c r="J230" s="21" t="n">
        <v>128670.96</v>
      </c>
    </row>
    <row r="231" customFormat="false" ht="15" hidden="false" customHeight="false" outlineLevel="0" collapsed="false">
      <c r="B231" s="20" t="s">
        <v>601</v>
      </c>
      <c r="C231" s="20" t="s">
        <v>602</v>
      </c>
      <c r="D231" s="20" t="s">
        <v>117</v>
      </c>
      <c r="E231" s="20" t="s">
        <v>603</v>
      </c>
      <c r="F231" s="20" t="s">
        <v>214</v>
      </c>
      <c r="G231" s="20" t="n">
        <v>280</v>
      </c>
      <c r="H231" s="20" t="n">
        <v>60</v>
      </c>
      <c r="I231" s="20" t="n">
        <v>420</v>
      </c>
      <c r="J231" s="21" t="n">
        <v>125301.512</v>
      </c>
    </row>
    <row r="232" customFormat="false" ht="15" hidden="false" customHeight="false" outlineLevel="0" collapsed="false">
      <c r="B232" s="20" t="s">
        <v>604</v>
      </c>
      <c r="C232" s="20" t="s">
        <v>605</v>
      </c>
      <c r="D232" s="20" t="s">
        <v>117</v>
      </c>
      <c r="E232" s="20" t="s">
        <v>603</v>
      </c>
      <c r="F232" s="20" t="s">
        <v>214</v>
      </c>
      <c r="G232" s="20" t="n">
        <v>204</v>
      </c>
      <c r="H232" s="20" t="n">
        <v>97</v>
      </c>
      <c r="I232" s="20" t="n">
        <v>189</v>
      </c>
      <c r="J232" s="21" t="n">
        <v>79052.05836</v>
      </c>
    </row>
    <row r="233" customFormat="false" ht="15" hidden="false" customHeight="false" outlineLevel="0" collapsed="false">
      <c r="B233" s="20" t="s">
        <v>606</v>
      </c>
      <c r="C233" s="20" t="s">
        <v>607</v>
      </c>
      <c r="D233" s="20" t="s">
        <v>117</v>
      </c>
      <c r="E233" s="20" t="s">
        <v>190</v>
      </c>
      <c r="F233" s="20" t="s">
        <v>214</v>
      </c>
      <c r="G233" s="20" t="n">
        <v>162</v>
      </c>
      <c r="H233" s="20" t="n">
        <v>63</v>
      </c>
      <c r="I233" s="20" t="n">
        <v>231</v>
      </c>
      <c r="J233" s="21" t="n">
        <v>55299.57156</v>
      </c>
    </row>
    <row r="234" customFormat="false" ht="15" hidden="false" customHeight="false" outlineLevel="0" collapsed="false">
      <c r="B234" s="20" t="s">
        <v>608</v>
      </c>
      <c r="C234" s="20" t="s">
        <v>609</v>
      </c>
      <c r="D234" s="20" t="s">
        <v>119</v>
      </c>
      <c r="E234" s="20" t="s">
        <v>199</v>
      </c>
      <c r="F234" s="20" t="s">
        <v>200</v>
      </c>
      <c r="G234" s="20" t="n">
        <v>849</v>
      </c>
      <c r="H234" s="20" t="n">
        <v>23</v>
      </c>
      <c r="I234" s="20" t="n">
        <v>3322</v>
      </c>
      <c r="J234" s="21" t="n">
        <v>50422.11</v>
      </c>
    </row>
    <row r="235" customFormat="false" ht="15" hidden="false" customHeight="false" outlineLevel="0" collapsed="false">
      <c r="B235" s="20" t="s">
        <v>610</v>
      </c>
      <c r="C235" s="20" t="s">
        <v>611</v>
      </c>
      <c r="D235" s="20" t="s">
        <v>119</v>
      </c>
      <c r="E235" s="20" t="s">
        <v>199</v>
      </c>
      <c r="F235" s="20" t="s">
        <v>214</v>
      </c>
      <c r="G235" s="20" t="n">
        <v>789</v>
      </c>
      <c r="H235" s="20" t="n">
        <v>37</v>
      </c>
      <c r="I235" s="20" t="n">
        <v>1919</v>
      </c>
      <c r="J235" s="21" t="n">
        <v>50401.32</v>
      </c>
    </row>
    <row r="236" customFormat="false" ht="15" hidden="false" customHeight="false" outlineLevel="0" collapsed="false">
      <c r="B236" s="20" t="s">
        <v>612</v>
      </c>
      <c r="C236" s="20" t="s">
        <v>613</v>
      </c>
      <c r="D236" s="20" t="s">
        <v>117</v>
      </c>
      <c r="E236" s="20" t="s">
        <v>614</v>
      </c>
      <c r="F236" s="20" t="s">
        <v>214</v>
      </c>
      <c r="G236" s="20" t="n">
        <v>2816</v>
      </c>
      <c r="H236" s="20" t="n">
        <v>761</v>
      </c>
      <c r="I236" s="20" t="n">
        <v>333</v>
      </c>
      <c r="J236" s="21" t="n">
        <v>49730.56</v>
      </c>
    </row>
    <row r="237" customFormat="false" ht="15" hidden="false" customHeight="false" outlineLevel="0" collapsed="false">
      <c r="B237" s="20" t="s">
        <v>615</v>
      </c>
      <c r="C237" s="20" t="s">
        <v>616</v>
      </c>
      <c r="D237" s="20" t="s">
        <v>119</v>
      </c>
      <c r="E237" s="20" t="s">
        <v>205</v>
      </c>
      <c r="F237" s="20" t="s">
        <v>200</v>
      </c>
      <c r="G237" s="20" t="n">
        <v>404</v>
      </c>
      <c r="H237" s="20" t="n">
        <v>9</v>
      </c>
      <c r="I237" s="20" t="n">
        <v>4040</v>
      </c>
      <c r="J237" s="21" t="n">
        <v>39264.76</v>
      </c>
    </row>
    <row r="238" customFormat="false" ht="15" hidden="false" customHeight="false" outlineLevel="0" collapsed="false">
      <c r="B238" s="20" t="s">
        <v>617</v>
      </c>
      <c r="C238" s="20" t="s">
        <v>317</v>
      </c>
      <c r="D238" s="20" t="s">
        <v>119</v>
      </c>
      <c r="E238" s="20" t="s">
        <v>224</v>
      </c>
      <c r="F238" s="20" t="s">
        <v>214</v>
      </c>
      <c r="G238" s="20" t="n">
        <v>95</v>
      </c>
      <c r="H238" s="20" t="n">
        <v>47</v>
      </c>
      <c r="I238" s="20" t="n">
        <v>182</v>
      </c>
      <c r="J238" s="21" t="n">
        <v>35864.4</v>
      </c>
    </row>
    <row r="239" customFormat="false" ht="15" hidden="false" customHeight="false" outlineLevel="0" collapsed="false">
      <c r="B239" s="20" t="s">
        <v>618</v>
      </c>
      <c r="C239" s="20" t="s">
        <v>264</v>
      </c>
      <c r="D239" s="20" t="s">
        <v>117</v>
      </c>
      <c r="E239" s="20" t="s">
        <v>311</v>
      </c>
      <c r="F239" s="20" t="s">
        <v>214</v>
      </c>
      <c r="G239" s="20" t="n">
        <v>48</v>
      </c>
      <c r="H239" s="20" t="n">
        <v>7</v>
      </c>
      <c r="I239" s="20" t="n">
        <v>617</v>
      </c>
      <c r="J239" s="21" t="n">
        <v>32670.67584</v>
      </c>
    </row>
    <row r="240" customFormat="false" ht="15" hidden="false" customHeight="false" outlineLevel="0" collapsed="false">
      <c r="B240" s="20" t="s">
        <v>619</v>
      </c>
      <c r="C240" s="20" t="s">
        <v>620</v>
      </c>
      <c r="D240" s="20" t="s">
        <v>119</v>
      </c>
      <c r="E240" s="20" t="s">
        <v>190</v>
      </c>
      <c r="F240" s="20" t="s">
        <v>157</v>
      </c>
      <c r="G240" s="20" t="n">
        <v>168</v>
      </c>
      <c r="H240" s="20" t="n">
        <v>41</v>
      </c>
      <c r="I240" s="20" t="n">
        <v>369</v>
      </c>
      <c r="J240" s="21" t="n">
        <v>29422.94208</v>
      </c>
    </row>
    <row r="241" customFormat="false" ht="15" hidden="false" customHeight="false" outlineLevel="0" collapsed="false">
      <c r="B241" s="20" t="s">
        <v>621</v>
      </c>
      <c r="C241" s="20" t="s">
        <v>622</v>
      </c>
      <c r="D241" s="20" t="s">
        <v>117</v>
      </c>
      <c r="E241" s="20" t="s">
        <v>623</v>
      </c>
      <c r="F241" s="20" t="s">
        <v>214</v>
      </c>
      <c r="G241" s="20" t="n">
        <v>59</v>
      </c>
      <c r="H241" s="20" t="n">
        <v>2</v>
      </c>
      <c r="I241" s="20" t="n">
        <v>2655</v>
      </c>
      <c r="J241" s="21" t="n">
        <v>28726.91946</v>
      </c>
    </row>
    <row r="242" customFormat="false" ht="15" hidden="false" customHeight="false" outlineLevel="0" collapsed="false">
      <c r="B242" s="20" t="s">
        <v>624</v>
      </c>
      <c r="C242" s="20" t="s">
        <v>625</v>
      </c>
      <c r="D242" s="20" t="s">
        <v>119</v>
      </c>
      <c r="E242" s="20" t="s">
        <v>324</v>
      </c>
      <c r="F242" s="20" t="s">
        <v>200</v>
      </c>
      <c r="G242" s="20" t="n">
        <v>2014</v>
      </c>
      <c r="H242" s="20" t="n">
        <v>371</v>
      </c>
      <c r="I242" s="20" t="n">
        <v>489</v>
      </c>
      <c r="J242" s="21" t="n">
        <v>28659.22</v>
      </c>
    </row>
    <row r="243" customFormat="false" ht="15" hidden="false" customHeight="false" outlineLevel="0" collapsed="false">
      <c r="B243" s="20" t="s">
        <v>626</v>
      </c>
      <c r="C243" s="20" t="s">
        <v>627</v>
      </c>
      <c r="D243" s="20" t="s">
        <v>119</v>
      </c>
      <c r="E243" s="20" t="s">
        <v>224</v>
      </c>
      <c r="F243" s="20" t="s">
        <v>157</v>
      </c>
      <c r="G243" s="20" t="n">
        <v>428</v>
      </c>
      <c r="H243" s="20" t="n">
        <v>14</v>
      </c>
      <c r="I243" s="20" t="n">
        <v>2751</v>
      </c>
      <c r="J243" s="21" t="n">
        <v>27623.12</v>
      </c>
    </row>
    <row r="244" customFormat="false" ht="15" hidden="false" customHeight="false" outlineLevel="0" collapsed="false">
      <c r="B244" s="20" t="s">
        <v>628</v>
      </c>
      <c r="C244" s="20" t="s">
        <v>629</v>
      </c>
      <c r="D244" s="20" t="s">
        <v>117</v>
      </c>
      <c r="E244" s="20" t="s">
        <v>630</v>
      </c>
      <c r="F244" s="20" t="s">
        <v>165</v>
      </c>
      <c r="G244" s="20" t="n">
        <v>46</v>
      </c>
      <c r="H244" s="20" t="n">
        <v>0</v>
      </c>
      <c r="I244" s="20" t="n">
        <v>4140</v>
      </c>
      <c r="J244" s="21" t="n">
        <v>27457.55364</v>
      </c>
    </row>
    <row r="245" customFormat="false" ht="15" hidden="false" customHeight="false" outlineLevel="0" collapsed="false">
      <c r="B245" s="20" t="s">
        <v>631</v>
      </c>
      <c r="C245" s="20" t="s">
        <v>632</v>
      </c>
      <c r="D245" s="20" t="s">
        <v>117</v>
      </c>
      <c r="E245" s="20" t="s">
        <v>208</v>
      </c>
      <c r="F245" s="20" t="s">
        <v>200</v>
      </c>
      <c r="G245" s="20" t="n">
        <v>4</v>
      </c>
      <c r="H245" s="20" t="n">
        <v>2</v>
      </c>
      <c r="I245" s="20" t="n">
        <v>180</v>
      </c>
      <c r="J245" s="21" t="n">
        <v>25372.808</v>
      </c>
    </row>
    <row r="246" customFormat="false" ht="15" hidden="false" customHeight="false" outlineLevel="0" collapsed="false">
      <c r="B246" s="20" t="s">
        <v>633</v>
      </c>
      <c r="C246" s="20" t="s">
        <v>634</v>
      </c>
      <c r="D246" s="20" t="s">
        <v>119</v>
      </c>
      <c r="E246" s="20" t="s">
        <v>635</v>
      </c>
      <c r="F246" s="20" t="s">
        <v>200</v>
      </c>
      <c r="G246" s="20" t="n">
        <v>447</v>
      </c>
      <c r="H246" s="20" t="n">
        <v>34</v>
      </c>
      <c r="I246" s="20" t="n">
        <v>1183</v>
      </c>
      <c r="J246" s="21" t="n">
        <v>25239.26496</v>
      </c>
    </row>
    <row r="247" customFormat="false" ht="15" hidden="false" customHeight="false" outlineLevel="0" collapsed="false">
      <c r="B247" s="20" t="s">
        <v>636</v>
      </c>
      <c r="C247" s="20" t="s">
        <v>637</v>
      </c>
      <c r="D247" s="20" t="s">
        <v>117</v>
      </c>
      <c r="E247" s="20" t="s">
        <v>638</v>
      </c>
      <c r="F247" s="20" t="s">
        <v>144</v>
      </c>
      <c r="G247" s="20" t="n">
        <v>25</v>
      </c>
      <c r="H247" s="20" t="n">
        <v>8</v>
      </c>
      <c r="I247" s="20" t="n">
        <v>281</v>
      </c>
      <c r="J247" s="21" t="n">
        <v>24867.25</v>
      </c>
    </row>
    <row r="248" customFormat="false" ht="15" hidden="false" customHeight="false" outlineLevel="0" collapsed="false">
      <c r="B248" s="20" t="s">
        <v>639</v>
      </c>
      <c r="C248" s="20" t="s">
        <v>640</v>
      </c>
      <c r="D248" s="20" t="s">
        <v>117</v>
      </c>
      <c r="E248" s="20" t="s">
        <v>641</v>
      </c>
      <c r="F248" s="20" t="s">
        <v>214</v>
      </c>
      <c r="G248" s="20" t="n">
        <v>259</v>
      </c>
      <c r="H248" s="20" t="n">
        <v>14</v>
      </c>
      <c r="I248" s="20" t="n">
        <v>1665</v>
      </c>
      <c r="J248" s="21" t="n">
        <v>24828.58693</v>
      </c>
    </row>
    <row r="249" customFormat="false" ht="15" hidden="false" customHeight="false" outlineLevel="0" collapsed="false">
      <c r="B249" s="20" t="s">
        <v>642</v>
      </c>
      <c r="C249" s="20" t="s">
        <v>643</v>
      </c>
      <c r="D249" s="20" t="s">
        <v>117</v>
      </c>
      <c r="E249" s="20" t="s">
        <v>614</v>
      </c>
      <c r="F249" s="20" t="s">
        <v>200</v>
      </c>
      <c r="G249" s="20" t="n">
        <v>136</v>
      </c>
      <c r="H249" s="20" t="n">
        <v>41</v>
      </c>
      <c r="I249" s="20" t="n">
        <v>299</v>
      </c>
      <c r="J249" s="21" t="n">
        <v>24804.6388</v>
      </c>
    </row>
    <row r="250" customFormat="false" ht="15" hidden="false" customHeight="false" outlineLevel="0" collapsed="false">
      <c r="B250" s="20" t="s">
        <v>644</v>
      </c>
      <c r="C250" s="20" t="s">
        <v>645</v>
      </c>
      <c r="D250" s="20" t="s">
        <v>117</v>
      </c>
      <c r="E250" s="20" t="s">
        <v>405</v>
      </c>
      <c r="F250" s="20" t="s">
        <v>214</v>
      </c>
      <c r="G250" s="20" t="n">
        <v>633</v>
      </c>
      <c r="H250" s="20" t="n">
        <v>171</v>
      </c>
      <c r="I250" s="20" t="n">
        <v>333</v>
      </c>
      <c r="J250" s="21" t="n">
        <v>24287.75424</v>
      </c>
    </row>
    <row r="251" customFormat="false" ht="15" hidden="false" customHeight="false" outlineLevel="0" collapsed="false">
      <c r="B251" s="20" t="s">
        <v>646</v>
      </c>
      <c r="C251" s="20" t="s">
        <v>647</v>
      </c>
      <c r="D251" s="20" t="s">
        <v>117</v>
      </c>
      <c r="E251" s="20" t="s">
        <v>641</v>
      </c>
      <c r="F251" s="20" t="s">
        <v>214</v>
      </c>
      <c r="G251" s="20" t="n">
        <v>236</v>
      </c>
      <c r="H251" s="20" t="n">
        <v>8</v>
      </c>
      <c r="I251" s="20" t="n">
        <v>2655</v>
      </c>
      <c r="J251" s="21" t="n">
        <v>22236.2032</v>
      </c>
    </row>
    <row r="252" customFormat="false" ht="15" hidden="false" customHeight="false" outlineLevel="0" collapsed="false">
      <c r="B252" s="20" t="s">
        <v>648</v>
      </c>
      <c r="C252" s="20" t="s">
        <v>649</v>
      </c>
      <c r="D252" s="20" t="s">
        <v>119</v>
      </c>
      <c r="E252" s="20" t="s">
        <v>243</v>
      </c>
      <c r="F252" s="20" t="s">
        <v>214</v>
      </c>
      <c r="G252" s="20" t="n">
        <v>1680</v>
      </c>
      <c r="H252" s="20" t="n">
        <v>96</v>
      </c>
      <c r="I252" s="20" t="n">
        <v>1575</v>
      </c>
      <c r="J252" s="21" t="n">
        <v>21143.8584</v>
      </c>
    </row>
    <row r="253" customFormat="false" ht="15" hidden="false" customHeight="false" outlineLevel="0" collapsed="false">
      <c r="B253" s="20" t="s">
        <v>650</v>
      </c>
      <c r="C253" s="20" t="s">
        <v>223</v>
      </c>
      <c r="D253" s="20" t="s">
        <v>119</v>
      </c>
      <c r="E253" s="20" t="s">
        <v>224</v>
      </c>
      <c r="F253" s="20" t="s">
        <v>214</v>
      </c>
      <c r="G253" s="20" t="n">
        <v>147</v>
      </c>
      <c r="H253" s="20" t="n">
        <v>21</v>
      </c>
      <c r="I253" s="20" t="n">
        <v>630</v>
      </c>
      <c r="J253" s="21" t="n">
        <v>20546.19</v>
      </c>
    </row>
    <row r="254" customFormat="false" ht="15" hidden="false" customHeight="false" outlineLevel="0" collapsed="false">
      <c r="B254" s="20" t="s">
        <v>651</v>
      </c>
      <c r="C254" s="20" t="s">
        <v>652</v>
      </c>
      <c r="D254" s="20" t="s">
        <v>117</v>
      </c>
      <c r="E254" s="20" t="s">
        <v>156</v>
      </c>
      <c r="F254" s="20" t="s">
        <v>200</v>
      </c>
      <c r="G254" s="20" t="n">
        <v>111</v>
      </c>
      <c r="H254" s="20" t="n">
        <v>6</v>
      </c>
      <c r="I254" s="20" t="n">
        <v>1665</v>
      </c>
      <c r="J254" s="21" t="n">
        <v>20027.70003</v>
      </c>
    </row>
    <row r="255" customFormat="false" ht="15" hidden="false" customHeight="false" outlineLevel="0" collapsed="false">
      <c r="B255" s="20" t="s">
        <v>653</v>
      </c>
      <c r="C255" s="20" t="s">
        <v>654</v>
      </c>
      <c r="D255" s="20" t="s">
        <v>117</v>
      </c>
      <c r="E255" s="20" t="s">
        <v>185</v>
      </c>
      <c r="F255" s="20" t="s">
        <v>214</v>
      </c>
      <c r="G255" s="20" t="n">
        <v>78</v>
      </c>
      <c r="H255" s="20" t="n">
        <v>17</v>
      </c>
      <c r="I255" s="20" t="n">
        <v>413</v>
      </c>
      <c r="J255" s="21" t="n">
        <v>19092.50304</v>
      </c>
    </row>
    <row r="256" customFormat="false" ht="15" hidden="false" customHeight="false" outlineLevel="0" collapsed="false">
      <c r="B256" s="20" t="s">
        <v>648</v>
      </c>
      <c r="C256" s="20" t="s">
        <v>649</v>
      </c>
      <c r="D256" s="20" t="s">
        <v>117</v>
      </c>
      <c r="E256" s="20" t="s">
        <v>243</v>
      </c>
      <c r="F256" s="20" t="s">
        <v>214</v>
      </c>
      <c r="G256" s="20" t="n">
        <v>1501</v>
      </c>
      <c r="H256" s="20" t="n">
        <v>394</v>
      </c>
      <c r="I256" s="20" t="n">
        <v>343</v>
      </c>
      <c r="J256" s="21" t="n">
        <v>19079.64629</v>
      </c>
    </row>
    <row r="257" customFormat="false" ht="15" hidden="false" customHeight="false" outlineLevel="0" collapsed="false">
      <c r="B257" s="20" t="s">
        <v>655</v>
      </c>
      <c r="C257" s="20" t="s">
        <v>656</v>
      </c>
      <c r="D257" s="20" t="s">
        <v>119</v>
      </c>
      <c r="E257" s="20" t="s">
        <v>199</v>
      </c>
      <c r="F257" s="20" t="s">
        <v>214</v>
      </c>
      <c r="G257" s="20" t="n">
        <v>142</v>
      </c>
      <c r="H257" s="20" t="n">
        <v>3</v>
      </c>
      <c r="I257" s="20" t="n">
        <v>4260</v>
      </c>
      <c r="J257" s="21" t="n">
        <v>18705.66</v>
      </c>
    </row>
    <row r="258" customFormat="false" ht="15" hidden="false" customHeight="false" outlineLevel="0" collapsed="false">
      <c r="B258" s="20" t="s">
        <v>657</v>
      </c>
      <c r="C258" s="20" t="s">
        <v>658</v>
      </c>
      <c r="D258" s="20" t="s">
        <v>119</v>
      </c>
      <c r="E258" s="20" t="s">
        <v>219</v>
      </c>
      <c r="F258" s="20" t="s">
        <v>182</v>
      </c>
      <c r="G258" s="20" t="n">
        <v>2</v>
      </c>
      <c r="H258" s="20" t="n">
        <v>1</v>
      </c>
      <c r="I258" s="20" t="n">
        <v>180</v>
      </c>
      <c r="J258" s="21" t="n">
        <v>18579.7</v>
      </c>
    </row>
    <row r="259" customFormat="false" ht="15" hidden="false" customHeight="false" outlineLevel="0" collapsed="false">
      <c r="B259" s="20" t="s">
        <v>659</v>
      </c>
      <c r="C259" s="20" t="s">
        <v>660</v>
      </c>
      <c r="D259" s="20" t="s">
        <v>117</v>
      </c>
      <c r="E259" s="20" t="s">
        <v>151</v>
      </c>
      <c r="F259" s="20" t="s">
        <v>200</v>
      </c>
      <c r="G259" s="20" t="n">
        <v>4</v>
      </c>
      <c r="H259" s="20" t="n">
        <v>0</v>
      </c>
      <c r="I259" s="20" t="n">
        <v>360</v>
      </c>
      <c r="J259" s="21" t="n">
        <v>17036.58068</v>
      </c>
    </row>
    <row r="260" customFormat="false" ht="15" hidden="false" customHeight="false" outlineLevel="0" collapsed="false">
      <c r="B260" s="20" t="s">
        <v>661</v>
      </c>
      <c r="C260" s="20" t="s">
        <v>662</v>
      </c>
      <c r="D260" s="20" t="s">
        <v>119</v>
      </c>
      <c r="E260" s="20" t="s">
        <v>663</v>
      </c>
      <c r="F260" s="20" t="s">
        <v>214</v>
      </c>
      <c r="G260" s="20" t="n">
        <v>21755</v>
      </c>
      <c r="H260" s="20" t="n">
        <v>4125</v>
      </c>
      <c r="I260" s="20" t="n">
        <v>475</v>
      </c>
      <c r="J260" s="21" t="n">
        <v>16425.025</v>
      </c>
    </row>
    <row r="261" customFormat="false" ht="15" hidden="false" customHeight="false" outlineLevel="0" collapsed="false">
      <c r="B261" s="20" t="s">
        <v>621</v>
      </c>
      <c r="C261" s="20" t="s">
        <v>622</v>
      </c>
      <c r="D261" s="20" t="s">
        <v>119</v>
      </c>
      <c r="E261" s="20" t="s">
        <v>623</v>
      </c>
      <c r="F261" s="20" t="s">
        <v>214</v>
      </c>
      <c r="G261" s="20" t="n">
        <v>41</v>
      </c>
      <c r="H261" s="20" t="n">
        <v>2</v>
      </c>
      <c r="I261" s="20" t="n">
        <v>1845</v>
      </c>
      <c r="J261" s="21" t="n">
        <v>16136.42576</v>
      </c>
    </row>
    <row r="262" customFormat="false" ht="15" hidden="false" customHeight="false" outlineLevel="0" collapsed="false">
      <c r="B262" s="20" t="s">
        <v>664</v>
      </c>
      <c r="C262" s="20" t="s">
        <v>665</v>
      </c>
      <c r="D262" s="20" t="s">
        <v>117</v>
      </c>
      <c r="E262" s="20" t="s">
        <v>666</v>
      </c>
      <c r="F262" s="20" t="s">
        <v>157</v>
      </c>
      <c r="G262" s="20" t="n">
        <v>590</v>
      </c>
      <c r="H262" s="20" t="n">
        <v>2</v>
      </c>
      <c r="I262" s="20" t="n">
        <v>26550</v>
      </c>
      <c r="J262" s="21" t="n">
        <v>16012.6</v>
      </c>
    </row>
    <row r="263" customFormat="false" ht="15" hidden="false" customHeight="false" outlineLevel="0" collapsed="false">
      <c r="B263" s="20" t="s">
        <v>667</v>
      </c>
      <c r="C263" s="20" t="s">
        <v>668</v>
      </c>
      <c r="D263" s="20" t="s">
        <v>119</v>
      </c>
      <c r="E263" s="20" t="s">
        <v>224</v>
      </c>
      <c r="F263" s="20" t="s">
        <v>165</v>
      </c>
      <c r="G263" s="20" t="n">
        <v>253</v>
      </c>
      <c r="H263" s="20" t="n">
        <v>1</v>
      </c>
      <c r="I263" s="20" t="n">
        <v>22770</v>
      </c>
      <c r="J263" s="21" t="n">
        <v>16004.78</v>
      </c>
    </row>
    <row r="264" customFormat="false" ht="15" hidden="false" customHeight="false" outlineLevel="0" collapsed="false">
      <c r="B264" s="20" t="s">
        <v>669</v>
      </c>
      <c r="C264" s="20" t="s">
        <v>670</v>
      </c>
      <c r="D264" s="20" t="s">
        <v>119</v>
      </c>
      <c r="E264" s="20" t="s">
        <v>671</v>
      </c>
      <c r="F264" s="20" t="s">
        <v>214</v>
      </c>
      <c r="G264" s="20" t="n">
        <v>91</v>
      </c>
      <c r="H264" s="20" t="n">
        <v>4</v>
      </c>
      <c r="I264" s="20" t="n">
        <v>2048</v>
      </c>
      <c r="J264" s="21" t="n">
        <v>15289.33952</v>
      </c>
    </row>
    <row r="265" customFormat="false" ht="15" hidden="false" customHeight="false" outlineLevel="0" collapsed="false">
      <c r="B265" s="20" t="s">
        <v>672</v>
      </c>
      <c r="C265" s="20" t="s">
        <v>673</v>
      </c>
      <c r="D265" s="20" t="s">
        <v>123</v>
      </c>
      <c r="E265" s="20" t="s">
        <v>674</v>
      </c>
      <c r="F265" s="20" t="s">
        <v>214</v>
      </c>
      <c r="G265" s="20" t="n">
        <v>40</v>
      </c>
      <c r="H265" s="20" t="n">
        <v>9</v>
      </c>
      <c r="I265" s="20" t="n">
        <v>400</v>
      </c>
      <c r="J265" s="21" t="n">
        <v>14519.64</v>
      </c>
    </row>
    <row r="266" customFormat="false" ht="15" hidden="false" customHeight="false" outlineLevel="0" collapsed="false">
      <c r="B266" s="20" t="s">
        <v>675</v>
      </c>
      <c r="C266" s="20" t="s">
        <v>676</v>
      </c>
      <c r="D266" s="20" t="s">
        <v>117</v>
      </c>
      <c r="E266" s="20" t="s">
        <v>641</v>
      </c>
      <c r="F266" s="20" t="s">
        <v>214</v>
      </c>
      <c r="G266" s="20" t="n">
        <v>108</v>
      </c>
      <c r="H266" s="20" t="n">
        <v>11</v>
      </c>
      <c r="I266" s="20" t="n">
        <v>884</v>
      </c>
      <c r="J266" s="21" t="n">
        <v>14500.107</v>
      </c>
    </row>
    <row r="267" customFormat="false" ht="15" hidden="false" customHeight="false" outlineLevel="0" collapsed="false">
      <c r="B267" s="20" t="s">
        <v>677</v>
      </c>
      <c r="C267" s="20" t="s">
        <v>678</v>
      </c>
      <c r="D267" s="20" t="s">
        <v>119</v>
      </c>
      <c r="E267" s="20" t="s">
        <v>224</v>
      </c>
      <c r="F267" s="20" t="s">
        <v>214</v>
      </c>
      <c r="G267" s="20" t="n">
        <v>423</v>
      </c>
      <c r="H267" s="20" t="n">
        <v>69</v>
      </c>
      <c r="I267" s="20" t="n">
        <v>552</v>
      </c>
      <c r="J267" s="21" t="n">
        <v>14301.00819</v>
      </c>
    </row>
    <row r="268" customFormat="false" ht="15" hidden="false" customHeight="false" outlineLevel="0" collapsed="false">
      <c r="B268" s="20" t="s">
        <v>679</v>
      </c>
      <c r="C268" s="20" t="s">
        <v>317</v>
      </c>
      <c r="D268" s="20" t="s">
        <v>119</v>
      </c>
      <c r="E268" s="20" t="s">
        <v>224</v>
      </c>
      <c r="F268" s="20" t="s">
        <v>214</v>
      </c>
      <c r="G268" s="20" t="n">
        <v>77</v>
      </c>
      <c r="H268" s="20" t="n">
        <v>36</v>
      </c>
      <c r="I268" s="20" t="n">
        <v>193</v>
      </c>
      <c r="J268" s="21" t="n">
        <v>14220.71035</v>
      </c>
    </row>
    <row r="269" customFormat="false" ht="15" hidden="false" customHeight="false" outlineLevel="0" collapsed="false">
      <c r="B269" s="20" t="s">
        <v>680</v>
      </c>
      <c r="C269" s="20" t="s">
        <v>681</v>
      </c>
      <c r="D269" s="20" t="s">
        <v>119</v>
      </c>
      <c r="E269" s="20" t="s">
        <v>324</v>
      </c>
      <c r="F269" s="20" t="s">
        <v>157</v>
      </c>
      <c r="G269" s="20" t="n">
        <v>19972</v>
      </c>
      <c r="H269" s="20" t="n">
        <v>120</v>
      </c>
      <c r="I269" s="20" t="n">
        <v>14979</v>
      </c>
      <c r="J269" s="21" t="n">
        <v>13819.6254</v>
      </c>
    </row>
    <row r="270" customFormat="false" ht="15" hidden="false" customHeight="false" outlineLevel="0" collapsed="false">
      <c r="B270" s="20" t="s">
        <v>682</v>
      </c>
      <c r="C270" s="20" t="s">
        <v>683</v>
      </c>
      <c r="D270" s="20" t="s">
        <v>119</v>
      </c>
      <c r="E270" s="20" t="s">
        <v>224</v>
      </c>
      <c r="F270" s="20" t="s">
        <v>165</v>
      </c>
      <c r="G270" s="20" t="n">
        <v>280</v>
      </c>
      <c r="H270" s="20" t="n">
        <v>13</v>
      </c>
      <c r="I270" s="20" t="n">
        <v>1938</v>
      </c>
      <c r="J270" s="21" t="n">
        <v>13622</v>
      </c>
    </row>
    <row r="271" customFormat="false" ht="15" hidden="false" customHeight="false" outlineLevel="0" collapsed="false">
      <c r="B271" s="20" t="s">
        <v>684</v>
      </c>
      <c r="C271" s="20" t="s">
        <v>645</v>
      </c>
      <c r="D271" s="20" t="s">
        <v>119</v>
      </c>
      <c r="E271" s="20" t="s">
        <v>199</v>
      </c>
      <c r="F271" s="20" t="s">
        <v>200</v>
      </c>
      <c r="G271" s="20" t="n">
        <v>291</v>
      </c>
      <c r="H271" s="20" t="n">
        <v>32</v>
      </c>
      <c r="I271" s="20" t="n">
        <v>818</v>
      </c>
      <c r="J271" s="21" t="n">
        <v>13249.23</v>
      </c>
    </row>
    <row r="272" customFormat="false" ht="15" hidden="false" customHeight="false" outlineLevel="0" collapsed="false">
      <c r="B272" s="20" t="s">
        <v>685</v>
      </c>
      <c r="C272" s="20" t="s">
        <v>686</v>
      </c>
      <c r="D272" s="20" t="s">
        <v>117</v>
      </c>
      <c r="E272" s="20" t="s">
        <v>614</v>
      </c>
      <c r="F272" s="20" t="s">
        <v>214</v>
      </c>
      <c r="G272" s="20" t="n">
        <v>44</v>
      </c>
      <c r="H272" s="20" t="n">
        <v>2</v>
      </c>
      <c r="I272" s="20" t="n">
        <v>1980</v>
      </c>
      <c r="J272" s="21" t="n">
        <v>12405.65348</v>
      </c>
    </row>
    <row r="273" customFormat="false" ht="15" hidden="false" customHeight="false" outlineLevel="0" collapsed="false">
      <c r="B273" s="20" t="s">
        <v>687</v>
      </c>
      <c r="C273" s="20" t="s">
        <v>688</v>
      </c>
      <c r="D273" s="20" t="s">
        <v>117</v>
      </c>
      <c r="E273" s="20" t="s">
        <v>381</v>
      </c>
      <c r="F273" s="20" t="s">
        <v>165</v>
      </c>
      <c r="G273" s="20" t="n">
        <v>12</v>
      </c>
      <c r="H273" s="20" t="n">
        <v>2</v>
      </c>
      <c r="I273" s="20" t="n">
        <v>540</v>
      </c>
      <c r="J273" s="21" t="n">
        <v>12392.7258</v>
      </c>
    </row>
    <row r="274" customFormat="false" ht="15" hidden="false" customHeight="false" outlineLevel="0" collapsed="false">
      <c r="B274" s="20" t="s">
        <v>689</v>
      </c>
      <c r="C274" s="20" t="s">
        <v>690</v>
      </c>
      <c r="D274" s="20" t="s">
        <v>117</v>
      </c>
      <c r="E274" s="20" t="s">
        <v>190</v>
      </c>
      <c r="F274" s="20" t="s">
        <v>165</v>
      </c>
      <c r="G274" s="20" t="n">
        <v>37</v>
      </c>
      <c r="H274" s="20" t="n">
        <v>0</v>
      </c>
      <c r="I274" s="20" t="n">
        <v>1665</v>
      </c>
      <c r="J274" s="21" t="n">
        <v>12188.54</v>
      </c>
    </row>
    <row r="275" customFormat="false" ht="15" hidden="false" customHeight="false" outlineLevel="0" collapsed="false">
      <c r="B275" s="20" t="s">
        <v>691</v>
      </c>
      <c r="C275" s="20" t="s">
        <v>692</v>
      </c>
      <c r="D275" s="20" t="s">
        <v>120</v>
      </c>
      <c r="E275" s="20" t="s">
        <v>196</v>
      </c>
      <c r="F275" s="20" t="s">
        <v>157</v>
      </c>
      <c r="G275" s="20" t="n">
        <v>2</v>
      </c>
      <c r="H275" s="20" t="n">
        <v>1</v>
      </c>
      <c r="I275" s="20" t="n">
        <v>180</v>
      </c>
      <c r="J275" s="21" t="n">
        <v>12138.9837</v>
      </c>
    </row>
    <row r="276" customFormat="false" ht="15" hidden="false" customHeight="false" outlineLevel="0" collapsed="false">
      <c r="B276" s="20" t="s">
        <v>693</v>
      </c>
      <c r="C276" s="20" t="s">
        <v>694</v>
      </c>
      <c r="D276" s="20" t="s">
        <v>117</v>
      </c>
      <c r="E276" s="20" t="s">
        <v>405</v>
      </c>
      <c r="F276" s="20" t="s">
        <v>214</v>
      </c>
      <c r="G276" s="20" t="n">
        <v>198</v>
      </c>
      <c r="H276" s="20" t="n">
        <v>37</v>
      </c>
      <c r="I276" s="20" t="n">
        <v>482</v>
      </c>
      <c r="J276" s="21" t="n">
        <v>12098.91078</v>
      </c>
    </row>
    <row r="277" customFormat="false" ht="15" hidden="false" customHeight="false" outlineLevel="0" collapsed="false">
      <c r="B277" s="20" t="s">
        <v>695</v>
      </c>
      <c r="C277" s="20" t="s">
        <v>696</v>
      </c>
      <c r="D277" s="20" t="s">
        <v>117</v>
      </c>
      <c r="E277" s="20" t="s">
        <v>208</v>
      </c>
      <c r="F277" s="20" t="s">
        <v>165</v>
      </c>
      <c r="G277" s="20" t="n">
        <v>2</v>
      </c>
      <c r="H277" s="20" t="n">
        <v>0</v>
      </c>
      <c r="I277" s="20" t="n">
        <v>180</v>
      </c>
      <c r="J277" s="21" t="n">
        <v>12051.27</v>
      </c>
    </row>
    <row r="278" customFormat="false" ht="15" hidden="false" customHeight="false" outlineLevel="0" collapsed="false">
      <c r="B278" s="20" t="s">
        <v>697</v>
      </c>
      <c r="C278" s="20" t="s">
        <v>698</v>
      </c>
      <c r="D278" s="20" t="s">
        <v>117</v>
      </c>
      <c r="E278" s="20" t="s">
        <v>671</v>
      </c>
      <c r="F278" s="20" t="s">
        <v>157</v>
      </c>
      <c r="G278" s="20" t="n">
        <v>121</v>
      </c>
      <c r="H278" s="20" t="n">
        <v>32</v>
      </c>
      <c r="I278" s="20" t="n">
        <v>340</v>
      </c>
      <c r="J278" s="21" t="n">
        <v>12011.67</v>
      </c>
    </row>
    <row r="279" customFormat="false" ht="15" hidden="false" customHeight="false" outlineLevel="0" collapsed="false">
      <c r="B279" s="20" t="s">
        <v>699</v>
      </c>
      <c r="C279" s="20" t="s">
        <v>700</v>
      </c>
      <c r="D279" s="20" t="s">
        <v>117</v>
      </c>
      <c r="E279" s="20" t="s">
        <v>630</v>
      </c>
      <c r="F279" s="20" t="s">
        <v>214</v>
      </c>
      <c r="G279" s="20" t="n">
        <v>37</v>
      </c>
      <c r="H279" s="20" t="n">
        <v>5</v>
      </c>
      <c r="I279" s="20" t="n">
        <v>666</v>
      </c>
      <c r="J279" s="21" t="n">
        <v>11422.75766</v>
      </c>
    </row>
    <row r="280" customFormat="false" ht="15" hidden="false" customHeight="false" outlineLevel="0" collapsed="false">
      <c r="B280" s="20" t="s">
        <v>501</v>
      </c>
      <c r="C280" s="20" t="s">
        <v>502</v>
      </c>
      <c r="D280" s="20" t="s">
        <v>120</v>
      </c>
      <c r="E280" s="20" t="s">
        <v>482</v>
      </c>
      <c r="F280" s="20" t="s">
        <v>165</v>
      </c>
      <c r="G280" s="20" t="n">
        <v>2</v>
      </c>
      <c r="H280" s="20" t="n">
        <v>0</v>
      </c>
      <c r="I280" s="20" t="n">
        <v>180</v>
      </c>
      <c r="J280" s="21" t="n">
        <v>11256</v>
      </c>
    </row>
    <row r="281" customFormat="false" ht="15" hidden="false" customHeight="false" outlineLevel="0" collapsed="false">
      <c r="B281" s="20" t="s">
        <v>701</v>
      </c>
      <c r="C281" s="20" t="s">
        <v>238</v>
      </c>
      <c r="D281" s="20" t="s">
        <v>117</v>
      </c>
      <c r="E281" s="20" t="s">
        <v>193</v>
      </c>
      <c r="F281" s="20" t="s">
        <v>182</v>
      </c>
      <c r="G281" s="20" t="n">
        <v>6</v>
      </c>
      <c r="H281" s="20" t="n">
        <v>0</v>
      </c>
      <c r="I281" s="20" t="n">
        <v>540</v>
      </c>
      <c r="J281" s="21" t="n">
        <v>11166.96</v>
      </c>
    </row>
    <row r="282" customFormat="false" ht="15" hidden="false" customHeight="false" outlineLevel="0" collapsed="false">
      <c r="B282" s="20" t="s">
        <v>702</v>
      </c>
      <c r="C282" s="20" t="s">
        <v>703</v>
      </c>
      <c r="D282" s="20" t="s">
        <v>117</v>
      </c>
      <c r="E282" s="20" t="s">
        <v>704</v>
      </c>
      <c r="F282" s="20" t="s">
        <v>214</v>
      </c>
      <c r="G282" s="20" t="n">
        <v>16</v>
      </c>
      <c r="H282" s="20" t="n">
        <v>2</v>
      </c>
      <c r="I282" s="20" t="n">
        <v>720</v>
      </c>
      <c r="J282" s="21" t="n">
        <v>11144.73776</v>
      </c>
    </row>
    <row r="283" customFormat="false" ht="15" hidden="false" customHeight="false" outlineLevel="0" collapsed="false">
      <c r="B283" s="20" t="s">
        <v>705</v>
      </c>
      <c r="C283" s="20" t="s">
        <v>706</v>
      </c>
      <c r="D283" s="20" t="s">
        <v>117</v>
      </c>
      <c r="E283" s="20" t="s">
        <v>614</v>
      </c>
      <c r="F283" s="20" t="s">
        <v>214</v>
      </c>
      <c r="G283" s="20" t="n">
        <v>472</v>
      </c>
      <c r="H283" s="20" t="n">
        <v>134</v>
      </c>
      <c r="I283" s="20" t="n">
        <v>317</v>
      </c>
      <c r="J283" s="21" t="n">
        <v>11044.8</v>
      </c>
    </row>
    <row r="284" customFormat="false" ht="15" hidden="false" customHeight="false" outlineLevel="0" collapsed="false">
      <c r="B284" s="20" t="s">
        <v>707</v>
      </c>
      <c r="C284" s="20" t="s">
        <v>708</v>
      </c>
      <c r="D284" s="20" t="s">
        <v>119</v>
      </c>
      <c r="E284" s="20" t="s">
        <v>709</v>
      </c>
      <c r="F284" s="20" t="s">
        <v>200</v>
      </c>
      <c r="G284" s="20" t="n">
        <v>16</v>
      </c>
      <c r="H284" s="20" t="n">
        <v>8</v>
      </c>
      <c r="I284" s="20" t="n">
        <v>180</v>
      </c>
      <c r="J284" s="21" t="n">
        <v>11001.32928</v>
      </c>
    </row>
    <row r="285" customFormat="false" ht="15" hidden="false" customHeight="false" outlineLevel="0" collapsed="false">
      <c r="B285" s="20" t="s">
        <v>710</v>
      </c>
      <c r="C285" s="20" t="s">
        <v>711</v>
      </c>
      <c r="D285" s="20" t="s">
        <v>120</v>
      </c>
      <c r="E285" s="20" t="s">
        <v>399</v>
      </c>
      <c r="F285" s="20" t="s">
        <v>214</v>
      </c>
      <c r="G285" s="20" t="n">
        <v>28</v>
      </c>
      <c r="H285" s="20" t="n">
        <v>9</v>
      </c>
      <c r="I285" s="20" t="n">
        <v>280</v>
      </c>
      <c r="J285" s="21" t="n">
        <v>10971.95624</v>
      </c>
    </row>
    <row r="286" customFormat="false" ht="15" hidden="false" customHeight="false" outlineLevel="0" collapsed="false">
      <c r="B286" s="20" t="s">
        <v>712</v>
      </c>
      <c r="C286" s="20" t="s">
        <v>713</v>
      </c>
      <c r="D286" s="20" t="s">
        <v>119</v>
      </c>
      <c r="E286" s="20" t="s">
        <v>199</v>
      </c>
      <c r="F286" s="20" t="s">
        <v>214</v>
      </c>
      <c r="G286" s="20" t="n">
        <v>432</v>
      </c>
      <c r="H286" s="20" t="n">
        <v>15</v>
      </c>
      <c r="I286" s="20" t="n">
        <v>2592</v>
      </c>
      <c r="J286" s="21" t="n">
        <v>10748.16</v>
      </c>
    </row>
    <row r="287" customFormat="false" ht="15" hidden="false" customHeight="false" outlineLevel="0" collapsed="false">
      <c r="B287" s="20" t="s">
        <v>714</v>
      </c>
      <c r="C287" s="20" t="s">
        <v>715</v>
      </c>
      <c r="D287" s="20" t="s">
        <v>117</v>
      </c>
      <c r="E287" s="20" t="s">
        <v>224</v>
      </c>
      <c r="F287" s="20" t="s">
        <v>182</v>
      </c>
      <c r="G287" s="20" t="n">
        <v>40</v>
      </c>
      <c r="H287" s="20" t="n">
        <v>1</v>
      </c>
      <c r="I287" s="20" t="n">
        <v>3600</v>
      </c>
      <c r="J287" s="21" t="n">
        <v>10647.6</v>
      </c>
    </row>
    <row r="288" customFormat="false" ht="15" hidden="false" customHeight="false" outlineLevel="0" collapsed="false">
      <c r="B288" s="20" t="s">
        <v>716</v>
      </c>
      <c r="C288" s="20" t="s">
        <v>717</v>
      </c>
      <c r="D288" s="20" t="s">
        <v>117</v>
      </c>
      <c r="E288" s="20" t="s">
        <v>718</v>
      </c>
      <c r="F288" s="20" t="s">
        <v>200</v>
      </c>
      <c r="G288" s="20" t="n">
        <v>5</v>
      </c>
      <c r="H288" s="20" t="n">
        <v>1</v>
      </c>
      <c r="I288" s="20" t="n">
        <v>450</v>
      </c>
      <c r="J288" s="21" t="n">
        <v>10609.81</v>
      </c>
    </row>
    <row r="289" customFormat="false" ht="15" hidden="false" customHeight="false" outlineLevel="0" collapsed="false">
      <c r="B289" s="20" t="s">
        <v>719</v>
      </c>
      <c r="C289" s="20" t="s">
        <v>720</v>
      </c>
      <c r="D289" s="20" t="s">
        <v>117</v>
      </c>
      <c r="E289" s="20" t="s">
        <v>538</v>
      </c>
      <c r="F289" s="20" t="s">
        <v>157</v>
      </c>
      <c r="G289" s="20" t="n">
        <v>18</v>
      </c>
      <c r="H289" s="20" t="n">
        <v>2</v>
      </c>
      <c r="I289" s="20" t="n">
        <v>810</v>
      </c>
      <c r="J289" s="21" t="n">
        <v>10516.73742</v>
      </c>
    </row>
    <row r="290" customFormat="false" ht="15" hidden="false" customHeight="false" outlineLevel="0" collapsed="false">
      <c r="B290" s="20" t="s">
        <v>721</v>
      </c>
      <c r="C290" s="20" t="s">
        <v>722</v>
      </c>
      <c r="D290" s="20" t="s">
        <v>117</v>
      </c>
      <c r="E290" s="20" t="s">
        <v>423</v>
      </c>
      <c r="F290" s="20" t="s">
        <v>144</v>
      </c>
      <c r="G290" s="20" t="n">
        <v>165</v>
      </c>
      <c r="H290" s="20" t="n">
        <v>35</v>
      </c>
      <c r="I290" s="20" t="n">
        <v>424</v>
      </c>
      <c r="J290" s="21" t="n">
        <v>10515.285</v>
      </c>
    </row>
    <row r="291" customFormat="false" ht="15" hidden="false" customHeight="false" outlineLevel="0" collapsed="false">
      <c r="B291" s="20" t="s">
        <v>723</v>
      </c>
      <c r="C291" s="20" t="s">
        <v>393</v>
      </c>
      <c r="D291" s="20" t="s">
        <v>117</v>
      </c>
      <c r="E291" s="20" t="s">
        <v>193</v>
      </c>
      <c r="F291" s="20" t="s">
        <v>165</v>
      </c>
      <c r="G291" s="20" t="n">
        <v>12</v>
      </c>
      <c r="H291" s="20" t="n">
        <v>0</v>
      </c>
      <c r="I291" s="20" t="n">
        <v>1080</v>
      </c>
      <c r="J291" s="21" t="n">
        <v>10491.51</v>
      </c>
    </row>
    <row r="292" customFormat="false" ht="15" hidden="false" customHeight="false" outlineLevel="0" collapsed="false">
      <c r="B292" s="20" t="s">
        <v>724</v>
      </c>
      <c r="C292" s="20" t="s">
        <v>725</v>
      </c>
      <c r="D292" s="20" t="s">
        <v>117</v>
      </c>
      <c r="E292" s="20" t="s">
        <v>726</v>
      </c>
      <c r="F292" s="20" t="s">
        <v>144</v>
      </c>
      <c r="G292" s="20" t="n">
        <v>31</v>
      </c>
      <c r="H292" s="20" t="n">
        <v>12</v>
      </c>
      <c r="I292" s="20" t="n">
        <v>233</v>
      </c>
      <c r="J292" s="21" t="n">
        <v>10305.64</v>
      </c>
    </row>
    <row r="293" customFormat="false" ht="15" hidden="false" customHeight="false" outlineLevel="0" collapsed="false">
      <c r="B293" s="20" t="s">
        <v>727</v>
      </c>
      <c r="C293" s="20" t="s">
        <v>640</v>
      </c>
      <c r="D293" s="20" t="s">
        <v>117</v>
      </c>
      <c r="E293" s="20" t="s">
        <v>199</v>
      </c>
      <c r="F293" s="20" t="s">
        <v>182</v>
      </c>
      <c r="G293" s="20" t="n">
        <v>176</v>
      </c>
      <c r="H293" s="20" t="n">
        <v>6</v>
      </c>
      <c r="I293" s="20" t="n">
        <v>2640</v>
      </c>
      <c r="J293" s="21" t="n">
        <v>10298.1296</v>
      </c>
    </row>
    <row r="294" customFormat="false" ht="15" hidden="false" customHeight="false" outlineLevel="0" collapsed="false">
      <c r="B294" s="20" t="s">
        <v>728</v>
      </c>
      <c r="C294" s="20" t="s">
        <v>729</v>
      </c>
      <c r="D294" s="20" t="s">
        <v>117</v>
      </c>
      <c r="E294" s="20" t="s">
        <v>185</v>
      </c>
      <c r="F294" s="20" t="s">
        <v>214</v>
      </c>
      <c r="G294" s="20" t="n">
        <v>46</v>
      </c>
      <c r="H294" s="20" t="n">
        <v>10</v>
      </c>
      <c r="I294" s="20" t="n">
        <v>414</v>
      </c>
      <c r="J294" s="21" t="n">
        <v>10264.69668</v>
      </c>
    </row>
    <row r="295" customFormat="false" ht="15" hidden="false" customHeight="false" outlineLevel="0" collapsed="false">
      <c r="B295" s="20" t="s">
        <v>730</v>
      </c>
      <c r="C295" s="20" t="s">
        <v>731</v>
      </c>
      <c r="D295" s="20" t="s">
        <v>119</v>
      </c>
      <c r="E295" s="20" t="s">
        <v>324</v>
      </c>
      <c r="F295" s="20" t="s">
        <v>182</v>
      </c>
      <c r="G295" s="20" t="n">
        <v>30039</v>
      </c>
      <c r="H295" s="20" t="n">
        <v>20</v>
      </c>
      <c r="I295" s="20" t="n">
        <v>135176</v>
      </c>
      <c r="J295" s="21" t="n">
        <v>10161.59292</v>
      </c>
    </row>
    <row r="296" customFormat="false" ht="15" hidden="false" customHeight="false" outlineLevel="0" collapsed="false">
      <c r="B296" s="20" t="s">
        <v>732</v>
      </c>
      <c r="C296" s="20" t="s">
        <v>733</v>
      </c>
      <c r="D296" s="20" t="s">
        <v>117</v>
      </c>
      <c r="E296" s="20" t="s">
        <v>734</v>
      </c>
      <c r="F296" s="20" t="s">
        <v>182</v>
      </c>
      <c r="G296" s="20" t="n">
        <v>144</v>
      </c>
      <c r="H296" s="20" t="n">
        <v>28</v>
      </c>
      <c r="I296" s="20" t="n">
        <v>463</v>
      </c>
      <c r="J296" s="21" t="n">
        <v>10039.68</v>
      </c>
    </row>
    <row r="297" customFormat="false" ht="15" hidden="false" customHeight="false" outlineLevel="0" collapsed="false">
      <c r="B297" s="20" t="s">
        <v>735</v>
      </c>
      <c r="C297" s="20" t="s">
        <v>736</v>
      </c>
      <c r="D297" s="20" t="s">
        <v>120</v>
      </c>
      <c r="E297" s="20" t="s">
        <v>482</v>
      </c>
      <c r="F297" s="20" t="s">
        <v>214</v>
      </c>
      <c r="G297" s="20" t="n">
        <v>3</v>
      </c>
      <c r="H297" s="20" t="n">
        <v>1</v>
      </c>
      <c r="I297" s="20" t="n">
        <v>270</v>
      </c>
      <c r="J297" s="21" t="n">
        <v>10008.69</v>
      </c>
    </row>
    <row r="298" customFormat="false" ht="15" hidden="false" customHeight="false" outlineLevel="0" collapsed="false">
      <c r="B298" s="20" t="s">
        <v>737</v>
      </c>
      <c r="C298" s="20" t="s">
        <v>738</v>
      </c>
      <c r="D298" s="20" t="s">
        <v>117</v>
      </c>
      <c r="E298" s="20" t="s">
        <v>208</v>
      </c>
      <c r="F298" s="20" t="s">
        <v>165</v>
      </c>
      <c r="G298" s="20" t="n">
        <v>4</v>
      </c>
      <c r="H298" s="20" t="n">
        <v>1</v>
      </c>
      <c r="I298" s="20" t="n">
        <v>360</v>
      </c>
      <c r="J298" s="21" t="n">
        <v>9877.61</v>
      </c>
    </row>
    <row r="299" customFormat="false" ht="15" hidden="false" customHeight="false" outlineLevel="0" collapsed="false">
      <c r="B299" s="20" t="s">
        <v>739</v>
      </c>
      <c r="C299" s="20" t="s">
        <v>740</v>
      </c>
      <c r="D299" s="20" t="s">
        <v>117</v>
      </c>
      <c r="E299" s="20" t="s">
        <v>462</v>
      </c>
      <c r="F299" s="20" t="s">
        <v>144</v>
      </c>
      <c r="G299" s="20" t="n">
        <v>16</v>
      </c>
      <c r="H299" s="20" t="n">
        <v>2</v>
      </c>
      <c r="I299" s="20" t="n">
        <v>720</v>
      </c>
      <c r="J299" s="21" t="n">
        <v>9312.32</v>
      </c>
    </row>
    <row r="300" customFormat="false" ht="15" hidden="false" customHeight="false" outlineLevel="0" collapsed="false">
      <c r="B300" s="20" t="s">
        <v>741</v>
      </c>
      <c r="C300" s="20" t="s">
        <v>742</v>
      </c>
      <c r="D300" s="20" t="s">
        <v>119</v>
      </c>
      <c r="E300" s="20" t="s">
        <v>224</v>
      </c>
      <c r="F300" s="20" t="s">
        <v>200</v>
      </c>
      <c r="G300" s="20" t="n">
        <v>14</v>
      </c>
      <c r="H300" s="20" t="n">
        <v>2</v>
      </c>
      <c r="I300" s="20" t="n">
        <v>630</v>
      </c>
      <c r="J300" s="21" t="n">
        <v>9264.87996</v>
      </c>
    </row>
    <row r="301" customFormat="false" ht="15" hidden="false" customHeight="false" outlineLevel="0" collapsed="false">
      <c r="B301" s="20" t="s">
        <v>743</v>
      </c>
      <c r="C301" s="20" t="s">
        <v>744</v>
      </c>
      <c r="D301" s="20" t="s">
        <v>117</v>
      </c>
      <c r="E301" s="20" t="s">
        <v>704</v>
      </c>
      <c r="F301" s="20" t="s">
        <v>214</v>
      </c>
      <c r="G301" s="20" t="n">
        <v>36</v>
      </c>
      <c r="H301" s="20" t="n">
        <v>14</v>
      </c>
      <c r="I301" s="20" t="n">
        <v>231</v>
      </c>
      <c r="J301" s="21" t="n">
        <v>9142.3152</v>
      </c>
    </row>
    <row r="302" customFormat="false" ht="15" hidden="false" customHeight="false" outlineLevel="0" collapsed="false">
      <c r="B302" s="20" t="s">
        <v>745</v>
      </c>
      <c r="C302" s="20" t="s">
        <v>746</v>
      </c>
      <c r="D302" s="20" t="s">
        <v>117</v>
      </c>
      <c r="E302" s="20" t="s">
        <v>224</v>
      </c>
      <c r="F302" s="20" t="s">
        <v>214</v>
      </c>
      <c r="G302" s="20" t="n">
        <v>27</v>
      </c>
      <c r="H302" s="20" t="n">
        <v>4</v>
      </c>
      <c r="I302" s="20" t="n">
        <v>608</v>
      </c>
      <c r="J302" s="21" t="n">
        <v>9074.18349</v>
      </c>
    </row>
    <row r="303" customFormat="false" ht="15" hidden="false" customHeight="false" outlineLevel="0" collapsed="false">
      <c r="B303" s="20" t="s">
        <v>747</v>
      </c>
      <c r="C303" s="20" t="s">
        <v>748</v>
      </c>
      <c r="D303" s="20" t="s">
        <v>119</v>
      </c>
      <c r="E303" s="20" t="s">
        <v>224</v>
      </c>
      <c r="F303" s="20" t="s">
        <v>165</v>
      </c>
      <c r="G303" s="20" t="n">
        <v>141</v>
      </c>
      <c r="H303" s="20" t="n">
        <v>57</v>
      </c>
      <c r="I303" s="20" t="n">
        <v>223</v>
      </c>
      <c r="J303" s="21" t="n">
        <v>8918.60955</v>
      </c>
    </row>
    <row r="304" customFormat="false" ht="15" hidden="false" customHeight="false" outlineLevel="0" collapsed="false">
      <c r="B304" s="20" t="s">
        <v>749</v>
      </c>
      <c r="C304" s="20" t="s">
        <v>750</v>
      </c>
      <c r="D304" s="20" t="s">
        <v>117</v>
      </c>
      <c r="E304" s="20" t="s">
        <v>641</v>
      </c>
      <c r="F304" s="20" t="s">
        <v>214</v>
      </c>
      <c r="G304" s="20" t="n">
        <v>756</v>
      </c>
      <c r="H304" s="20" t="n">
        <v>135</v>
      </c>
      <c r="I304" s="20" t="n">
        <v>504</v>
      </c>
      <c r="J304" s="21" t="n">
        <v>8904.61404</v>
      </c>
    </row>
    <row r="305" customFormat="false" ht="15" hidden="false" customHeight="false" outlineLevel="0" collapsed="false">
      <c r="B305" s="20" t="s">
        <v>751</v>
      </c>
      <c r="C305" s="20" t="s">
        <v>317</v>
      </c>
      <c r="D305" s="20" t="s">
        <v>119</v>
      </c>
      <c r="E305" s="20" t="s">
        <v>224</v>
      </c>
      <c r="F305" s="20" t="s">
        <v>157</v>
      </c>
      <c r="G305" s="20" t="n">
        <v>31</v>
      </c>
      <c r="H305" s="20" t="n">
        <v>15</v>
      </c>
      <c r="I305" s="20" t="n">
        <v>186</v>
      </c>
      <c r="J305" s="21" t="n">
        <v>8768.33109</v>
      </c>
    </row>
    <row r="306" customFormat="false" ht="15" hidden="false" customHeight="false" outlineLevel="0" collapsed="false">
      <c r="B306" s="20" t="s">
        <v>752</v>
      </c>
      <c r="C306" s="20" t="s">
        <v>753</v>
      </c>
      <c r="D306" s="20" t="s">
        <v>119</v>
      </c>
      <c r="E306" s="20" t="s">
        <v>199</v>
      </c>
      <c r="F306" s="20" t="s">
        <v>214</v>
      </c>
      <c r="G306" s="20" t="n">
        <v>223</v>
      </c>
      <c r="H306" s="20" t="n">
        <v>23</v>
      </c>
      <c r="I306" s="20" t="n">
        <v>873</v>
      </c>
      <c r="J306" s="21" t="n">
        <v>8734.91</v>
      </c>
    </row>
    <row r="307" customFormat="false" ht="15" hidden="false" customHeight="false" outlineLevel="0" collapsed="false">
      <c r="B307" s="20" t="s">
        <v>754</v>
      </c>
      <c r="C307" s="20" t="s">
        <v>755</v>
      </c>
      <c r="D307" s="20" t="s">
        <v>117</v>
      </c>
      <c r="E307" s="20" t="s">
        <v>208</v>
      </c>
      <c r="F307" s="20" t="s">
        <v>214</v>
      </c>
      <c r="G307" s="20" t="n">
        <v>5</v>
      </c>
      <c r="H307" s="20" t="n">
        <v>1</v>
      </c>
      <c r="I307" s="20" t="n">
        <v>450</v>
      </c>
      <c r="J307" s="21" t="n">
        <v>8451.27</v>
      </c>
    </row>
    <row r="308" customFormat="false" ht="15" hidden="false" customHeight="false" outlineLevel="0" collapsed="false">
      <c r="B308" s="20" t="s">
        <v>756</v>
      </c>
      <c r="C308" s="20" t="s">
        <v>757</v>
      </c>
      <c r="D308" s="20" t="s">
        <v>119</v>
      </c>
      <c r="E308" s="20" t="s">
        <v>758</v>
      </c>
      <c r="F308" s="20" t="s">
        <v>214</v>
      </c>
      <c r="G308" s="20" t="n">
        <v>1103</v>
      </c>
      <c r="H308" s="20" t="n">
        <v>219</v>
      </c>
      <c r="I308" s="20" t="n">
        <v>453</v>
      </c>
      <c r="J308" s="21" t="n">
        <v>8414.6767</v>
      </c>
    </row>
    <row r="309" customFormat="false" ht="15" hidden="false" customHeight="false" outlineLevel="0" collapsed="false">
      <c r="B309" s="20" t="s">
        <v>759</v>
      </c>
      <c r="C309" s="20" t="s">
        <v>760</v>
      </c>
      <c r="D309" s="20" t="s">
        <v>119</v>
      </c>
      <c r="E309" s="20" t="s">
        <v>623</v>
      </c>
      <c r="F309" s="20" t="s">
        <v>214</v>
      </c>
      <c r="G309" s="20" t="n">
        <v>57</v>
      </c>
      <c r="H309" s="20" t="n">
        <v>10</v>
      </c>
      <c r="I309" s="20" t="n">
        <v>513</v>
      </c>
      <c r="J309" s="21" t="n">
        <v>8307.25239</v>
      </c>
    </row>
    <row r="310" customFormat="false" ht="15" hidden="false" customHeight="false" outlineLevel="0" collapsed="false">
      <c r="B310" s="20" t="s">
        <v>761</v>
      </c>
      <c r="C310" s="20" t="s">
        <v>678</v>
      </c>
      <c r="D310" s="20" t="s">
        <v>119</v>
      </c>
      <c r="E310" s="20" t="s">
        <v>704</v>
      </c>
      <c r="F310" s="20" t="s">
        <v>182</v>
      </c>
      <c r="G310" s="20" t="n">
        <v>313</v>
      </c>
      <c r="H310" s="20" t="n">
        <v>5</v>
      </c>
      <c r="I310" s="20" t="n">
        <v>5634</v>
      </c>
      <c r="J310" s="21" t="n">
        <v>8305.43622</v>
      </c>
    </row>
    <row r="311" customFormat="false" ht="15" hidden="false" customHeight="false" outlineLevel="0" collapsed="false">
      <c r="B311" s="20" t="s">
        <v>762</v>
      </c>
      <c r="C311" s="20" t="s">
        <v>763</v>
      </c>
      <c r="D311" s="20" t="s">
        <v>117</v>
      </c>
      <c r="E311" s="20" t="s">
        <v>584</v>
      </c>
      <c r="F311" s="20" t="s">
        <v>214</v>
      </c>
      <c r="G311" s="20" t="n">
        <v>22</v>
      </c>
      <c r="H311" s="20" t="n">
        <v>8</v>
      </c>
      <c r="I311" s="20" t="n">
        <v>248</v>
      </c>
      <c r="J311" s="21" t="n">
        <v>8300.5307</v>
      </c>
    </row>
    <row r="312" customFormat="false" ht="15" hidden="false" customHeight="false" outlineLevel="0" collapsed="false">
      <c r="B312" s="20" t="s">
        <v>764</v>
      </c>
      <c r="C312" s="20" t="s">
        <v>765</v>
      </c>
      <c r="D312" s="20" t="s">
        <v>119</v>
      </c>
      <c r="E312" s="20" t="s">
        <v>663</v>
      </c>
      <c r="F312" s="20" t="s">
        <v>214</v>
      </c>
      <c r="G312" s="20" t="n">
        <v>10858</v>
      </c>
      <c r="H312" s="20" t="n">
        <v>4900</v>
      </c>
      <c r="I312" s="20" t="n">
        <v>199</v>
      </c>
      <c r="J312" s="21" t="n">
        <v>8237.31312</v>
      </c>
    </row>
    <row r="313" customFormat="false" ht="15" hidden="false" customHeight="false" outlineLevel="0" collapsed="false">
      <c r="B313" s="20" t="s">
        <v>766</v>
      </c>
      <c r="C313" s="20" t="s">
        <v>767</v>
      </c>
      <c r="D313" s="20" t="s">
        <v>119</v>
      </c>
      <c r="E313" s="20" t="s">
        <v>224</v>
      </c>
      <c r="F313" s="20" t="s">
        <v>157</v>
      </c>
      <c r="G313" s="20" t="n">
        <v>33</v>
      </c>
      <c r="H313" s="20" t="n">
        <v>1</v>
      </c>
      <c r="I313" s="20" t="n">
        <v>2970</v>
      </c>
      <c r="J313" s="21" t="n">
        <v>8225.19687</v>
      </c>
    </row>
    <row r="314" customFormat="false" ht="15" hidden="false" customHeight="false" outlineLevel="0" collapsed="false">
      <c r="B314" s="20" t="s">
        <v>768</v>
      </c>
      <c r="C314" s="20" t="s">
        <v>317</v>
      </c>
      <c r="D314" s="20" t="s">
        <v>119</v>
      </c>
      <c r="E314" s="20" t="s">
        <v>224</v>
      </c>
      <c r="F314" s="20" t="s">
        <v>157</v>
      </c>
      <c r="G314" s="20" t="n">
        <v>50</v>
      </c>
      <c r="H314" s="20" t="n">
        <v>1</v>
      </c>
      <c r="I314" s="20" t="n">
        <v>4500</v>
      </c>
      <c r="J314" s="21" t="n">
        <v>8198.2355</v>
      </c>
    </row>
    <row r="315" customFormat="false" ht="15" hidden="false" customHeight="false" outlineLevel="0" collapsed="false">
      <c r="B315" s="20" t="s">
        <v>769</v>
      </c>
      <c r="C315" s="20" t="s">
        <v>770</v>
      </c>
      <c r="D315" s="20" t="s">
        <v>119</v>
      </c>
      <c r="E315" s="20" t="s">
        <v>219</v>
      </c>
      <c r="F315" s="20" t="s">
        <v>200</v>
      </c>
      <c r="G315" s="20" t="n">
        <v>2</v>
      </c>
      <c r="H315" s="20" t="n">
        <v>1</v>
      </c>
      <c r="I315" s="20" t="n">
        <v>180</v>
      </c>
      <c r="J315" s="21" t="n">
        <v>8146.09334</v>
      </c>
    </row>
    <row r="316" customFormat="false" ht="15" hidden="false" customHeight="false" outlineLevel="0" collapsed="false">
      <c r="B316" s="20" t="s">
        <v>771</v>
      </c>
      <c r="C316" s="20" t="s">
        <v>772</v>
      </c>
      <c r="D316" s="20" t="s">
        <v>117</v>
      </c>
      <c r="E316" s="20" t="s">
        <v>773</v>
      </c>
      <c r="F316" s="20" t="s">
        <v>214</v>
      </c>
      <c r="G316" s="20" t="n">
        <v>497</v>
      </c>
      <c r="H316" s="20" t="n">
        <v>94</v>
      </c>
      <c r="I316" s="20" t="n">
        <v>476</v>
      </c>
      <c r="J316" s="21" t="n">
        <v>8117.39166</v>
      </c>
    </row>
    <row r="317" customFormat="false" ht="15" hidden="false" customHeight="false" outlineLevel="0" collapsed="false">
      <c r="B317" s="20" t="s">
        <v>774</v>
      </c>
      <c r="C317" s="20" t="s">
        <v>775</v>
      </c>
      <c r="D317" s="20" t="s">
        <v>119</v>
      </c>
      <c r="E317" s="20" t="s">
        <v>224</v>
      </c>
      <c r="F317" s="20" t="s">
        <v>144</v>
      </c>
      <c r="G317" s="20" t="n">
        <v>3</v>
      </c>
      <c r="H317" s="20" t="n">
        <v>1</v>
      </c>
      <c r="I317" s="20" t="n">
        <v>270</v>
      </c>
      <c r="J317" s="21" t="n">
        <v>8045.58</v>
      </c>
    </row>
    <row r="318" customFormat="false" ht="15" hidden="false" customHeight="false" outlineLevel="0" collapsed="false">
      <c r="B318" s="20" t="s">
        <v>776</v>
      </c>
      <c r="C318" s="20" t="s">
        <v>777</v>
      </c>
      <c r="D318" s="20" t="s">
        <v>117</v>
      </c>
      <c r="E318" s="20" t="s">
        <v>778</v>
      </c>
      <c r="F318" s="20" t="s">
        <v>144</v>
      </c>
      <c r="G318" s="20" t="n">
        <v>37</v>
      </c>
      <c r="H318" s="20" t="n">
        <v>10</v>
      </c>
      <c r="I318" s="20" t="n">
        <v>333</v>
      </c>
      <c r="J318" s="21" t="n">
        <v>7995.182</v>
      </c>
    </row>
    <row r="319" customFormat="false" ht="15" hidden="false" customHeight="false" outlineLevel="0" collapsed="false">
      <c r="B319" s="20" t="s">
        <v>779</v>
      </c>
      <c r="C319" s="20" t="s">
        <v>780</v>
      </c>
      <c r="D319" s="20" t="s">
        <v>119</v>
      </c>
      <c r="E319" s="20" t="s">
        <v>638</v>
      </c>
      <c r="F319" s="20" t="s">
        <v>182</v>
      </c>
      <c r="G319" s="20" t="n">
        <v>13</v>
      </c>
      <c r="H319" s="20" t="n">
        <v>0</v>
      </c>
      <c r="I319" s="20" t="n">
        <v>585</v>
      </c>
      <c r="J319" s="21" t="n">
        <v>7967.7</v>
      </c>
    </row>
    <row r="320" customFormat="false" ht="15" hidden="false" customHeight="false" outlineLevel="0" collapsed="false">
      <c r="B320" s="20" t="s">
        <v>781</v>
      </c>
      <c r="C320" s="20" t="s">
        <v>782</v>
      </c>
      <c r="D320" s="20" t="s">
        <v>117</v>
      </c>
      <c r="E320" s="20" t="s">
        <v>164</v>
      </c>
      <c r="F320" s="20" t="s">
        <v>157</v>
      </c>
      <c r="G320" s="20" t="n">
        <v>31</v>
      </c>
      <c r="H320" s="20" t="n">
        <v>3</v>
      </c>
      <c r="I320" s="20" t="n">
        <v>930</v>
      </c>
      <c r="J320" s="21" t="n">
        <v>7930.11</v>
      </c>
    </row>
    <row r="321" customFormat="false" ht="15" hidden="false" customHeight="false" outlineLevel="0" collapsed="false">
      <c r="B321" s="20" t="s">
        <v>783</v>
      </c>
      <c r="C321" s="20" t="s">
        <v>247</v>
      </c>
      <c r="D321" s="20" t="s">
        <v>117</v>
      </c>
      <c r="E321" s="20" t="s">
        <v>211</v>
      </c>
      <c r="F321" s="20" t="s">
        <v>144</v>
      </c>
      <c r="G321" s="20" t="n">
        <v>4</v>
      </c>
      <c r="H321" s="20" t="n">
        <v>2</v>
      </c>
      <c r="I321" s="20" t="n">
        <v>180</v>
      </c>
      <c r="J321" s="21" t="n">
        <v>7919.92</v>
      </c>
    </row>
    <row r="322" customFormat="false" ht="15" hidden="false" customHeight="false" outlineLevel="0" collapsed="false">
      <c r="B322" s="20" t="s">
        <v>784</v>
      </c>
      <c r="C322" s="20" t="s">
        <v>496</v>
      </c>
      <c r="D322" s="20" t="s">
        <v>117</v>
      </c>
      <c r="E322" s="20" t="s">
        <v>311</v>
      </c>
      <c r="F322" s="20" t="s">
        <v>157</v>
      </c>
      <c r="G322" s="20" t="n">
        <v>11</v>
      </c>
      <c r="H322" s="20" t="n">
        <v>1</v>
      </c>
      <c r="I322" s="20" t="n">
        <v>990</v>
      </c>
      <c r="J322" s="21" t="n">
        <v>7893.06837</v>
      </c>
    </row>
    <row r="323" customFormat="false" ht="15" hidden="false" customHeight="false" outlineLevel="0" collapsed="false">
      <c r="B323" s="20" t="s">
        <v>785</v>
      </c>
      <c r="C323" s="20" t="s">
        <v>786</v>
      </c>
      <c r="D323" s="20" t="s">
        <v>117</v>
      </c>
      <c r="E323" s="20" t="s">
        <v>381</v>
      </c>
      <c r="F323" s="20" t="s">
        <v>182</v>
      </c>
      <c r="G323" s="20" t="n">
        <v>8</v>
      </c>
      <c r="H323" s="20" t="n">
        <v>4</v>
      </c>
      <c r="I323" s="20" t="n">
        <v>180</v>
      </c>
      <c r="J323" s="21" t="n">
        <v>7714.38</v>
      </c>
    </row>
    <row r="324" customFormat="false" ht="15" hidden="false" customHeight="false" outlineLevel="0" collapsed="false">
      <c r="B324" s="20" t="s">
        <v>787</v>
      </c>
      <c r="C324" s="20" t="s">
        <v>788</v>
      </c>
      <c r="D324" s="20" t="s">
        <v>117</v>
      </c>
      <c r="E324" s="20" t="s">
        <v>663</v>
      </c>
      <c r="F324" s="20" t="s">
        <v>214</v>
      </c>
      <c r="G324" s="20" t="n">
        <v>1013</v>
      </c>
      <c r="H324" s="20" t="n">
        <v>386</v>
      </c>
      <c r="I324" s="20" t="n">
        <v>236</v>
      </c>
      <c r="J324" s="21" t="n">
        <v>7607.81234</v>
      </c>
    </row>
    <row r="325" customFormat="false" ht="15" hidden="false" customHeight="false" outlineLevel="0" collapsed="false">
      <c r="B325" s="20" t="s">
        <v>789</v>
      </c>
      <c r="C325" s="20" t="s">
        <v>790</v>
      </c>
      <c r="D325" s="20" t="s">
        <v>117</v>
      </c>
      <c r="E325" s="20" t="s">
        <v>196</v>
      </c>
      <c r="F325" s="20" t="s">
        <v>182</v>
      </c>
      <c r="G325" s="20" t="n">
        <v>4</v>
      </c>
      <c r="H325" s="20" t="n">
        <v>1</v>
      </c>
      <c r="I325" s="20" t="n">
        <v>360</v>
      </c>
      <c r="J325" s="21" t="n">
        <v>7604.36</v>
      </c>
    </row>
    <row r="326" customFormat="false" ht="15" hidden="false" customHeight="false" outlineLevel="0" collapsed="false">
      <c r="B326" s="20" t="s">
        <v>791</v>
      </c>
      <c r="C326" s="20" t="s">
        <v>792</v>
      </c>
      <c r="D326" s="20" t="s">
        <v>119</v>
      </c>
      <c r="E326" s="20" t="s">
        <v>219</v>
      </c>
      <c r="F326" s="20" t="s">
        <v>165</v>
      </c>
      <c r="G326" s="20" t="n">
        <v>2</v>
      </c>
      <c r="H326" s="20" t="n">
        <v>0</v>
      </c>
      <c r="I326" s="20" t="n">
        <v>180</v>
      </c>
      <c r="J326" s="21" t="n">
        <v>7599.17</v>
      </c>
    </row>
    <row r="327" customFormat="false" ht="15" hidden="false" customHeight="false" outlineLevel="0" collapsed="false">
      <c r="B327" s="20" t="s">
        <v>793</v>
      </c>
      <c r="C327" s="20" t="s">
        <v>794</v>
      </c>
      <c r="D327" s="20" t="s">
        <v>119</v>
      </c>
      <c r="E327" s="20" t="s">
        <v>795</v>
      </c>
      <c r="F327" s="20" t="s">
        <v>200</v>
      </c>
      <c r="G327" s="20" t="n">
        <v>20</v>
      </c>
      <c r="H327" s="20" t="n">
        <v>0</v>
      </c>
      <c r="I327" s="20" t="n">
        <v>1800</v>
      </c>
      <c r="J327" s="21" t="n">
        <v>7559.48</v>
      </c>
    </row>
    <row r="328" customFormat="false" ht="15" hidden="false" customHeight="false" outlineLevel="0" collapsed="false">
      <c r="B328" s="20" t="s">
        <v>796</v>
      </c>
      <c r="C328" s="20" t="s">
        <v>797</v>
      </c>
      <c r="D328" s="20" t="s">
        <v>117</v>
      </c>
      <c r="E328" s="20" t="s">
        <v>423</v>
      </c>
      <c r="F328" s="20" t="s">
        <v>165</v>
      </c>
      <c r="G328" s="20" t="n">
        <v>3</v>
      </c>
      <c r="H328" s="20" t="n">
        <v>1</v>
      </c>
      <c r="I328" s="20" t="n">
        <v>270</v>
      </c>
      <c r="J328" s="21" t="n">
        <v>7518.78</v>
      </c>
    </row>
    <row r="329" customFormat="false" ht="15" hidden="false" customHeight="false" outlineLevel="0" collapsed="false">
      <c r="B329" s="20" t="s">
        <v>798</v>
      </c>
      <c r="C329" s="20" t="s">
        <v>799</v>
      </c>
      <c r="D329" s="20" t="s">
        <v>117</v>
      </c>
      <c r="E329" s="20" t="s">
        <v>208</v>
      </c>
      <c r="F329" s="20" t="s">
        <v>182</v>
      </c>
      <c r="G329" s="20" t="n">
        <v>9</v>
      </c>
      <c r="H329" s="20" t="n">
        <v>0</v>
      </c>
      <c r="I329" s="20" t="n">
        <v>810</v>
      </c>
      <c r="J329" s="21" t="n">
        <v>7453.02996</v>
      </c>
    </row>
    <row r="330" customFormat="false" ht="15" hidden="false" customHeight="false" outlineLevel="0" collapsed="false">
      <c r="B330" s="20" t="s">
        <v>800</v>
      </c>
      <c r="C330" s="20" t="s">
        <v>647</v>
      </c>
      <c r="D330" s="20" t="s">
        <v>117</v>
      </c>
      <c r="E330" s="20" t="s">
        <v>199</v>
      </c>
      <c r="F330" s="20" t="s">
        <v>165</v>
      </c>
      <c r="G330" s="20" t="n">
        <v>126</v>
      </c>
      <c r="H330" s="20" t="n">
        <v>21</v>
      </c>
      <c r="I330" s="20" t="n">
        <v>540</v>
      </c>
      <c r="J330" s="21" t="n">
        <v>7372.5246</v>
      </c>
    </row>
    <row r="331" customFormat="false" ht="15" hidden="false" customHeight="false" outlineLevel="0" collapsed="false">
      <c r="B331" s="20" t="s">
        <v>801</v>
      </c>
      <c r="C331" s="20" t="s">
        <v>802</v>
      </c>
      <c r="D331" s="20" t="s">
        <v>119</v>
      </c>
      <c r="E331" s="20" t="s">
        <v>635</v>
      </c>
      <c r="F331" s="20" t="s">
        <v>157</v>
      </c>
      <c r="G331" s="20" t="n">
        <v>50</v>
      </c>
      <c r="H331" s="20" t="n">
        <v>8</v>
      </c>
      <c r="I331" s="20" t="n">
        <v>563</v>
      </c>
      <c r="J331" s="21" t="n">
        <v>7257</v>
      </c>
    </row>
    <row r="332" customFormat="false" ht="15" hidden="false" customHeight="false" outlineLevel="0" collapsed="false">
      <c r="B332" s="20" t="s">
        <v>803</v>
      </c>
      <c r="C332" s="20" t="s">
        <v>317</v>
      </c>
      <c r="D332" s="20" t="s">
        <v>119</v>
      </c>
      <c r="E332" s="20" t="s">
        <v>224</v>
      </c>
      <c r="F332" s="20" t="s">
        <v>157</v>
      </c>
      <c r="G332" s="20" t="n">
        <v>34</v>
      </c>
      <c r="H332" s="20" t="n">
        <v>15</v>
      </c>
      <c r="I332" s="20" t="n">
        <v>204</v>
      </c>
      <c r="J332" s="21" t="n">
        <v>7250.16</v>
      </c>
    </row>
    <row r="333" customFormat="false" ht="15" hidden="false" customHeight="false" outlineLevel="0" collapsed="false">
      <c r="B333" s="20" t="s">
        <v>804</v>
      </c>
      <c r="C333" s="20" t="s">
        <v>805</v>
      </c>
      <c r="D333" s="20" t="s">
        <v>117</v>
      </c>
      <c r="E333" s="20" t="s">
        <v>641</v>
      </c>
      <c r="F333" s="20" t="s">
        <v>200</v>
      </c>
      <c r="G333" s="20" t="n">
        <v>13</v>
      </c>
      <c r="H333" s="20" t="n">
        <v>3</v>
      </c>
      <c r="I333" s="20" t="n">
        <v>390</v>
      </c>
      <c r="J333" s="21" t="n">
        <v>7248.36671</v>
      </c>
    </row>
    <row r="334" customFormat="false" ht="15" hidden="false" customHeight="false" outlineLevel="0" collapsed="false">
      <c r="B334" s="20" t="s">
        <v>806</v>
      </c>
      <c r="C334" s="20" t="s">
        <v>807</v>
      </c>
      <c r="D334" s="20" t="s">
        <v>117</v>
      </c>
      <c r="E334" s="20" t="s">
        <v>808</v>
      </c>
      <c r="F334" s="20" t="s">
        <v>200</v>
      </c>
      <c r="G334" s="20" t="n">
        <v>896</v>
      </c>
      <c r="H334" s="20" t="n">
        <v>35</v>
      </c>
      <c r="I334" s="20" t="n">
        <v>2304</v>
      </c>
      <c r="J334" s="21" t="n">
        <v>7180.02432</v>
      </c>
    </row>
    <row r="335" customFormat="false" ht="15" hidden="false" customHeight="false" outlineLevel="0" collapsed="false">
      <c r="B335" s="20" t="s">
        <v>809</v>
      </c>
      <c r="C335" s="20" t="s">
        <v>810</v>
      </c>
      <c r="D335" s="20" t="s">
        <v>119</v>
      </c>
      <c r="E335" s="20" t="s">
        <v>199</v>
      </c>
      <c r="F335" s="20" t="s">
        <v>157</v>
      </c>
      <c r="G335" s="20" t="n">
        <v>111</v>
      </c>
      <c r="H335" s="20" t="n">
        <v>2</v>
      </c>
      <c r="I335" s="20" t="n">
        <v>4995</v>
      </c>
      <c r="J335" s="21" t="n">
        <v>7058.49</v>
      </c>
    </row>
    <row r="336" customFormat="false" ht="15" hidden="false" customHeight="false" outlineLevel="0" collapsed="false">
      <c r="B336" s="20" t="s">
        <v>811</v>
      </c>
      <c r="C336" s="20" t="s">
        <v>812</v>
      </c>
      <c r="D336" s="20" t="s">
        <v>119</v>
      </c>
      <c r="E336" s="20" t="s">
        <v>663</v>
      </c>
      <c r="F336" s="20" t="s">
        <v>214</v>
      </c>
      <c r="G336" s="20" t="n">
        <v>797</v>
      </c>
      <c r="H336" s="20" t="n">
        <v>32</v>
      </c>
      <c r="I336" s="20" t="n">
        <v>2242</v>
      </c>
      <c r="J336" s="21" t="n">
        <v>6925.83436</v>
      </c>
    </row>
    <row r="337" customFormat="false" ht="15" hidden="false" customHeight="false" outlineLevel="0" collapsed="false">
      <c r="B337" s="20" t="s">
        <v>813</v>
      </c>
      <c r="C337" s="20" t="s">
        <v>814</v>
      </c>
      <c r="D337" s="20" t="s">
        <v>117</v>
      </c>
      <c r="E337" s="20" t="s">
        <v>638</v>
      </c>
      <c r="F337" s="20" t="s">
        <v>157</v>
      </c>
      <c r="G337" s="20" t="n">
        <v>9</v>
      </c>
      <c r="H337" s="20" t="n">
        <v>2</v>
      </c>
      <c r="I337" s="20" t="n">
        <v>405</v>
      </c>
      <c r="J337" s="21" t="n">
        <v>6901.2</v>
      </c>
    </row>
    <row r="338" customFormat="false" ht="15" hidden="false" customHeight="false" outlineLevel="0" collapsed="false">
      <c r="B338" s="20" t="s">
        <v>815</v>
      </c>
      <c r="C338" s="20" t="s">
        <v>816</v>
      </c>
      <c r="D338" s="20" t="s">
        <v>117</v>
      </c>
      <c r="E338" s="20" t="s">
        <v>196</v>
      </c>
      <c r="F338" s="20" t="s">
        <v>165</v>
      </c>
      <c r="G338" s="20" t="n">
        <v>12</v>
      </c>
      <c r="H338" s="20" t="n">
        <v>0</v>
      </c>
      <c r="I338" s="20" t="n">
        <v>180</v>
      </c>
      <c r="J338" s="21" t="n">
        <v>6794.76</v>
      </c>
    </row>
    <row r="339" customFormat="false" ht="15" hidden="false" customHeight="false" outlineLevel="0" collapsed="false">
      <c r="B339" s="20" t="s">
        <v>817</v>
      </c>
      <c r="C339" s="20" t="s">
        <v>818</v>
      </c>
      <c r="D339" s="20" t="s">
        <v>119</v>
      </c>
      <c r="E339" s="20" t="s">
        <v>211</v>
      </c>
      <c r="F339" s="20" t="s">
        <v>157</v>
      </c>
      <c r="G339" s="20" t="n">
        <v>9</v>
      </c>
      <c r="H339" s="20" t="n">
        <v>0</v>
      </c>
      <c r="I339" s="20" t="n">
        <v>203</v>
      </c>
      <c r="J339" s="21" t="n">
        <v>6791.44995</v>
      </c>
    </row>
    <row r="340" customFormat="false" ht="15" hidden="false" customHeight="false" outlineLevel="0" collapsed="false">
      <c r="B340" s="20" t="s">
        <v>819</v>
      </c>
      <c r="C340" s="20" t="s">
        <v>820</v>
      </c>
      <c r="D340" s="20" t="s">
        <v>119</v>
      </c>
      <c r="E340" s="20" t="s">
        <v>821</v>
      </c>
      <c r="F340" s="20" t="s">
        <v>214</v>
      </c>
      <c r="G340" s="20" t="n">
        <v>3968</v>
      </c>
      <c r="H340" s="20" t="n">
        <v>1363</v>
      </c>
      <c r="I340" s="20" t="n">
        <v>262</v>
      </c>
      <c r="J340" s="21" t="n">
        <v>6776.07424</v>
      </c>
    </row>
    <row r="341" customFormat="false" ht="15" hidden="false" customHeight="false" outlineLevel="0" collapsed="false">
      <c r="B341" s="20" t="s">
        <v>822</v>
      </c>
      <c r="C341" s="20" t="s">
        <v>317</v>
      </c>
      <c r="D341" s="20" t="s">
        <v>119</v>
      </c>
      <c r="E341" s="20" t="s">
        <v>224</v>
      </c>
      <c r="F341" s="20" t="s">
        <v>157</v>
      </c>
      <c r="G341" s="20" t="n">
        <v>90</v>
      </c>
      <c r="H341" s="20" t="n">
        <v>12</v>
      </c>
      <c r="I341" s="20" t="n">
        <v>675</v>
      </c>
      <c r="J341" s="21" t="n">
        <v>6697.8</v>
      </c>
    </row>
    <row r="342" customFormat="false" ht="15" hidden="false" customHeight="false" outlineLevel="0" collapsed="false">
      <c r="B342" s="20" t="s">
        <v>823</v>
      </c>
      <c r="C342" s="20" t="s">
        <v>824</v>
      </c>
      <c r="D342" s="20" t="s">
        <v>119</v>
      </c>
      <c r="E342" s="20" t="s">
        <v>156</v>
      </c>
      <c r="F342" s="20" t="s">
        <v>214</v>
      </c>
      <c r="G342" s="20" t="n">
        <v>1242</v>
      </c>
      <c r="H342" s="20" t="n">
        <v>50</v>
      </c>
      <c r="I342" s="20" t="n">
        <v>2236</v>
      </c>
      <c r="J342" s="21" t="n">
        <v>6694.38</v>
      </c>
    </row>
    <row r="343" customFormat="false" ht="15" hidden="false" customHeight="false" outlineLevel="0" collapsed="false">
      <c r="B343" s="20" t="s">
        <v>825</v>
      </c>
      <c r="C343" s="20" t="s">
        <v>826</v>
      </c>
      <c r="D343" s="20" t="s">
        <v>119</v>
      </c>
      <c r="E343" s="20" t="s">
        <v>821</v>
      </c>
      <c r="F343" s="20" t="s">
        <v>214</v>
      </c>
      <c r="G343" s="20" t="n">
        <v>3778</v>
      </c>
      <c r="H343" s="20" t="n">
        <v>405</v>
      </c>
      <c r="I343" s="20" t="n">
        <v>840</v>
      </c>
      <c r="J343" s="21" t="n">
        <v>6672.06134</v>
      </c>
    </row>
    <row r="344" customFormat="false" ht="15" hidden="false" customHeight="false" outlineLevel="0" collapsed="false">
      <c r="B344" s="20" t="s">
        <v>827</v>
      </c>
      <c r="C344" s="20" t="s">
        <v>828</v>
      </c>
      <c r="D344" s="20" t="s">
        <v>117</v>
      </c>
      <c r="E344" s="20" t="s">
        <v>829</v>
      </c>
      <c r="F344" s="20" t="s">
        <v>214</v>
      </c>
      <c r="G344" s="20" t="n">
        <v>321</v>
      </c>
      <c r="H344" s="20" t="n">
        <v>53</v>
      </c>
      <c r="I344" s="20" t="n">
        <v>545</v>
      </c>
      <c r="J344" s="21" t="n">
        <v>6625.3437</v>
      </c>
    </row>
    <row r="345" customFormat="false" ht="15" hidden="false" customHeight="false" outlineLevel="0" collapsed="false">
      <c r="B345" s="20" t="s">
        <v>830</v>
      </c>
      <c r="C345" s="20" t="s">
        <v>831</v>
      </c>
      <c r="D345" s="20" t="s">
        <v>119</v>
      </c>
      <c r="E345" s="20" t="s">
        <v>821</v>
      </c>
      <c r="F345" s="20" t="s">
        <v>157</v>
      </c>
      <c r="G345" s="20" t="n">
        <v>19</v>
      </c>
      <c r="H345" s="20" t="n">
        <v>2</v>
      </c>
      <c r="I345" s="20" t="n">
        <v>855</v>
      </c>
      <c r="J345" s="21" t="n">
        <v>6590.51385</v>
      </c>
    </row>
    <row r="346" customFormat="false" ht="15" hidden="false" customHeight="false" outlineLevel="0" collapsed="false">
      <c r="B346" s="20" t="s">
        <v>832</v>
      </c>
      <c r="C346" s="20" t="s">
        <v>833</v>
      </c>
      <c r="D346" s="20" t="s">
        <v>117</v>
      </c>
      <c r="E346" s="20" t="s">
        <v>208</v>
      </c>
      <c r="F346" s="20" t="s">
        <v>214</v>
      </c>
      <c r="G346" s="20" t="n">
        <v>6</v>
      </c>
      <c r="H346" s="20" t="n">
        <v>2</v>
      </c>
      <c r="I346" s="20" t="n">
        <v>270</v>
      </c>
      <c r="J346" s="21" t="n">
        <v>6585.06</v>
      </c>
    </row>
    <row r="347" customFormat="false" ht="15" hidden="false" customHeight="false" outlineLevel="0" collapsed="false">
      <c r="B347" s="20" t="s">
        <v>834</v>
      </c>
      <c r="C347" s="20" t="s">
        <v>835</v>
      </c>
      <c r="D347" s="20" t="s">
        <v>117</v>
      </c>
      <c r="E347" s="20" t="s">
        <v>190</v>
      </c>
      <c r="F347" s="20" t="s">
        <v>165</v>
      </c>
      <c r="G347" s="20" t="n">
        <v>6</v>
      </c>
      <c r="H347" s="20" t="n">
        <v>2</v>
      </c>
      <c r="I347" s="20" t="n">
        <v>270</v>
      </c>
      <c r="J347" s="21" t="n">
        <v>6546.528</v>
      </c>
    </row>
    <row r="348" customFormat="false" ht="15" hidden="false" customHeight="false" outlineLevel="0" collapsed="false">
      <c r="B348" s="20" t="s">
        <v>836</v>
      </c>
      <c r="C348" s="20" t="s">
        <v>837</v>
      </c>
      <c r="D348" s="20" t="s">
        <v>119</v>
      </c>
      <c r="E348" s="20" t="s">
        <v>635</v>
      </c>
      <c r="F348" s="20" t="s">
        <v>182</v>
      </c>
      <c r="G348" s="20" t="n">
        <v>778</v>
      </c>
      <c r="H348" s="20" t="n">
        <v>8</v>
      </c>
      <c r="I348" s="20" t="n">
        <v>8753</v>
      </c>
      <c r="J348" s="21" t="n">
        <v>6509.47154</v>
      </c>
    </row>
    <row r="349" customFormat="false" ht="15" hidden="false" customHeight="false" outlineLevel="0" collapsed="false">
      <c r="B349" s="20" t="s">
        <v>838</v>
      </c>
      <c r="C349" s="20" t="s">
        <v>839</v>
      </c>
      <c r="D349" s="20" t="s">
        <v>117</v>
      </c>
      <c r="E349" s="20" t="s">
        <v>193</v>
      </c>
      <c r="F349" s="20" t="s">
        <v>157</v>
      </c>
      <c r="G349" s="20" t="n">
        <v>10</v>
      </c>
      <c r="H349" s="20" t="n">
        <v>4</v>
      </c>
      <c r="I349" s="20" t="n">
        <v>225</v>
      </c>
      <c r="J349" s="21" t="n">
        <v>6414.8571</v>
      </c>
    </row>
    <row r="350" customFormat="false" ht="15" hidden="false" customHeight="false" outlineLevel="0" collapsed="false">
      <c r="B350" s="20" t="s">
        <v>840</v>
      </c>
      <c r="C350" s="20" t="s">
        <v>841</v>
      </c>
      <c r="D350" s="20" t="s">
        <v>119</v>
      </c>
      <c r="E350" s="20" t="s">
        <v>432</v>
      </c>
      <c r="F350" s="20" t="s">
        <v>144</v>
      </c>
      <c r="G350" s="20" t="n">
        <v>25</v>
      </c>
      <c r="H350" s="20" t="n">
        <v>5</v>
      </c>
      <c r="I350" s="20" t="n">
        <v>450</v>
      </c>
      <c r="J350" s="21" t="n">
        <v>6360</v>
      </c>
    </row>
    <row r="351" customFormat="false" ht="15" hidden="false" customHeight="false" outlineLevel="0" collapsed="false">
      <c r="B351" s="20" t="s">
        <v>842</v>
      </c>
      <c r="C351" s="20" t="s">
        <v>843</v>
      </c>
      <c r="D351" s="20" t="s">
        <v>117</v>
      </c>
      <c r="E351" s="20" t="s">
        <v>844</v>
      </c>
      <c r="F351" s="20" t="s">
        <v>214</v>
      </c>
      <c r="G351" s="20" t="n">
        <v>151</v>
      </c>
      <c r="H351" s="20" t="n">
        <v>49</v>
      </c>
      <c r="I351" s="20" t="n">
        <v>277</v>
      </c>
      <c r="J351" s="21" t="n">
        <v>6279.96618</v>
      </c>
    </row>
    <row r="352" customFormat="false" ht="15" hidden="false" customHeight="false" outlineLevel="0" collapsed="false">
      <c r="B352" s="20" t="s">
        <v>845</v>
      </c>
      <c r="C352" s="20" t="s">
        <v>777</v>
      </c>
      <c r="D352" s="20" t="s">
        <v>117</v>
      </c>
      <c r="E352" s="20" t="s">
        <v>846</v>
      </c>
      <c r="F352" s="20" t="s">
        <v>214</v>
      </c>
      <c r="G352" s="20" t="n">
        <v>28</v>
      </c>
      <c r="H352" s="20" t="n">
        <v>10</v>
      </c>
      <c r="I352" s="20" t="n">
        <v>252</v>
      </c>
      <c r="J352" s="21" t="n">
        <v>6269.21876</v>
      </c>
    </row>
    <row r="353" customFormat="false" ht="15" hidden="false" customHeight="false" outlineLevel="0" collapsed="false">
      <c r="B353" s="20" t="s">
        <v>847</v>
      </c>
      <c r="C353" s="20" t="s">
        <v>848</v>
      </c>
      <c r="D353" s="20" t="s">
        <v>119</v>
      </c>
      <c r="E353" s="20" t="s">
        <v>849</v>
      </c>
      <c r="F353" s="20" t="s">
        <v>182</v>
      </c>
      <c r="G353" s="20" t="n">
        <v>120</v>
      </c>
      <c r="H353" s="20" t="n">
        <v>0</v>
      </c>
      <c r="I353" s="20" t="n">
        <v>270</v>
      </c>
      <c r="J353" s="21" t="n">
        <v>6174</v>
      </c>
    </row>
    <row r="354" customFormat="false" ht="15" hidden="false" customHeight="false" outlineLevel="0" collapsed="false">
      <c r="B354" s="20" t="s">
        <v>850</v>
      </c>
      <c r="C354" s="20" t="s">
        <v>851</v>
      </c>
      <c r="D354" s="20" t="s">
        <v>117</v>
      </c>
      <c r="E354" s="20" t="s">
        <v>381</v>
      </c>
      <c r="F354" s="20" t="s">
        <v>182</v>
      </c>
      <c r="G354" s="20" t="n">
        <v>8</v>
      </c>
      <c r="H354" s="20" t="n">
        <v>4</v>
      </c>
      <c r="I354" s="20" t="n">
        <v>180</v>
      </c>
      <c r="J354" s="21" t="n">
        <v>6169.76</v>
      </c>
    </row>
    <row r="355" customFormat="false" ht="15" hidden="false" customHeight="false" outlineLevel="0" collapsed="false">
      <c r="B355" s="20" t="s">
        <v>852</v>
      </c>
      <c r="C355" s="20" t="s">
        <v>853</v>
      </c>
      <c r="D355" s="20" t="s">
        <v>117</v>
      </c>
      <c r="E355" s="20" t="s">
        <v>208</v>
      </c>
      <c r="F355" s="20" t="s">
        <v>165</v>
      </c>
      <c r="G355" s="20" t="n">
        <v>6</v>
      </c>
      <c r="H355" s="20" t="n">
        <v>2</v>
      </c>
      <c r="I355" s="20" t="n">
        <v>270</v>
      </c>
      <c r="J355" s="21" t="n">
        <v>6150.36</v>
      </c>
    </row>
    <row r="356" customFormat="false" ht="15" hidden="false" customHeight="false" outlineLevel="0" collapsed="false">
      <c r="B356" s="20" t="s">
        <v>854</v>
      </c>
      <c r="C356" s="20" t="s">
        <v>855</v>
      </c>
      <c r="D356" s="20" t="s">
        <v>119</v>
      </c>
      <c r="E356" s="20" t="s">
        <v>856</v>
      </c>
      <c r="F356" s="20" t="s">
        <v>165</v>
      </c>
      <c r="G356" s="20" t="n">
        <v>3</v>
      </c>
      <c r="H356" s="20" t="n">
        <v>1</v>
      </c>
      <c r="I356" s="20" t="n">
        <v>270</v>
      </c>
      <c r="J356" s="21" t="n">
        <v>6083.595</v>
      </c>
    </row>
    <row r="357" customFormat="false" ht="15" hidden="false" customHeight="false" outlineLevel="0" collapsed="false">
      <c r="B357" s="20" t="s">
        <v>857</v>
      </c>
      <c r="C357" s="20" t="s">
        <v>858</v>
      </c>
      <c r="D357" s="20" t="s">
        <v>117</v>
      </c>
      <c r="E357" s="20" t="s">
        <v>193</v>
      </c>
      <c r="F357" s="20" t="s">
        <v>144</v>
      </c>
      <c r="G357" s="20" t="n">
        <v>6</v>
      </c>
      <c r="H357" s="20" t="n">
        <v>1</v>
      </c>
      <c r="I357" s="20" t="n">
        <v>540</v>
      </c>
      <c r="J357" s="21" t="n">
        <v>6079.8</v>
      </c>
    </row>
    <row r="358" customFormat="false" ht="15" hidden="false" customHeight="false" outlineLevel="0" collapsed="false">
      <c r="B358" s="20" t="s">
        <v>237</v>
      </c>
      <c r="C358" s="20" t="s">
        <v>238</v>
      </c>
      <c r="D358" s="20" t="s">
        <v>119</v>
      </c>
      <c r="E358" s="20" t="s">
        <v>211</v>
      </c>
      <c r="F358" s="20" t="s">
        <v>165</v>
      </c>
      <c r="G358" s="20" t="n">
        <v>4</v>
      </c>
      <c r="H358" s="20" t="n">
        <v>2</v>
      </c>
      <c r="I358" s="20" t="n">
        <v>180</v>
      </c>
      <c r="J358" s="21" t="n">
        <v>6059.92</v>
      </c>
    </row>
    <row r="359" customFormat="false" ht="15" hidden="false" customHeight="false" outlineLevel="0" collapsed="false">
      <c r="B359" s="20" t="s">
        <v>859</v>
      </c>
      <c r="C359" s="20" t="s">
        <v>860</v>
      </c>
      <c r="D359" s="20" t="s">
        <v>117</v>
      </c>
      <c r="E359" s="20" t="s">
        <v>224</v>
      </c>
      <c r="F359" s="20" t="s">
        <v>214</v>
      </c>
      <c r="G359" s="20" t="n">
        <v>39</v>
      </c>
      <c r="H359" s="20" t="n">
        <v>9</v>
      </c>
      <c r="I359" s="20" t="n">
        <v>390</v>
      </c>
      <c r="J359" s="21" t="n">
        <v>6028.64964</v>
      </c>
    </row>
    <row r="360" customFormat="false" ht="15" hidden="false" customHeight="false" outlineLevel="0" collapsed="false">
      <c r="B360" s="20" t="s">
        <v>861</v>
      </c>
      <c r="C360" s="20" t="s">
        <v>862</v>
      </c>
      <c r="D360" s="20" t="s">
        <v>117</v>
      </c>
      <c r="E360" s="20" t="s">
        <v>863</v>
      </c>
      <c r="F360" s="20" t="s">
        <v>182</v>
      </c>
      <c r="G360" s="20" t="n">
        <v>14</v>
      </c>
      <c r="H360" s="20" t="n">
        <v>1</v>
      </c>
      <c r="I360" s="20" t="n">
        <v>1260</v>
      </c>
      <c r="J360" s="21" t="n">
        <v>6020</v>
      </c>
    </row>
    <row r="361" customFormat="false" ht="15" hidden="false" customHeight="false" outlineLevel="0" collapsed="false">
      <c r="B361" s="20" t="s">
        <v>864</v>
      </c>
      <c r="C361" s="20" t="s">
        <v>865</v>
      </c>
      <c r="D361" s="20" t="s">
        <v>117</v>
      </c>
      <c r="E361" s="20" t="s">
        <v>623</v>
      </c>
      <c r="F361" s="20" t="s">
        <v>214</v>
      </c>
      <c r="G361" s="20" t="n">
        <v>7</v>
      </c>
      <c r="H361" s="20" t="n">
        <v>3</v>
      </c>
      <c r="I361" s="20" t="n">
        <v>210</v>
      </c>
      <c r="J361" s="21" t="n">
        <v>5970.56348</v>
      </c>
    </row>
    <row r="362" customFormat="false" ht="15" hidden="false" customHeight="false" outlineLevel="0" collapsed="false">
      <c r="B362" s="20" t="s">
        <v>866</v>
      </c>
      <c r="C362" s="20" t="s">
        <v>867</v>
      </c>
      <c r="D362" s="20" t="s">
        <v>117</v>
      </c>
      <c r="E362" s="20" t="s">
        <v>614</v>
      </c>
      <c r="F362" s="20" t="s">
        <v>165</v>
      </c>
      <c r="G362" s="20" t="n">
        <v>266</v>
      </c>
      <c r="H362" s="20" t="n">
        <v>0</v>
      </c>
      <c r="I362" s="20" t="n">
        <v>4788</v>
      </c>
      <c r="J362" s="21" t="n">
        <v>5955.74</v>
      </c>
    </row>
    <row r="363" customFormat="false" ht="15" hidden="false" customHeight="false" outlineLevel="0" collapsed="false">
      <c r="B363" s="20" t="s">
        <v>868</v>
      </c>
      <c r="C363" s="20" t="s">
        <v>869</v>
      </c>
      <c r="D363" s="20" t="s">
        <v>120</v>
      </c>
      <c r="E363" s="20" t="s">
        <v>482</v>
      </c>
      <c r="F363" s="20" t="s">
        <v>157</v>
      </c>
      <c r="G363" s="20" t="n">
        <v>3</v>
      </c>
      <c r="H363" s="20" t="n">
        <v>1</v>
      </c>
      <c r="I363" s="20" t="n">
        <v>270</v>
      </c>
      <c r="J363" s="21" t="n">
        <v>5890.19001</v>
      </c>
    </row>
    <row r="364" customFormat="false" ht="15" hidden="false" customHeight="false" outlineLevel="0" collapsed="false">
      <c r="B364" s="20" t="s">
        <v>870</v>
      </c>
      <c r="C364" s="20" t="s">
        <v>871</v>
      </c>
      <c r="D364" s="20" t="s">
        <v>117</v>
      </c>
      <c r="E364" s="20" t="s">
        <v>185</v>
      </c>
      <c r="F364" s="20" t="s">
        <v>214</v>
      </c>
      <c r="G364" s="20" t="n">
        <v>16</v>
      </c>
      <c r="H364" s="20" t="n">
        <v>2</v>
      </c>
      <c r="I364" s="20" t="n">
        <v>720</v>
      </c>
      <c r="J364" s="21" t="n">
        <v>5854.28256</v>
      </c>
    </row>
    <row r="365" customFormat="false" ht="15" hidden="false" customHeight="false" outlineLevel="0" collapsed="false">
      <c r="B365" s="20" t="s">
        <v>872</v>
      </c>
      <c r="C365" s="20" t="s">
        <v>873</v>
      </c>
      <c r="D365" s="20" t="s">
        <v>119</v>
      </c>
      <c r="E365" s="20" t="s">
        <v>199</v>
      </c>
      <c r="F365" s="20" t="s">
        <v>214</v>
      </c>
      <c r="G365" s="20" t="n">
        <v>75</v>
      </c>
      <c r="H365" s="20" t="n">
        <v>33</v>
      </c>
      <c r="I365" s="20" t="n">
        <v>205</v>
      </c>
      <c r="J365" s="21" t="n">
        <v>5846.25</v>
      </c>
    </row>
    <row r="366" customFormat="false" ht="15" hidden="false" customHeight="false" outlineLevel="0" collapsed="false">
      <c r="B366" s="20" t="s">
        <v>874</v>
      </c>
      <c r="C366" s="20" t="s">
        <v>875</v>
      </c>
      <c r="D366" s="20" t="s">
        <v>119</v>
      </c>
      <c r="E366" s="20" t="s">
        <v>199</v>
      </c>
      <c r="F366" s="20" t="s">
        <v>214</v>
      </c>
      <c r="G366" s="20" t="n">
        <v>229</v>
      </c>
      <c r="H366" s="20" t="n">
        <v>45</v>
      </c>
      <c r="I366" s="20" t="n">
        <v>458</v>
      </c>
      <c r="J366" s="21" t="n">
        <v>5782.25</v>
      </c>
    </row>
    <row r="367" customFormat="false" ht="15" hidden="false" customHeight="false" outlineLevel="0" collapsed="false">
      <c r="B367" s="20" t="s">
        <v>876</v>
      </c>
      <c r="C367" s="20" t="s">
        <v>163</v>
      </c>
      <c r="D367" s="20" t="s">
        <v>117</v>
      </c>
      <c r="E367" s="20" t="s">
        <v>726</v>
      </c>
      <c r="F367" s="20" t="s">
        <v>144</v>
      </c>
      <c r="G367" s="20" t="n">
        <v>18</v>
      </c>
      <c r="H367" s="20" t="n">
        <v>9</v>
      </c>
      <c r="I367" s="20" t="n">
        <v>180</v>
      </c>
      <c r="J367" s="21" t="n">
        <v>5759.523</v>
      </c>
    </row>
    <row r="368" customFormat="false" ht="15" hidden="false" customHeight="false" outlineLevel="0" collapsed="false">
      <c r="B368" s="20" t="s">
        <v>877</v>
      </c>
      <c r="C368" s="20" t="s">
        <v>878</v>
      </c>
      <c r="D368" s="20" t="s">
        <v>117</v>
      </c>
      <c r="E368" s="20" t="s">
        <v>426</v>
      </c>
      <c r="F368" s="20" t="s">
        <v>200</v>
      </c>
      <c r="G368" s="20" t="n">
        <v>22</v>
      </c>
      <c r="H368" s="20" t="n">
        <v>10</v>
      </c>
      <c r="I368" s="20" t="n">
        <v>198</v>
      </c>
      <c r="J368" s="21" t="n">
        <v>5746.79094</v>
      </c>
    </row>
    <row r="369" customFormat="false" ht="15" hidden="false" customHeight="false" outlineLevel="0" collapsed="false">
      <c r="B369" s="20" t="s">
        <v>879</v>
      </c>
      <c r="C369" s="20" t="s">
        <v>880</v>
      </c>
      <c r="D369" s="20" t="s">
        <v>117</v>
      </c>
      <c r="E369" s="20" t="s">
        <v>663</v>
      </c>
      <c r="F369" s="20" t="s">
        <v>165</v>
      </c>
      <c r="G369" s="20" t="n">
        <v>5514</v>
      </c>
      <c r="H369" s="20" t="n">
        <v>300</v>
      </c>
      <c r="I369" s="20" t="n">
        <v>1654</v>
      </c>
      <c r="J369" s="21" t="n">
        <v>5734.56</v>
      </c>
    </row>
    <row r="370" customFormat="false" ht="15" hidden="false" customHeight="false" outlineLevel="0" collapsed="false">
      <c r="B370" s="20" t="s">
        <v>881</v>
      </c>
      <c r="C370" s="20" t="s">
        <v>748</v>
      </c>
      <c r="D370" s="20" t="s">
        <v>119</v>
      </c>
      <c r="E370" s="20" t="s">
        <v>704</v>
      </c>
      <c r="F370" s="20" t="s">
        <v>157</v>
      </c>
      <c r="G370" s="20" t="n">
        <v>264</v>
      </c>
      <c r="H370" s="20" t="n">
        <v>31</v>
      </c>
      <c r="I370" s="20" t="n">
        <v>766</v>
      </c>
      <c r="J370" s="21" t="n">
        <v>5693.31048</v>
      </c>
    </row>
    <row r="371" customFormat="false" ht="15" hidden="false" customHeight="false" outlineLevel="0" collapsed="false">
      <c r="B371" s="20" t="s">
        <v>882</v>
      </c>
      <c r="C371" s="20" t="s">
        <v>883</v>
      </c>
      <c r="D371" s="20" t="s">
        <v>119</v>
      </c>
      <c r="E371" s="20" t="s">
        <v>635</v>
      </c>
      <c r="F371" s="20" t="s">
        <v>157</v>
      </c>
      <c r="G371" s="20" t="n">
        <v>40</v>
      </c>
      <c r="H371" s="20" t="n">
        <v>1</v>
      </c>
      <c r="I371" s="20" t="n">
        <v>3600</v>
      </c>
      <c r="J371" s="21" t="n">
        <v>5555.2</v>
      </c>
    </row>
    <row r="372" customFormat="false" ht="15" hidden="false" customHeight="false" outlineLevel="0" collapsed="false">
      <c r="B372" s="20" t="s">
        <v>884</v>
      </c>
      <c r="C372" s="20" t="s">
        <v>335</v>
      </c>
      <c r="D372" s="20" t="s">
        <v>119</v>
      </c>
      <c r="E372" s="20" t="s">
        <v>704</v>
      </c>
      <c r="F372" s="20" t="s">
        <v>200</v>
      </c>
      <c r="G372" s="20" t="n">
        <v>42</v>
      </c>
      <c r="H372" s="20" t="n">
        <v>15</v>
      </c>
      <c r="I372" s="20" t="n">
        <v>252</v>
      </c>
      <c r="J372" s="21" t="n">
        <v>5486.3718</v>
      </c>
    </row>
    <row r="373" customFormat="false" ht="15" hidden="false" customHeight="false" outlineLevel="0" collapsed="false">
      <c r="B373" s="20" t="s">
        <v>885</v>
      </c>
      <c r="C373" s="20" t="s">
        <v>886</v>
      </c>
      <c r="D373" s="20" t="s">
        <v>120</v>
      </c>
      <c r="E373" s="20" t="s">
        <v>482</v>
      </c>
      <c r="F373" s="20" t="s">
        <v>214</v>
      </c>
      <c r="G373" s="20" t="n">
        <v>6</v>
      </c>
      <c r="H373" s="20" t="n">
        <v>1</v>
      </c>
      <c r="I373" s="20" t="n">
        <v>540</v>
      </c>
      <c r="J373" s="21" t="n">
        <v>5422.665</v>
      </c>
    </row>
    <row r="374" customFormat="false" ht="15" hidden="false" customHeight="false" outlineLevel="0" collapsed="false">
      <c r="B374" s="20" t="s">
        <v>887</v>
      </c>
      <c r="C374" s="20" t="s">
        <v>888</v>
      </c>
      <c r="D374" s="20" t="s">
        <v>119</v>
      </c>
      <c r="E374" s="20" t="s">
        <v>353</v>
      </c>
      <c r="F374" s="20" t="s">
        <v>182</v>
      </c>
      <c r="G374" s="20" t="n">
        <v>7</v>
      </c>
      <c r="H374" s="20" t="n">
        <v>0</v>
      </c>
      <c r="I374" s="20" t="n">
        <v>630</v>
      </c>
      <c r="J374" s="21" t="n">
        <v>5421.16001</v>
      </c>
    </row>
    <row r="375" customFormat="false" ht="15" hidden="false" customHeight="false" outlineLevel="0" collapsed="false">
      <c r="B375" s="20" t="s">
        <v>889</v>
      </c>
      <c r="C375" s="20" t="s">
        <v>890</v>
      </c>
      <c r="D375" s="20" t="s">
        <v>117</v>
      </c>
      <c r="E375" s="20" t="s">
        <v>829</v>
      </c>
      <c r="F375" s="20" t="s">
        <v>157</v>
      </c>
      <c r="G375" s="20" t="n">
        <v>235</v>
      </c>
      <c r="H375" s="20" t="n">
        <v>0</v>
      </c>
      <c r="I375" s="20" t="n">
        <v>492</v>
      </c>
      <c r="J375" s="21" t="n">
        <v>5412.3508</v>
      </c>
    </row>
    <row r="376" customFormat="false" ht="15" hidden="false" customHeight="false" outlineLevel="0" collapsed="false">
      <c r="B376" s="20" t="s">
        <v>891</v>
      </c>
      <c r="C376" s="20" t="s">
        <v>892</v>
      </c>
      <c r="D376" s="20" t="s">
        <v>119</v>
      </c>
      <c r="E376" s="20" t="s">
        <v>704</v>
      </c>
      <c r="F376" s="20" t="s">
        <v>144</v>
      </c>
      <c r="G376" s="20" t="n">
        <v>38</v>
      </c>
      <c r="H376" s="20" t="n">
        <v>2</v>
      </c>
      <c r="I376" s="20" t="n">
        <v>1710</v>
      </c>
      <c r="J376" s="21" t="n">
        <v>5350.875</v>
      </c>
    </row>
    <row r="377" customFormat="false" ht="15" hidden="false" customHeight="false" outlineLevel="0" collapsed="false">
      <c r="B377" s="20" t="s">
        <v>893</v>
      </c>
      <c r="C377" s="20" t="s">
        <v>894</v>
      </c>
      <c r="D377" s="20" t="s">
        <v>119</v>
      </c>
      <c r="E377" s="20" t="s">
        <v>895</v>
      </c>
      <c r="F377" s="20" t="s">
        <v>214</v>
      </c>
      <c r="G377" s="20" t="n">
        <v>2454</v>
      </c>
      <c r="H377" s="20" t="n">
        <v>394</v>
      </c>
      <c r="I377" s="20" t="n">
        <v>561</v>
      </c>
      <c r="J377" s="21" t="n">
        <v>5319.33948</v>
      </c>
    </row>
    <row r="378" customFormat="false" ht="15" hidden="false" customHeight="false" outlineLevel="0" collapsed="false">
      <c r="B378" s="20" t="s">
        <v>896</v>
      </c>
      <c r="C378" s="20" t="s">
        <v>897</v>
      </c>
      <c r="D378" s="20" t="s">
        <v>117</v>
      </c>
      <c r="E378" s="20" t="s">
        <v>156</v>
      </c>
      <c r="F378" s="20" t="s">
        <v>182</v>
      </c>
      <c r="G378" s="20" t="n">
        <v>27</v>
      </c>
      <c r="H378" s="20" t="n">
        <v>0</v>
      </c>
      <c r="I378" s="20" t="n">
        <v>608</v>
      </c>
      <c r="J378" s="21" t="n">
        <v>5227.2</v>
      </c>
    </row>
    <row r="379" customFormat="false" ht="15" hidden="false" customHeight="false" outlineLevel="0" collapsed="false">
      <c r="B379" s="20" t="s">
        <v>898</v>
      </c>
      <c r="C379" s="20" t="s">
        <v>899</v>
      </c>
      <c r="D379" s="20" t="s">
        <v>119</v>
      </c>
      <c r="E379" s="20" t="s">
        <v>900</v>
      </c>
      <c r="F379" s="20" t="s">
        <v>157</v>
      </c>
      <c r="G379" s="20" t="n">
        <v>3</v>
      </c>
      <c r="H379" s="20" t="n">
        <v>1</v>
      </c>
      <c r="I379" s="20" t="n">
        <v>270</v>
      </c>
      <c r="J379" s="21" t="n">
        <v>5207.73999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22"/>
  </cols>
  <sheetData>
    <row r="2" customFormat="false" ht="18.55" hidden="false" customHeight="false" outlineLevel="0" collapsed="false">
      <c r="B2" s="7" t="s">
        <v>901</v>
      </c>
    </row>
    <row r="4" customFormat="false" ht="15" hidden="false" customHeight="false" outlineLevel="0" collapsed="false">
      <c r="B4" s="10" t="s">
        <v>902</v>
      </c>
      <c r="C4" s="12" t="n">
        <v>5.78971074074322</v>
      </c>
    </row>
    <row r="5" customFormat="false" ht="15" hidden="false" customHeight="false" outlineLevel="0" collapsed="false">
      <c r="B5" s="10" t="s">
        <v>903</v>
      </c>
      <c r="C5" s="14" t="n">
        <v>3328920.091565</v>
      </c>
    </row>
    <row r="6" customFormat="false" ht="15" hidden="false" customHeight="false" outlineLevel="0" collapsed="false">
      <c r="B6" s="10" t="s">
        <v>904</v>
      </c>
      <c r="C6" s="18" t="n">
        <v>0.237813975629504</v>
      </c>
    </row>
    <row r="7" customFormat="false" ht="15" hidden="false" customHeight="false" outlineLevel="0" collapsed="false">
      <c r="B7" s="10" t="s">
        <v>905</v>
      </c>
      <c r="C7" s="14" t="n">
        <v>5396197.64235</v>
      </c>
    </row>
    <row r="8" customFormat="false" ht="15" hidden="false" customHeight="false" outlineLevel="0" collapsed="false">
      <c r="B8" s="10" t="s">
        <v>906</v>
      </c>
      <c r="C8" s="18" t="n">
        <v>0.385497752818243</v>
      </c>
    </row>
    <row r="9" customFormat="false" ht="15" hidden="false" customHeight="false" outlineLevel="0" collapsed="false">
      <c r="B9" s="10" t="s">
        <v>907</v>
      </c>
      <c r="C9" s="14" t="n">
        <v>8844380.832835</v>
      </c>
    </row>
    <row r="10" customFormat="false" ht="15" hidden="false" customHeight="false" outlineLevel="0" collapsed="false">
      <c r="B10" s="10" t="s">
        <v>908</v>
      </c>
      <c r="C10" s="18" t="n">
        <v>0.631831738216659</v>
      </c>
    </row>
    <row r="12" customFormat="false" ht="15" hidden="false" customHeight="false" outlineLevel="0" collapsed="false">
      <c r="B12" s="9" t="s">
        <v>909</v>
      </c>
    </row>
    <row r="13" customFormat="false" ht="27.75" hidden="false" customHeight="true" outlineLevel="0" collapsed="false">
      <c r="B13" s="19" t="s">
        <v>135</v>
      </c>
      <c r="C13" s="19" t="s">
        <v>910</v>
      </c>
    </row>
    <row r="14" customFormat="false" ht="15" hidden="false" customHeight="false" outlineLevel="0" collapsed="false">
      <c r="B14" s="20" t="s">
        <v>214</v>
      </c>
      <c r="C14" s="25" t="n">
        <v>12.8798072604999</v>
      </c>
    </row>
    <row r="15" customFormat="false" ht="15" hidden="false" customHeight="false" outlineLevel="0" collapsed="false">
      <c r="B15" s="20" t="s">
        <v>200</v>
      </c>
      <c r="C15" s="25" t="n">
        <v>7.06693560819509</v>
      </c>
    </row>
    <row r="16" customFormat="false" ht="15" hidden="false" customHeight="false" outlineLevel="0" collapsed="false">
      <c r="B16" s="20" t="s">
        <v>157</v>
      </c>
      <c r="C16" s="25" t="n">
        <v>4.39965743811101</v>
      </c>
    </row>
    <row r="17" customFormat="false" ht="15" hidden="false" customHeight="false" outlineLevel="0" collapsed="false">
      <c r="B17" s="20" t="s">
        <v>165</v>
      </c>
      <c r="C17" s="25" t="n">
        <v>2.32485837004814</v>
      </c>
    </row>
    <row r="18" customFormat="false" ht="15" hidden="false" customHeight="false" outlineLevel="0" collapsed="false">
      <c r="B18" s="20" t="s">
        <v>182</v>
      </c>
      <c r="C18" s="25" t="n">
        <v>0.988959427843689</v>
      </c>
    </row>
    <row r="20" customFormat="false" ht="15" hidden="false" customHeight="false" outlineLevel="0" collapsed="false">
      <c r="B20" s="9" t="s">
        <v>911</v>
      </c>
    </row>
    <row r="21" customFormat="false" ht="27.75" hidden="false" customHeight="true" outlineLevel="0" collapsed="false">
      <c r="B21" s="19" t="s">
        <v>131</v>
      </c>
      <c r="C21" s="19" t="s">
        <v>912</v>
      </c>
      <c r="D21" s="19" t="s">
        <v>134</v>
      </c>
      <c r="E21" s="19" t="s">
        <v>135</v>
      </c>
      <c r="F21" s="19" t="s">
        <v>913</v>
      </c>
      <c r="G21" s="19" t="s">
        <v>914</v>
      </c>
      <c r="H21" s="19" t="s">
        <v>915</v>
      </c>
      <c r="I21" s="19" t="s">
        <v>916</v>
      </c>
    </row>
    <row r="22" customFormat="false" ht="15" hidden="false" customHeight="false" outlineLevel="0" collapsed="false">
      <c r="B22" s="20" t="s">
        <v>599</v>
      </c>
      <c r="C22" s="20" t="s">
        <v>600</v>
      </c>
      <c r="D22" s="20" t="s">
        <v>199</v>
      </c>
      <c r="E22" s="20" t="s">
        <v>214</v>
      </c>
      <c r="F22" s="25" t="n">
        <v>0.392307692307692</v>
      </c>
      <c r="G22" s="20" t="n">
        <v>1170</v>
      </c>
      <c r="H22" s="21" t="n">
        <v>133461.9</v>
      </c>
      <c r="I22" s="20" t="s">
        <v>917</v>
      </c>
    </row>
    <row r="23" customFormat="false" ht="15" hidden="false" customHeight="false" outlineLevel="0" collapsed="false">
      <c r="B23" s="20" t="s">
        <v>604</v>
      </c>
      <c r="C23" s="20" t="s">
        <v>605</v>
      </c>
      <c r="D23" s="20" t="s">
        <v>603</v>
      </c>
      <c r="E23" s="20" t="s">
        <v>214</v>
      </c>
      <c r="F23" s="25" t="n">
        <v>1.73678571428571</v>
      </c>
      <c r="G23" s="20" t="n">
        <v>224</v>
      </c>
      <c r="H23" s="21" t="n">
        <v>87296.06928</v>
      </c>
      <c r="I23" s="20" t="s">
        <v>917</v>
      </c>
    </row>
    <row r="24" customFormat="false" ht="15" hidden="false" customHeight="false" outlineLevel="0" collapsed="false">
      <c r="B24" s="20" t="s">
        <v>610</v>
      </c>
      <c r="C24" s="20" t="s">
        <v>611</v>
      </c>
      <c r="D24" s="20" t="s">
        <v>199</v>
      </c>
      <c r="E24" s="20" t="s">
        <v>200</v>
      </c>
      <c r="F24" s="25" t="n">
        <v>0.208436724565757</v>
      </c>
      <c r="G24" s="20" t="n">
        <v>806</v>
      </c>
      <c r="H24" s="21" t="n">
        <v>70165.66102</v>
      </c>
      <c r="I24" s="20" t="s">
        <v>917</v>
      </c>
    </row>
    <row r="25" customFormat="false" ht="15" hidden="false" customHeight="false" outlineLevel="0" collapsed="false">
      <c r="B25" s="20" t="s">
        <v>608</v>
      </c>
      <c r="C25" s="20" t="s">
        <v>609</v>
      </c>
      <c r="D25" s="20" t="s">
        <v>199</v>
      </c>
      <c r="E25" s="20" t="s">
        <v>157</v>
      </c>
      <c r="F25" s="25" t="n">
        <v>0.0674738067520373</v>
      </c>
      <c r="G25" s="20" t="n">
        <v>859</v>
      </c>
      <c r="H25" s="21" t="n">
        <v>68427.94</v>
      </c>
      <c r="I25" s="20" t="s">
        <v>917</v>
      </c>
    </row>
    <row r="26" customFormat="false" ht="15" hidden="false" customHeight="false" outlineLevel="0" collapsed="false">
      <c r="B26" s="20" t="s">
        <v>612</v>
      </c>
      <c r="C26" s="20" t="s">
        <v>613</v>
      </c>
      <c r="D26" s="20" t="s">
        <v>614</v>
      </c>
      <c r="E26" s="20" t="s">
        <v>200</v>
      </c>
      <c r="F26" s="25" t="n">
        <v>0.66287487073423</v>
      </c>
      <c r="G26" s="20" t="n">
        <v>2901</v>
      </c>
      <c r="H26" s="21" t="n">
        <v>51231.66</v>
      </c>
      <c r="I26" s="20" t="s">
        <v>917</v>
      </c>
    </row>
    <row r="27" customFormat="false" ht="15" hidden="false" customHeight="false" outlineLevel="0" collapsed="false">
      <c r="B27" s="20" t="s">
        <v>615</v>
      </c>
      <c r="C27" s="20" t="s">
        <v>616</v>
      </c>
      <c r="D27" s="20" t="s">
        <v>205</v>
      </c>
      <c r="E27" s="20" t="s">
        <v>157</v>
      </c>
      <c r="F27" s="25" t="n">
        <v>0.145061425061425</v>
      </c>
      <c r="G27" s="20" t="n">
        <v>407</v>
      </c>
      <c r="H27" s="21" t="n">
        <v>47964.95</v>
      </c>
      <c r="I27" s="20" t="s">
        <v>917</v>
      </c>
    </row>
    <row r="28" customFormat="false" ht="15" hidden="false" customHeight="false" outlineLevel="0" collapsed="false">
      <c r="B28" s="20" t="s">
        <v>197</v>
      </c>
      <c r="C28" s="20" t="s">
        <v>198</v>
      </c>
      <c r="D28" s="20" t="s">
        <v>199</v>
      </c>
      <c r="E28" s="20" t="s">
        <v>157</v>
      </c>
      <c r="F28" s="25" t="n">
        <v>0.197007874015748</v>
      </c>
      <c r="G28" s="20" t="n">
        <v>254</v>
      </c>
      <c r="H28" s="21" t="n">
        <v>34142.68</v>
      </c>
      <c r="I28" s="20" t="s">
        <v>917</v>
      </c>
    </row>
    <row r="29" customFormat="false" ht="15" hidden="false" customHeight="false" outlineLevel="0" collapsed="false">
      <c r="B29" s="20" t="s">
        <v>624</v>
      </c>
      <c r="C29" s="20" t="s">
        <v>625</v>
      </c>
      <c r="D29" s="20" t="s">
        <v>324</v>
      </c>
      <c r="E29" s="20" t="s">
        <v>200</v>
      </c>
      <c r="F29" s="25" t="n">
        <v>1.0790243902439</v>
      </c>
      <c r="G29" s="20" t="n">
        <v>2214</v>
      </c>
      <c r="H29" s="21" t="n">
        <v>31505.22</v>
      </c>
      <c r="I29" s="20" t="s">
        <v>917</v>
      </c>
    </row>
    <row r="30" customFormat="false" ht="15" hidden="false" customHeight="false" outlineLevel="0" collapsed="false">
      <c r="B30" s="20" t="s">
        <v>619</v>
      </c>
      <c r="C30" s="20" t="s">
        <v>620</v>
      </c>
      <c r="D30" s="20" t="s">
        <v>190</v>
      </c>
      <c r="E30" s="20" t="s">
        <v>157</v>
      </c>
      <c r="F30" s="25" t="n">
        <v>0.433846153846154</v>
      </c>
      <c r="G30" s="20" t="n">
        <v>143</v>
      </c>
      <c r="H30" s="21" t="n">
        <v>27931.58654</v>
      </c>
      <c r="I30" s="20" t="s">
        <v>917</v>
      </c>
    </row>
    <row r="31" customFormat="false" ht="15" hidden="false" customHeight="false" outlineLevel="0" collapsed="false">
      <c r="B31" s="20" t="s">
        <v>655</v>
      </c>
      <c r="C31" s="20" t="s">
        <v>656</v>
      </c>
      <c r="D31" s="20" t="s">
        <v>199</v>
      </c>
      <c r="E31" s="20" t="s">
        <v>214</v>
      </c>
      <c r="F31" s="25" t="n">
        <v>1.64218181818182</v>
      </c>
      <c r="G31" s="20" t="n">
        <v>165</v>
      </c>
      <c r="H31" s="21" t="n">
        <v>27464.60145</v>
      </c>
      <c r="I31" s="20" t="s">
        <v>917</v>
      </c>
    </row>
    <row r="32" customFormat="false" ht="15" hidden="false" customHeight="false" outlineLevel="0" collapsed="false">
      <c r="B32" s="20" t="s">
        <v>626</v>
      </c>
      <c r="C32" s="20" t="s">
        <v>627</v>
      </c>
      <c r="D32" s="20" t="s">
        <v>224</v>
      </c>
      <c r="E32" s="20" t="s">
        <v>157</v>
      </c>
      <c r="F32" s="25" t="n">
        <v>0.105470852017937</v>
      </c>
      <c r="G32" s="20" t="n">
        <v>446</v>
      </c>
      <c r="H32" s="21" t="n">
        <v>26911.64</v>
      </c>
      <c r="I32" s="20" t="s">
        <v>917</v>
      </c>
    </row>
    <row r="33" customFormat="false" ht="15" hidden="false" customHeight="false" outlineLevel="0" collapsed="false">
      <c r="B33" s="20" t="s">
        <v>642</v>
      </c>
      <c r="C33" s="20" t="s">
        <v>643</v>
      </c>
      <c r="D33" s="20" t="s">
        <v>614</v>
      </c>
      <c r="E33" s="20" t="s">
        <v>200</v>
      </c>
      <c r="F33" s="25" t="n">
        <v>0.838235294117647</v>
      </c>
      <c r="G33" s="20" t="n">
        <v>136</v>
      </c>
      <c r="H33" s="21" t="n">
        <v>24804.6388</v>
      </c>
      <c r="I33" s="20" t="s">
        <v>917</v>
      </c>
    </row>
    <row r="34" customFormat="false" ht="15" hidden="false" customHeight="false" outlineLevel="0" collapsed="false">
      <c r="B34" s="20" t="s">
        <v>918</v>
      </c>
      <c r="C34" s="20" t="s">
        <v>919</v>
      </c>
      <c r="D34" s="20" t="s">
        <v>224</v>
      </c>
      <c r="E34" s="20" t="s">
        <v>157</v>
      </c>
      <c r="F34" s="25" t="n">
        <v>0.732857142857143</v>
      </c>
      <c r="G34" s="20" t="n">
        <v>56</v>
      </c>
      <c r="H34" s="21" t="n">
        <v>24796.52</v>
      </c>
      <c r="I34" s="20" t="s">
        <v>917</v>
      </c>
    </row>
    <row r="35" customFormat="false" ht="15" hidden="false" customHeight="false" outlineLevel="0" collapsed="false">
      <c r="B35" s="20" t="s">
        <v>650</v>
      </c>
      <c r="C35" s="20" t="s">
        <v>223</v>
      </c>
      <c r="D35" s="20" t="s">
        <v>224</v>
      </c>
      <c r="E35" s="20" t="s">
        <v>214</v>
      </c>
      <c r="F35" s="25" t="n">
        <v>1.14193548387097</v>
      </c>
      <c r="G35" s="20" t="n">
        <v>155</v>
      </c>
      <c r="H35" s="21" t="n">
        <v>21511.976475</v>
      </c>
      <c r="I35" s="20" t="s">
        <v>917</v>
      </c>
    </row>
    <row r="36" customFormat="false" ht="15" hidden="false" customHeight="false" outlineLevel="0" collapsed="false">
      <c r="B36" s="20" t="s">
        <v>651</v>
      </c>
      <c r="C36" s="20" t="s">
        <v>652</v>
      </c>
      <c r="D36" s="20" t="s">
        <v>156</v>
      </c>
      <c r="E36" s="20" t="s">
        <v>157</v>
      </c>
      <c r="F36" s="25" t="n">
        <v>1.67578947368421</v>
      </c>
      <c r="G36" s="20" t="n">
        <v>114</v>
      </c>
      <c r="H36" s="21" t="n">
        <v>18762.67461</v>
      </c>
      <c r="I36" s="20" t="s">
        <v>917</v>
      </c>
    </row>
    <row r="37" customFormat="false" ht="15" hidden="false" customHeight="false" outlineLevel="0" collapsed="false">
      <c r="B37" s="20" t="s">
        <v>920</v>
      </c>
      <c r="C37" s="20" t="s">
        <v>921</v>
      </c>
      <c r="D37" s="20" t="s">
        <v>208</v>
      </c>
      <c r="E37" s="20" t="s">
        <v>200</v>
      </c>
      <c r="F37" s="25" t="n">
        <v>1.82142857142857</v>
      </c>
      <c r="G37" s="20" t="n">
        <v>28</v>
      </c>
      <c r="H37" s="21" t="n">
        <v>16816.24</v>
      </c>
      <c r="I37" s="20" t="s">
        <v>917</v>
      </c>
    </row>
    <row r="38" customFormat="false" ht="15" hidden="false" customHeight="false" outlineLevel="0" collapsed="false">
      <c r="B38" s="20" t="s">
        <v>677</v>
      </c>
      <c r="C38" s="20" t="s">
        <v>678</v>
      </c>
      <c r="D38" s="20" t="s">
        <v>224</v>
      </c>
      <c r="E38" s="20" t="s">
        <v>200</v>
      </c>
      <c r="F38" s="25" t="n">
        <v>0.444279069767442</v>
      </c>
      <c r="G38" s="20" t="n">
        <v>430</v>
      </c>
      <c r="H38" s="21" t="n">
        <v>14537.6679</v>
      </c>
      <c r="I38" s="20" t="s">
        <v>917</v>
      </c>
    </row>
    <row r="39" customFormat="false" ht="15" hidden="false" customHeight="false" outlineLevel="0" collapsed="false">
      <c r="B39" s="20" t="s">
        <v>215</v>
      </c>
      <c r="C39" s="20" t="s">
        <v>216</v>
      </c>
      <c r="D39" s="20" t="s">
        <v>199</v>
      </c>
      <c r="E39" s="20" t="s">
        <v>200</v>
      </c>
      <c r="F39" s="25" t="n">
        <v>0.273669064748201</v>
      </c>
      <c r="G39" s="20" t="n">
        <v>139</v>
      </c>
      <c r="H39" s="21" t="n">
        <v>13186.35454</v>
      </c>
      <c r="I39" s="20" t="s">
        <v>917</v>
      </c>
    </row>
    <row r="40" customFormat="false" ht="15" hidden="false" customHeight="false" outlineLevel="0" collapsed="false">
      <c r="B40" s="20" t="s">
        <v>697</v>
      </c>
      <c r="C40" s="20" t="s">
        <v>698</v>
      </c>
      <c r="D40" s="20" t="s">
        <v>671</v>
      </c>
      <c r="E40" s="20" t="s">
        <v>157</v>
      </c>
      <c r="F40" s="25" t="n">
        <v>1.11204968944099</v>
      </c>
      <c r="G40" s="20" t="n">
        <v>161</v>
      </c>
      <c r="H40" s="21" t="n">
        <v>13134.04029</v>
      </c>
      <c r="I40" s="20" t="s">
        <v>917</v>
      </c>
    </row>
    <row r="41" customFormat="false" ht="15" hidden="false" customHeight="false" outlineLevel="0" collapsed="false">
      <c r="B41" s="20" t="s">
        <v>712</v>
      </c>
      <c r="C41" s="20" t="s">
        <v>713</v>
      </c>
      <c r="D41" s="20" t="s">
        <v>199</v>
      </c>
      <c r="E41" s="20" t="s">
        <v>214</v>
      </c>
      <c r="F41" s="25" t="n">
        <v>0.216056338028169</v>
      </c>
      <c r="G41" s="20" t="n">
        <v>426</v>
      </c>
      <c r="H41" s="21" t="n">
        <v>12882.24</v>
      </c>
      <c r="I41" s="20" t="s">
        <v>917</v>
      </c>
    </row>
    <row r="42" customFormat="false" ht="15" hidden="false" customHeight="false" outlineLevel="0" collapsed="false">
      <c r="B42" s="20" t="s">
        <v>752</v>
      </c>
      <c r="C42" s="20" t="s">
        <v>753</v>
      </c>
      <c r="D42" s="20" t="s">
        <v>199</v>
      </c>
      <c r="E42" s="20" t="s">
        <v>200</v>
      </c>
      <c r="F42" s="25" t="n">
        <v>0.911681415929204</v>
      </c>
      <c r="G42" s="20" t="n">
        <v>226</v>
      </c>
      <c r="H42" s="21" t="n">
        <v>12611.3198</v>
      </c>
      <c r="I42" s="20" t="s">
        <v>917</v>
      </c>
    </row>
    <row r="43" customFormat="false" ht="15" hidden="false" customHeight="false" outlineLevel="0" collapsed="false">
      <c r="B43" s="20" t="s">
        <v>922</v>
      </c>
      <c r="C43" s="20" t="s">
        <v>923</v>
      </c>
      <c r="D43" s="20" t="s">
        <v>924</v>
      </c>
      <c r="E43" s="20" t="s">
        <v>157</v>
      </c>
      <c r="F43" s="25" t="n">
        <v>1.25</v>
      </c>
      <c r="G43" s="20" t="n">
        <v>72</v>
      </c>
      <c r="H43" s="21" t="n">
        <v>12517.92</v>
      </c>
      <c r="I43" s="20" t="s">
        <v>917</v>
      </c>
    </row>
    <row r="44" customFormat="false" ht="15" hidden="false" customHeight="false" outlineLevel="0" collapsed="false">
      <c r="B44" s="20" t="s">
        <v>705</v>
      </c>
      <c r="C44" s="20" t="s">
        <v>706</v>
      </c>
      <c r="D44" s="20" t="s">
        <v>614</v>
      </c>
      <c r="E44" s="20" t="s">
        <v>214</v>
      </c>
      <c r="F44" s="25" t="n">
        <v>1.28879541108987</v>
      </c>
      <c r="G44" s="20" t="n">
        <v>523</v>
      </c>
      <c r="H44" s="21" t="n">
        <v>12238.2</v>
      </c>
      <c r="I44" s="20" t="s">
        <v>917</v>
      </c>
    </row>
    <row r="45" customFormat="false" ht="15" hidden="false" customHeight="false" outlineLevel="0" collapsed="false">
      <c r="B45" s="20" t="s">
        <v>769</v>
      </c>
      <c r="C45" s="20" t="s">
        <v>770</v>
      </c>
      <c r="D45" s="20" t="s">
        <v>219</v>
      </c>
      <c r="E45" s="20" t="s">
        <v>157</v>
      </c>
      <c r="F45" s="25" t="n">
        <v>1.68</v>
      </c>
      <c r="G45" s="20" t="n">
        <v>3</v>
      </c>
      <c r="H45" s="21" t="n">
        <v>12219.14001</v>
      </c>
      <c r="I45" s="20" t="s">
        <v>917</v>
      </c>
    </row>
    <row r="46" customFormat="false" ht="15" hidden="false" customHeight="false" outlineLevel="0" collapsed="false">
      <c r="B46" s="20" t="s">
        <v>925</v>
      </c>
      <c r="C46" s="20" t="s">
        <v>772</v>
      </c>
      <c r="D46" s="20" t="s">
        <v>808</v>
      </c>
      <c r="E46" s="20" t="s">
        <v>214</v>
      </c>
      <c r="F46" s="25" t="n">
        <v>1.90707236842105</v>
      </c>
      <c r="G46" s="20" t="n">
        <v>1216</v>
      </c>
      <c r="H46" s="21" t="n">
        <v>12026.24</v>
      </c>
      <c r="I46" s="20" t="s">
        <v>917</v>
      </c>
    </row>
    <row r="47" customFormat="false" ht="15" hidden="false" customHeight="false" outlineLevel="0" collapsed="false">
      <c r="B47" s="20" t="s">
        <v>926</v>
      </c>
      <c r="C47" s="20" t="s">
        <v>927</v>
      </c>
      <c r="D47" s="20" t="s">
        <v>151</v>
      </c>
      <c r="E47" s="20" t="s">
        <v>200</v>
      </c>
      <c r="F47" s="25" t="n">
        <v>1.33</v>
      </c>
      <c r="G47" s="20" t="n">
        <v>12</v>
      </c>
      <c r="H47" s="21" t="n">
        <v>11959.92</v>
      </c>
      <c r="I47" s="20" t="s">
        <v>917</v>
      </c>
    </row>
    <row r="48" customFormat="false" ht="15" hidden="false" customHeight="false" outlineLevel="0" collapsed="false">
      <c r="B48" s="20" t="s">
        <v>803</v>
      </c>
      <c r="C48" s="20" t="s">
        <v>317</v>
      </c>
      <c r="D48" s="20" t="s">
        <v>224</v>
      </c>
      <c r="E48" s="20" t="s">
        <v>157</v>
      </c>
      <c r="F48" s="25" t="n">
        <v>1.51148936170213</v>
      </c>
      <c r="G48" s="20" t="n">
        <v>47</v>
      </c>
      <c r="H48" s="21" t="n">
        <v>10022.28</v>
      </c>
      <c r="I48" s="20" t="s">
        <v>917</v>
      </c>
    </row>
    <row r="49" customFormat="false" ht="15" hidden="false" customHeight="false" outlineLevel="0" collapsed="false">
      <c r="B49" s="20" t="s">
        <v>874</v>
      </c>
      <c r="C49" s="20" t="s">
        <v>875</v>
      </c>
      <c r="D49" s="20" t="s">
        <v>199</v>
      </c>
      <c r="E49" s="20" t="s">
        <v>157</v>
      </c>
      <c r="F49" s="25" t="n">
        <v>0.283235294117647</v>
      </c>
      <c r="G49" s="20" t="n">
        <v>272</v>
      </c>
      <c r="H49" s="21" t="n">
        <v>9582.04728</v>
      </c>
      <c r="I49" s="20" t="s">
        <v>917</v>
      </c>
    </row>
    <row r="50" customFormat="false" ht="15" hidden="false" customHeight="false" outlineLevel="0" collapsed="false">
      <c r="B50" s="20" t="s">
        <v>893</v>
      </c>
      <c r="C50" s="20" t="s">
        <v>894</v>
      </c>
      <c r="D50" s="20" t="s">
        <v>895</v>
      </c>
      <c r="E50" s="20" t="s">
        <v>214</v>
      </c>
      <c r="F50" s="25" t="n">
        <v>1.52353673723537</v>
      </c>
      <c r="G50" s="20" t="n">
        <v>4015</v>
      </c>
      <c r="H50" s="21" t="n">
        <v>9359.0453</v>
      </c>
      <c r="I50" s="20" t="s">
        <v>917</v>
      </c>
    </row>
    <row r="51" customFormat="false" ht="15" hidden="false" customHeight="false" outlineLevel="0" collapsed="false">
      <c r="B51" s="20" t="s">
        <v>834</v>
      </c>
      <c r="C51" s="20" t="s">
        <v>835</v>
      </c>
      <c r="D51" s="20" t="s">
        <v>190</v>
      </c>
      <c r="E51" s="20" t="s">
        <v>157</v>
      </c>
      <c r="F51" s="25" t="n">
        <v>1.5</v>
      </c>
      <c r="G51" s="20" t="n">
        <v>8</v>
      </c>
      <c r="H51" s="21" t="n">
        <v>8728.712</v>
      </c>
      <c r="I51" s="20" t="s">
        <v>917</v>
      </c>
    </row>
    <row r="52" customFormat="false" ht="15" hidden="false" customHeight="false" outlineLevel="0" collapsed="false">
      <c r="B52" s="20" t="s">
        <v>766</v>
      </c>
      <c r="C52" s="20" t="s">
        <v>767</v>
      </c>
      <c r="D52" s="20" t="s">
        <v>224</v>
      </c>
      <c r="E52" s="20" t="s">
        <v>157</v>
      </c>
      <c r="F52" s="25" t="n">
        <v>1.72727272727273</v>
      </c>
      <c r="G52" s="20" t="n">
        <v>33</v>
      </c>
      <c r="H52" s="21" t="n">
        <v>8225.19687</v>
      </c>
      <c r="I52" s="20" t="s">
        <v>917</v>
      </c>
    </row>
    <row r="53" customFormat="false" ht="15" hidden="false" customHeight="false" outlineLevel="0" collapsed="false">
      <c r="B53" s="20" t="s">
        <v>787</v>
      </c>
      <c r="C53" s="20" t="s">
        <v>788</v>
      </c>
      <c r="D53" s="20" t="s">
        <v>663</v>
      </c>
      <c r="E53" s="20" t="s">
        <v>214</v>
      </c>
      <c r="F53" s="25" t="n">
        <v>1.89563106796117</v>
      </c>
      <c r="G53" s="20" t="n">
        <v>1236</v>
      </c>
      <c r="H53" s="21" t="n">
        <v>7955.86008</v>
      </c>
      <c r="I53" s="20" t="s">
        <v>917</v>
      </c>
    </row>
    <row r="54" customFormat="false" ht="15" hidden="false" customHeight="false" outlineLevel="0" collapsed="false">
      <c r="B54" s="20" t="s">
        <v>823</v>
      </c>
      <c r="C54" s="20" t="s">
        <v>824</v>
      </c>
      <c r="D54" s="20" t="s">
        <v>156</v>
      </c>
      <c r="E54" s="20" t="s">
        <v>200</v>
      </c>
      <c r="F54" s="25" t="n">
        <v>1.54739010989011</v>
      </c>
      <c r="G54" s="20" t="n">
        <v>1456</v>
      </c>
      <c r="H54" s="21" t="n">
        <v>7590.40464</v>
      </c>
      <c r="I54" s="20" t="s">
        <v>917</v>
      </c>
    </row>
    <row r="55" customFormat="false" ht="15" hidden="false" customHeight="false" outlineLevel="0" collapsed="false">
      <c r="B55" s="20" t="s">
        <v>872</v>
      </c>
      <c r="C55" s="20" t="s">
        <v>873</v>
      </c>
      <c r="D55" s="20" t="s">
        <v>199</v>
      </c>
      <c r="E55" s="20" t="s">
        <v>200</v>
      </c>
      <c r="F55" s="25" t="n">
        <v>1.35473684210526</v>
      </c>
      <c r="G55" s="20" t="n">
        <v>76</v>
      </c>
      <c r="H55" s="21" t="n">
        <v>7413.04</v>
      </c>
      <c r="I55" s="20" t="s">
        <v>917</v>
      </c>
    </row>
    <row r="56" customFormat="false" ht="15" hidden="false" customHeight="false" outlineLevel="0" collapsed="false">
      <c r="B56" s="20" t="s">
        <v>806</v>
      </c>
      <c r="C56" s="20" t="s">
        <v>807</v>
      </c>
      <c r="D56" s="20" t="s">
        <v>808</v>
      </c>
      <c r="E56" s="20" t="s">
        <v>200</v>
      </c>
      <c r="F56" s="25" t="n">
        <v>0.18006586169045</v>
      </c>
      <c r="G56" s="20" t="n">
        <v>911</v>
      </c>
      <c r="H56" s="21" t="n">
        <v>7300.22562</v>
      </c>
      <c r="I56" s="20" t="s">
        <v>917</v>
      </c>
    </row>
    <row r="57" customFormat="false" ht="15" hidden="false" customHeight="false" outlineLevel="0" collapsed="false">
      <c r="B57" s="20" t="s">
        <v>827</v>
      </c>
      <c r="C57" s="20" t="s">
        <v>828</v>
      </c>
      <c r="D57" s="20" t="s">
        <v>829</v>
      </c>
      <c r="E57" s="20" t="s">
        <v>214</v>
      </c>
      <c r="F57" s="25" t="n">
        <v>1.8992507204611</v>
      </c>
      <c r="G57" s="20" t="n">
        <v>347</v>
      </c>
      <c r="H57" s="21" t="n">
        <v>7156.82295</v>
      </c>
      <c r="I57" s="20" t="s">
        <v>917</v>
      </c>
    </row>
    <row r="58" customFormat="false" ht="15" hidden="false" customHeight="false" outlineLevel="0" collapsed="false">
      <c r="B58" s="20" t="s">
        <v>928</v>
      </c>
      <c r="C58" s="20" t="s">
        <v>929</v>
      </c>
      <c r="D58" s="20" t="s">
        <v>895</v>
      </c>
      <c r="E58" s="20" t="s">
        <v>200</v>
      </c>
      <c r="F58" s="25" t="n">
        <v>0.199578555934304</v>
      </c>
      <c r="G58" s="20" t="n">
        <v>3227</v>
      </c>
      <c r="H58" s="21" t="n">
        <v>6990.42421</v>
      </c>
      <c r="I58" s="20" t="s">
        <v>917</v>
      </c>
    </row>
    <row r="59" customFormat="false" ht="15" hidden="false" customHeight="false" outlineLevel="0" collapsed="false">
      <c r="B59" s="20" t="s">
        <v>930</v>
      </c>
      <c r="C59" s="20" t="s">
        <v>931</v>
      </c>
      <c r="D59" s="20" t="s">
        <v>196</v>
      </c>
      <c r="E59" s="20" t="s">
        <v>157</v>
      </c>
      <c r="F59" s="25" t="n">
        <v>1.54909090909091</v>
      </c>
      <c r="G59" s="20" t="n">
        <v>11</v>
      </c>
      <c r="H59" s="21" t="n">
        <v>6702.52022</v>
      </c>
      <c r="I59" s="20" t="s">
        <v>917</v>
      </c>
    </row>
    <row r="60" customFormat="false" ht="15" hidden="false" customHeight="false" outlineLevel="0" collapsed="false">
      <c r="B60" s="20" t="s">
        <v>932</v>
      </c>
      <c r="C60" s="20" t="s">
        <v>933</v>
      </c>
      <c r="D60" s="20" t="s">
        <v>199</v>
      </c>
      <c r="E60" s="20" t="s">
        <v>200</v>
      </c>
      <c r="F60" s="25" t="n">
        <v>0.207439024390244</v>
      </c>
      <c r="G60" s="20" t="n">
        <v>328</v>
      </c>
      <c r="H60" s="21" t="n">
        <v>6330.4</v>
      </c>
      <c r="I60" s="20" t="s">
        <v>917</v>
      </c>
    </row>
    <row r="61" customFormat="false" ht="15" hidden="false" customHeight="false" outlineLevel="0" collapsed="false">
      <c r="B61" s="20" t="s">
        <v>934</v>
      </c>
      <c r="C61" s="20" t="s">
        <v>935</v>
      </c>
      <c r="D61" s="20" t="s">
        <v>396</v>
      </c>
      <c r="E61" s="20" t="s">
        <v>157</v>
      </c>
      <c r="F61" s="25" t="n">
        <v>1.2384</v>
      </c>
      <c r="G61" s="20" t="n">
        <v>25</v>
      </c>
      <c r="H61" s="21" t="n">
        <v>6295.08925</v>
      </c>
      <c r="I61" s="20" t="s">
        <v>917</v>
      </c>
    </row>
    <row r="62" customFormat="false" ht="15" hidden="false" customHeight="false" outlineLevel="0" collapsed="false">
      <c r="B62" s="20" t="s">
        <v>936</v>
      </c>
      <c r="C62" s="20" t="s">
        <v>937</v>
      </c>
      <c r="D62" s="20" t="s">
        <v>208</v>
      </c>
      <c r="E62" s="20" t="s">
        <v>157</v>
      </c>
      <c r="F62" s="25" t="n">
        <v>1.84</v>
      </c>
      <c r="G62" s="20" t="n">
        <v>6</v>
      </c>
      <c r="H62" s="21" t="n">
        <v>6268.05</v>
      </c>
      <c r="I62" s="20" t="s">
        <v>917</v>
      </c>
    </row>
    <row r="63" customFormat="false" ht="15" hidden="false" customHeight="false" outlineLevel="0" collapsed="false">
      <c r="B63" s="20" t="s">
        <v>938</v>
      </c>
      <c r="C63" s="20" t="s">
        <v>939</v>
      </c>
      <c r="D63" s="20" t="s">
        <v>623</v>
      </c>
      <c r="E63" s="20" t="s">
        <v>157</v>
      </c>
      <c r="F63" s="25" t="n">
        <v>1.35966527196653</v>
      </c>
      <c r="G63" s="20" t="n">
        <v>239</v>
      </c>
      <c r="H63" s="21" t="n">
        <v>6141.31293</v>
      </c>
      <c r="I63" s="20" t="s">
        <v>917</v>
      </c>
    </row>
    <row r="64" customFormat="false" ht="15" hidden="false" customHeight="false" outlineLevel="0" collapsed="false">
      <c r="B64" s="20" t="s">
        <v>940</v>
      </c>
      <c r="C64" s="20" t="s">
        <v>941</v>
      </c>
      <c r="D64" s="20" t="s">
        <v>164</v>
      </c>
      <c r="E64" s="20" t="s">
        <v>157</v>
      </c>
      <c r="F64" s="25" t="n">
        <v>1.5216</v>
      </c>
      <c r="G64" s="20" t="n">
        <v>25</v>
      </c>
      <c r="H64" s="21" t="n">
        <v>6000.75</v>
      </c>
      <c r="I64" s="20" t="s">
        <v>917</v>
      </c>
    </row>
    <row r="65" customFormat="false" ht="15" hidden="false" customHeight="false" outlineLevel="0" collapsed="false">
      <c r="B65" s="20" t="s">
        <v>882</v>
      </c>
      <c r="C65" s="20" t="s">
        <v>883</v>
      </c>
      <c r="D65" s="20" t="s">
        <v>635</v>
      </c>
      <c r="E65" s="20" t="s">
        <v>157</v>
      </c>
      <c r="F65" s="25" t="n">
        <v>0.75</v>
      </c>
      <c r="G65" s="20" t="n">
        <v>40</v>
      </c>
      <c r="H65" s="21" t="n">
        <v>5555.2</v>
      </c>
      <c r="I65" s="20" t="s">
        <v>917</v>
      </c>
    </row>
    <row r="66" customFormat="false" ht="15" hidden="false" customHeight="false" outlineLevel="0" collapsed="false">
      <c r="B66" s="20" t="s">
        <v>942</v>
      </c>
      <c r="C66" s="20" t="s">
        <v>943</v>
      </c>
      <c r="D66" s="20" t="s">
        <v>829</v>
      </c>
      <c r="E66" s="20" t="s">
        <v>200</v>
      </c>
      <c r="F66" s="25" t="n">
        <v>1.04048261178141</v>
      </c>
      <c r="G66" s="20" t="n">
        <v>1409</v>
      </c>
      <c r="H66" s="21" t="n">
        <v>5481.01</v>
      </c>
      <c r="I66" s="20" t="s">
        <v>917</v>
      </c>
    </row>
    <row r="67" customFormat="false" ht="15" hidden="false" customHeight="false" outlineLevel="0" collapsed="false">
      <c r="B67" s="20" t="s">
        <v>944</v>
      </c>
      <c r="C67" s="20" t="s">
        <v>945</v>
      </c>
      <c r="D67" s="20" t="s">
        <v>829</v>
      </c>
      <c r="E67" s="20" t="s">
        <v>200</v>
      </c>
      <c r="F67" s="25" t="n">
        <v>0.400294117647059</v>
      </c>
      <c r="G67" s="20" t="n">
        <v>1224</v>
      </c>
      <c r="H67" s="21" t="n">
        <v>5110.2</v>
      </c>
      <c r="I67" s="20" t="s">
        <v>917</v>
      </c>
    </row>
    <row r="68" customFormat="false" ht="15" hidden="false" customHeight="false" outlineLevel="0" collapsed="false">
      <c r="B68" s="20" t="s">
        <v>946</v>
      </c>
      <c r="C68" s="20" t="s">
        <v>335</v>
      </c>
      <c r="D68" s="20" t="s">
        <v>224</v>
      </c>
      <c r="E68" s="20" t="s">
        <v>157</v>
      </c>
      <c r="F68" s="25" t="n">
        <v>1.05293233082707</v>
      </c>
      <c r="G68" s="20" t="n">
        <v>133</v>
      </c>
      <c r="H68" s="21" t="n">
        <v>5083.925</v>
      </c>
      <c r="I68" s="20" t="s">
        <v>917</v>
      </c>
    </row>
    <row r="69" customFormat="false" ht="15" hidden="false" customHeight="false" outlineLevel="0" collapsed="false">
      <c r="B69" s="20" t="s">
        <v>947</v>
      </c>
      <c r="C69" s="20" t="s">
        <v>948</v>
      </c>
      <c r="D69" s="20" t="s">
        <v>895</v>
      </c>
      <c r="E69" s="20" t="s">
        <v>200</v>
      </c>
      <c r="F69" s="25" t="n">
        <v>1.4058269441402</v>
      </c>
      <c r="G69" s="20" t="n">
        <v>1826</v>
      </c>
      <c r="H69" s="21" t="n">
        <v>5054.368</v>
      </c>
      <c r="I69" s="20" t="s">
        <v>917</v>
      </c>
    </row>
    <row r="70" customFormat="false" ht="15" hidden="false" customHeight="false" outlineLevel="0" collapsed="false">
      <c r="B70" s="20" t="s">
        <v>949</v>
      </c>
      <c r="C70" s="20" t="s">
        <v>950</v>
      </c>
      <c r="D70" s="20" t="s">
        <v>951</v>
      </c>
      <c r="E70" s="20" t="s">
        <v>157</v>
      </c>
      <c r="F70" s="25" t="n">
        <v>1</v>
      </c>
      <c r="G70" s="20" t="n">
        <v>9</v>
      </c>
      <c r="H70" s="21" t="n">
        <v>4998.08331</v>
      </c>
      <c r="I70" s="20" t="s">
        <v>917</v>
      </c>
    </row>
    <row r="71" customFormat="false" ht="15" hidden="false" customHeight="false" outlineLevel="0" collapsed="false">
      <c r="B71" s="20" t="s">
        <v>952</v>
      </c>
      <c r="C71" s="20" t="s">
        <v>953</v>
      </c>
      <c r="D71" s="20" t="s">
        <v>954</v>
      </c>
      <c r="E71" s="20" t="s">
        <v>157</v>
      </c>
      <c r="F71" s="25" t="n">
        <v>1.536</v>
      </c>
      <c r="G71" s="20" t="n">
        <v>15</v>
      </c>
      <c r="H71" s="21" t="n">
        <v>4899.5571</v>
      </c>
      <c r="I71" s="20" t="s">
        <v>917</v>
      </c>
    </row>
    <row r="72" customFormat="false" ht="15" hidden="false" customHeight="false" outlineLevel="0" collapsed="false">
      <c r="B72" s="20" t="s">
        <v>955</v>
      </c>
      <c r="C72" s="20" t="s">
        <v>748</v>
      </c>
      <c r="D72" s="20" t="s">
        <v>224</v>
      </c>
      <c r="E72" s="20" t="s">
        <v>157</v>
      </c>
      <c r="F72" s="25" t="n">
        <v>1.90909090909091</v>
      </c>
      <c r="G72" s="20" t="n">
        <v>22</v>
      </c>
      <c r="H72" s="21" t="n">
        <v>4897.71326</v>
      </c>
      <c r="I72" s="20" t="s">
        <v>917</v>
      </c>
    </row>
    <row r="73" customFormat="false" ht="15" hidden="false" customHeight="false" outlineLevel="0" collapsed="false">
      <c r="B73" s="20" t="s">
        <v>956</v>
      </c>
      <c r="C73" s="20" t="s">
        <v>957</v>
      </c>
      <c r="D73" s="20" t="s">
        <v>958</v>
      </c>
      <c r="E73" s="20" t="s">
        <v>200</v>
      </c>
      <c r="F73" s="25" t="n">
        <v>1.96301886792453</v>
      </c>
      <c r="G73" s="20" t="n">
        <v>53</v>
      </c>
      <c r="H73" s="21" t="n">
        <v>4876.4717</v>
      </c>
      <c r="I73" s="20" t="s">
        <v>917</v>
      </c>
    </row>
    <row r="74" customFormat="false" ht="15" hidden="false" customHeight="false" outlineLevel="0" collapsed="false">
      <c r="B74" s="20" t="s">
        <v>959</v>
      </c>
      <c r="C74" s="20" t="s">
        <v>960</v>
      </c>
      <c r="D74" s="20" t="s">
        <v>666</v>
      </c>
      <c r="E74" s="20" t="s">
        <v>157</v>
      </c>
      <c r="F74" s="25" t="n">
        <v>0.288923076923077</v>
      </c>
      <c r="G74" s="20" t="n">
        <v>1170</v>
      </c>
      <c r="H74" s="21" t="n">
        <v>4769.7039</v>
      </c>
      <c r="I74" s="20" t="s">
        <v>917</v>
      </c>
    </row>
    <row r="75" customFormat="false" ht="15" hidden="false" customHeight="false" outlineLevel="0" collapsed="false">
      <c r="B75" s="20" t="s">
        <v>961</v>
      </c>
      <c r="C75" s="20" t="s">
        <v>962</v>
      </c>
      <c r="D75" s="20" t="s">
        <v>963</v>
      </c>
      <c r="E75" s="20" t="s">
        <v>214</v>
      </c>
      <c r="F75" s="25" t="n">
        <v>0.118070953436807</v>
      </c>
      <c r="G75" s="20" t="n">
        <v>5412</v>
      </c>
      <c r="H75" s="21" t="n">
        <v>4647.44676</v>
      </c>
      <c r="I75" s="20" t="s">
        <v>917</v>
      </c>
    </row>
    <row r="76" customFormat="false" ht="15" hidden="false" customHeight="false" outlineLevel="0" collapsed="false">
      <c r="B76" s="20" t="s">
        <v>964</v>
      </c>
      <c r="C76" s="20" t="s">
        <v>317</v>
      </c>
      <c r="D76" s="20" t="s">
        <v>224</v>
      </c>
      <c r="E76" s="20" t="s">
        <v>200</v>
      </c>
      <c r="F76" s="25" t="n">
        <v>1.875</v>
      </c>
      <c r="G76" s="20" t="n">
        <v>16</v>
      </c>
      <c r="H76" s="21" t="n">
        <v>4606.24</v>
      </c>
      <c r="I76" s="20" t="s">
        <v>917</v>
      </c>
    </row>
    <row r="77" customFormat="false" ht="15" hidden="false" customHeight="false" outlineLevel="0" collapsed="false">
      <c r="B77" s="20" t="s">
        <v>965</v>
      </c>
      <c r="C77" s="20" t="s">
        <v>966</v>
      </c>
      <c r="D77" s="20" t="s">
        <v>208</v>
      </c>
      <c r="E77" s="20" t="s">
        <v>157</v>
      </c>
      <c r="F77" s="25" t="n">
        <v>1.296</v>
      </c>
      <c r="G77" s="20" t="n">
        <v>10</v>
      </c>
      <c r="H77" s="21" t="n">
        <v>4602.1238</v>
      </c>
      <c r="I77" s="20" t="s">
        <v>917</v>
      </c>
    </row>
    <row r="78" customFormat="false" ht="15" hidden="false" customHeight="false" outlineLevel="0" collapsed="false">
      <c r="B78" s="20" t="s">
        <v>967</v>
      </c>
      <c r="C78" s="20" t="s">
        <v>968</v>
      </c>
      <c r="D78" s="20" t="s">
        <v>196</v>
      </c>
      <c r="E78" s="20" t="s">
        <v>157</v>
      </c>
      <c r="F78" s="25" t="n">
        <v>1.72333333333333</v>
      </c>
      <c r="G78" s="20" t="n">
        <v>36</v>
      </c>
      <c r="H78" s="21" t="n">
        <v>4572.7434</v>
      </c>
      <c r="I78" s="20" t="s">
        <v>917</v>
      </c>
    </row>
    <row r="79" customFormat="false" ht="15" hidden="false" customHeight="false" outlineLevel="0" collapsed="false">
      <c r="B79" s="20" t="s">
        <v>969</v>
      </c>
      <c r="C79" s="20" t="s">
        <v>970</v>
      </c>
      <c r="D79" s="20" t="s">
        <v>971</v>
      </c>
      <c r="E79" s="20" t="s">
        <v>157</v>
      </c>
      <c r="F79" s="25" t="n">
        <v>1.14</v>
      </c>
      <c r="G79" s="20" t="n">
        <v>14</v>
      </c>
      <c r="H79" s="21" t="n">
        <v>4571.29848</v>
      </c>
      <c r="I79" s="20" t="s">
        <v>917</v>
      </c>
    </row>
    <row r="80" customFormat="false" ht="15" hidden="false" customHeight="false" outlineLevel="0" collapsed="false">
      <c r="B80" s="20" t="s">
        <v>972</v>
      </c>
      <c r="C80" s="20" t="s">
        <v>973</v>
      </c>
      <c r="D80" s="20" t="s">
        <v>603</v>
      </c>
      <c r="E80" s="20" t="s">
        <v>157</v>
      </c>
      <c r="F80" s="25" t="n">
        <v>1.58</v>
      </c>
      <c r="G80" s="20" t="n">
        <v>12</v>
      </c>
      <c r="H80" s="21" t="n">
        <v>4550.76</v>
      </c>
      <c r="I80" s="20" t="s">
        <v>917</v>
      </c>
    </row>
    <row r="81" customFormat="false" ht="15" hidden="false" customHeight="false" outlineLevel="0" collapsed="false">
      <c r="B81" s="20" t="s">
        <v>974</v>
      </c>
      <c r="C81" s="20" t="s">
        <v>975</v>
      </c>
      <c r="D81" s="20" t="s">
        <v>603</v>
      </c>
      <c r="E81" s="20" t="s">
        <v>157</v>
      </c>
      <c r="F81" s="25" t="n">
        <v>1.27636363636364</v>
      </c>
      <c r="G81" s="20" t="n">
        <v>11</v>
      </c>
      <c r="H81" s="21" t="n">
        <v>4396.50002</v>
      </c>
      <c r="I81" s="20" t="s">
        <v>917</v>
      </c>
    </row>
    <row r="82" customFormat="false" ht="15" hidden="false" customHeight="false" outlineLevel="0" collapsed="false">
      <c r="B82" s="20" t="s">
        <v>976</v>
      </c>
      <c r="C82" s="20" t="s">
        <v>977</v>
      </c>
      <c r="D82" s="20" t="s">
        <v>224</v>
      </c>
      <c r="E82" s="20" t="s">
        <v>157</v>
      </c>
      <c r="F82" s="25" t="n">
        <v>1.70297872340426</v>
      </c>
      <c r="G82" s="20" t="n">
        <v>47</v>
      </c>
      <c r="H82" s="21" t="n">
        <v>4380.4</v>
      </c>
      <c r="I82" s="20" t="s">
        <v>917</v>
      </c>
    </row>
    <row r="83" customFormat="false" ht="15" hidden="false" customHeight="false" outlineLevel="0" collapsed="false">
      <c r="B83" s="20" t="s">
        <v>978</v>
      </c>
      <c r="C83" s="20" t="s">
        <v>979</v>
      </c>
      <c r="D83" s="20" t="s">
        <v>808</v>
      </c>
      <c r="E83" s="20" t="s">
        <v>157</v>
      </c>
      <c r="F83" s="25" t="n">
        <v>0.0652840909090909</v>
      </c>
      <c r="G83" s="20" t="n">
        <v>704</v>
      </c>
      <c r="H83" s="21" t="n">
        <v>4189.91936</v>
      </c>
      <c r="I83" s="20" t="s">
        <v>917</v>
      </c>
    </row>
    <row r="84" customFormat="false" ht="15" hidden="false" customHeight="false" outlineLevel="0" collapsed="false">
      <c r="B84" s="20" t="s">
        <v>980</v>
      </c>
      <c r="C84" s="20" t="s">
        <v>981</v>
      </c>
      <c r="D84" s="20" t="s">
        <v>614</v>
      </c>
      <c r="E84" s="20" t="s">
        <v>200</v>
      </c>
      <c r="F84" s="25" t="n">
        <v>1.41</v>
      </c>
      <c r="G84" s="20" t="n">
        <v>156</v>
      </c>
      <c r="H84" s="21" t="n">
        <v>4105.92</v>
      </c>
      <c r="I84" s="20" t="s">
        <v>917</v>
      </c>
    </row>
    <row r="85" customFormat="false" ht="15" hidden="false" customHeight="false" outlineLevel="0" collapsed="false">
      <c r="B85" s="20" t="s">
        <v>982</v>
      </c>
      <c r="C85" s="20" t="s">
        <v>977</v>
      </c>
      <c r="D85" s="20" t="s">
        <v>224</v>
      </c>
      <c r="E85" s="20" t="s">
        <v>157</v>
      </c>
      <c r="F85" s="25" t="n">
        <v>0.391898734177215</v>
      </c>
      <c r="G85" s="20" t="n">
        <v>79</v>
      </c>
      <c r="H85" s="21" t="n">
        <v>4095.36</v>
      </c>
      <c r="I85" s="20" t="s">
        <v>917</v>
      </c>
    </row>
    <row r="86" customFormat="false" ht="15" hidden="false" customHeight="false" outlineLevel="0" collapsed="false">
      <c r="B86" s="20" t="s">
        <v>983</v>
      </c>
      <c r="C86" s="20" t="s">
        <v>977</v>
      </c>
      <c r="D86" s="20" t="s">
        <v>224</v>
      </c>
      <c r="E86" s="20" t="s">
        <v>200</v>
      </c>
      <c r="F86" s="25" t="n">
        <v>1.57894736842105</v>
      </c>
      <c r="G86" s="20" t="n">
        <v>38</v>
      </c>
      <c r="H86" s="21" t="n">
        <v>4081.55074</v>
      </c>
      <c r="I86" s="20" t="s">
        <v>917</v>
      </c>
    </row>
    <row r="87" customFormat="false" ht="15" hidden="false" customHeight="false" outlineLevel="0" collapsed="false">
      <c r="B87" s="20" t="s">
        <v>984</v>
      </c>
      <c r="C87" s="20" t="s">
        <v>985</v>
      </c>
      <c r="D87" s="20" t="s">
        <v>205</v>
      </c>
      <c r="E87" s="20" t="s">
        <v>157</v>
      </c>
      <c r="F87" s="25" t="n">
        <v>0.281454545454546</v>
      </c>
      <c r="G87" s="20" t="n">
        <v>110</v>
      </c>
      <c r="H87" s="21" t="n">
        <v>3964.004</v>
      </c>
      <c r="I87" s="20" t="s">
        <v>917</v>
      </c>
    </row>
    <row r="88" customFormat="false" ht="15" hidden="false" customHeight="false" outlineLevel="0" collapsed="false">
      <c r="B88" s="20" t="s">
        <v>986</v>
      </c>
      <c r="C88" s="20" t="s">
        <v>535</v>
      </c>
      <c r="D88" s="20" t="s">
        <v>205</v>
      </c>
      <c r="E88" s="20" t="s">
        <v>157</v>
      </c>
      <c r="F88" s="25" t="n">
        <v>1.55368421052632</v>
      </c>
      <c r="G88" s="20" t="n">
        <v>38</v>
      </c>
      <c r="H88" s="21" t="n">
        <v>3842.7576</v>
      </c>
      <c r="I88" s="20" t="s">
        <v>917</v>
      </c>
    </row>
    <row r="89" customFormat="false" ht="15" hidden="false" customHeight="false" outlineLevel="0" collapsed="false">
      <c r="B89" s="20" t="s">
        <v>987</v>
      </c>
      <c r="C89" s="20" t="s">
        <v>988</v>
      </c>
      <c r="D89" s="20" t="s">
        <v>958</v>
      </c>
      <c r="E89" s="20" t="s">
        <v>214</v>
      </c>
      <c r="F89" s="25" t="n">
        <v>0.979591836734694</v>
      </c>
      <c r="G89" s="20" t="n">
        <v>49</v>
      </c>
      <c r="H89" s="21" t="n">
        <v>3800.44</v>
      </c>
      <c r="I89" s="20" t="s">
        <v>917</v>
      </c>
    </row>
    <row r="90" customFormat="false" ht="15" hidden="false" customHeight="false" outlineLevel="0" collapsed="false">
      <c r="B90" s="20" t="s">
        <v>989</v>
      </c>
      <c r="C90" s="20" t="s">
        <v>990</v>
      </c>
      <c r="D90" s="20" t="s">
        <v>196</v>
      </c>
      <c r="E90" s="20" t="s">
        <v>157</v>
      </c>
      <c r="F90" s="25" t="n">
        <v>1.995</v>
      </c>
      <c r="G90" s="20" t="n">
        <v>8</v>
      </c>
      <c r="H90" s="21" t="n">
        <v>3787.35492</v>
      </c>
      <c r="I90" s="20" t="s">
        <v>917</v>
      </c>
    </row>
    <row r="91" customFormat="false" ht="15" hidden="false" customHeight="false" outlineLevel="0" collapsed="false">
      <c r="B91" s="20" t="s">
        <v>991</v>
      </c>
      <c r="C91" s="20" t="s">
        <v>992</v>
      </c>
      <c r="D91" s="20" t="s">
        <v>603</v>
      </c>
      <c r="E91" s="20" t="s">
        <v>157</v>
      </c>
      <c r="F91" s="25" t="n">
        <v>1.77333333333333</v>
      </c>
      <c r="G91" s="20" t="n">
        <v>9</v>
      </c>
      <c r="H91" s="21" t="n">
        <v>3702.586635</v>
      </c>
      <c r="I91" s="20" t="s">
        <v>917</v>
      </c>
    </row>
    <row r="92" customFormat="false" ht="15" hidden="false" customHeight="false" outlineLevel="0" collapsed="false">
      <c r="B92" s="20" t="s">
        <v>993</v>
      </c>
      <c r="C92" s="20" t="s">
        <v>994</v>
      </c>
      <c r="D92" s="20" t="s">
        <v>808</v>
      </c>
      <c r="E92" s="20" t="s">
        <v>214</v>
      </c>
      <c r="F92" s="25" t="n">
        <v>1.44486121530383</v>
      </c>
      <c r="G92" s="20" t="n">
        <v>1333</v>
      </c>
      <c r="H92" s="21" t="n">
        <v>3641.0895</v>
      </c>
      <c r="I92" s="20" t="s">
        <v>917</v>
      </c>
    </row>
    <row r="93" customFormat="false" ht="15" hidden="false" customHeight="false" outlineLevel="0" collapsed="false">
      <c r="B93" s="20" t="s">
        <v>995</v>
      </c>
      <c r="C93" s="20" t="s">
        <v>996</v>
      </c>
      <c r="D93" s="20" t="s">
        <v>199</v>
      </c>
      <c r="E93" s="20" t="s">
        <v>157</v>
      </c>
      <c r="F93" s="25" t="n">
        <v>0.552413793103448</v>
      </c>
      <c r="G93" s="20" t="n">
        <v>58</v>
      </c>
      <c r="H93" s="21" t="n">
        <v>3593.68</v>
      </c>
      <c r="I93" s="20" t="s">
        <v>917</v>
      </c>
    </row>
    <row r="94" customFormat="false" ht="15" hidden="false" customHeight="false" outlineLevel="0" collapsed="false">
      <c r="B94" s="20" t="s">
        <v>997</v>
      </c>
      <c r="C94" s="20" t="s">
        <v>998</v>
      </c>
      <c r="D94" s="20" t="s">
        <v>895</v>
      </c>
      <c r="E94" s="20" t="s">
        <v>200</v>
      </c>
      <c r="F94" s="25" t="n">
        <v>0.606412213740458</v>
      </c>
      <c r="G94" s="20" t="n">
        <v>1179</v>
      </c>
      <c r="H94" s="21" t="n">
        <v>3454.935705</v>
      </c>
      <c r="I94" s="20" t="s">
        <v>917</v>
      </c>
    </row>
    <row r="95" customFormat="false" ht="15" hidden="false" customHeight="false" outlineLevel="0" collapsed="false">
      <c r="B95" s="20" t="s">
        <v>999</v>
      </c>
      <c r="C95" s="20" t="s">
        <v>1000</v>
      </c>
      <c r="D95" s="20" t="s">
        <v>196</v>
      </c>
      <c r="E95" s="20" t="s">
        <v>157</v>
      </c>
      <c r="F95" s="25" t="n">
        <v>1.86545454545455</v>
      </c>
      <c r="G95" s="20" t="n">
        <v>22</v>
      </c>
      <c r="H95" s="21" t="n">
        <v>3321.98108</v>
      </c>
      <c r="I95" s="20" t="s">
        <v>917</v>
      </c>
    </row>
    <row r="96" customFormat="false" ht="15" hidden="false" customHeight="false" outlineLevel="0" collapsed="false">
      <c r="B96" s="20" t="s">
        <v>1001</v>
      </c>
      <c r="C96" s="20" t="s">
        <v>1002</v>
      </c>
      <c r="D96" s="20" t="s">
        <v>829</v>
      </c>
      <c r="E96" s="20" t="s">
        <v>200</v>
      </c>
      <c r="F96" s="25" t="n">
        <v>1.69894736842105</v>
      </c>
      <c r="G96" s="20" t="n">
        <v>133</v>
      </c>
      <c r="H96" s="21" t="n">
        <v>3309.64515</v>
      </c>
      <c r="I96" s="20" t="s">
        <v>917</v>
      </c>
    </row>
    <row r="97" customFormat="false" ht="15" hidden="false" customHeight="false" outlineLevel="0" collapsed="false">
      <c r="B97" s="20" t="s">
        <v>1003</v>
      </c>
      <c r="C97" s="20" t="s">
        <v>1004</v>
      </c>
      <c r="D97" s="20" t="s">
        <v>951</v>
      </c>
      <c r="E97" s="20" t="s">
        <v>157</v>
      </c>
      <c r="F97" s="25" t="n">
        <v>0.849230769230769</v>
      </c>
      <c r="G97" s="20" t="n">
        <v>13</v>
      </c>
      <c r="H97" s="21" t="n">
        <v>3255.18557</v>
      </c>
      <c r="I97" s="20" t="s">
        <v>917</v>
      </c>
    </row>
    <row r="98" customFormat="false" ht="15" hidden="false" customHeight="false" outlineLevel="0" collapsed="false">
      <c r="B98" s="20" t="s">
        <v>1005</v>
      </c>
      <c r="C98" s="20" t="s">
        <v>1006</v>
      </c>
      <c r="D98" s="20" t="s">
        <v>808</v>
      </c>
      <c r="E98" s="20" t="s">
        <v>214</v>
      </c>
      <c r="F98" s="25" t="n">
        <v>1.72630797773655</v>
      </c>
      <c r="G98" s="20" t="n">
        <v>1078</v>
      </c>
      <c r="H98" s="21" t="n">
        <v>3217.291</v>
      </c>
      <c r="I98" s="20" t="s">
        <v>917</v>
      </c>
    </row>
    <row r="99" customFormat="false" ht="15" hidden="false" customHeight="false" outlineLevel="0" collapsed="false">
      <c r="B99" s="20" t="s">
        <v>1007</v>
      </c>
      <c r="C99" s="20" t="s">
        <v>1008</v>
      </c>
      <c r="D99" s="20" t="s">
        <v>1009</v>
      </c>
      <c r="E99" s="20" t="s">
        <v>157</v>
      </c>
      <c r="F99" s="25" t="n">
        <v>0.957446808510638</v>
      </c>
      <c r="G99" s="20" t="n">
        <v>47</v>
      </c>
      <c r="H99" s="21" t="n">
        <v>3215.44907</v>
      </c>
      <c r="I99" s="20" t="s">
        <v>917</v>
      </c>
    </row>
    <row r="100" customFormat="false" ht="15" hidden="false" customHeight="false" outlineLevel="0" collapsed="false">
      <c r="B100" s="20" t="s">
        <v>1010</v>
      </c>
      <c r="C100" s="20" t="s">
        <v>1011</v>
      </c>
      <c r="D100" s="20" t="s">
        <v>1012</v>
      </c>
      <c r="E100" s="20" t="s">
        <v>200</v>
      </c>
      <c r="F100" s="25" t="n">
        <v>0.742285714285714</v>
      </c>
      <c r="G100" s="20" t="n">
        <v>70</v>
      </c>
      <c r="H100" s="21" t="n">
        <v>3202.7408</v>
      </c>
      <c r="I100" s="20" t="s">
        <v>917</v>
      </c>
    </row>
    <row r="101" customFormat="false" ht="15" hidden="false" customHeight="false" outlineLevel="0" collapsed="false">
      <c r="B101" s="20" t="s">
        <v>1013</v>
      </c>
      <c r="C101" s="20" t="s">
        <v>1014</v>
      </c>
      <c r="D101" s="20" t="s">
        <v>224</v>
      </c>
      <c r="E101" s="20" t="s">
        <v>157</v>
      </c>
      <c r="F101" s="25" t="n">
        <v>1.27090909090909</v>
      </c>
      <c r="G101" s="20" t="n">
        <v>22</v>
      </c>
      <c r="H101" s="21" t="n">
        <v>3200.10174</v>
      </c>
      <c r="I101" s="20" t="s">
        <v>917</v>
      </c>
    </row>
    <row r="102" customFormat="false" ht="15" hidden="false" customHeight="false" outlineLevel="0" collapsed="false">
      <c r="B102" s="20" t="s">
        <v>1015</v>
      </c>
      <c r="C102" s="20" t="s">
        <v>1016</v>
      </c>
      <c r="D102" s="20" t="s">
        <v>224</v>
      </c>
      <c r="E102" s="20" t="s">
        <v>157</v>
      </c>
      <c r="F102" s="25" t="n">
        <v>1.00125</v>
      </c>
      <c r="G102" s="20" t="n">
        <v>32</v>
      </c>
      <c r="H102" s="21" t="n">
        <v>3096</v>
      </c>
      <c r="I102" s="20" t="s">
        <v>917</v>
      </c>
    </row>
    <row r="103" customFormat="false" ht="15" hidden="false" customHeight="false" outlineLevel="0" collapsed="false">
      <c r="B103" s="20" t="s">
        <v>1017</v>
      </c>
      <c r="C103" s="20" t="s">
        <v>1018</v>
      </c>
      <c r="D103" s="20" t="s">
        <v>1019</v>
      </c>
      <c r="E103" s="20" t="s">
        <v>200</v>
      </c>
      <c r="F103" s="25" t="n">
        <v>0.267864406779661</v>
      </c>
      <c r="G103" s="20" t="n">
        <v>590</v>
      </c>
      <c r="H103" s="21" t="n">
        <v>3072.3837</v>
      </c>
      <c r="I103" s="20" t="s">
        <v>917</v>
      </c>
    </row>
    <row r="104" customFormat="false" ht="15" hidden="false" customHeight="false" outlineLevel="0" collapsed="false">
      <c r="B104" s="20" t="s">
        <v>1020</v>
      </c>
      <c r="C104" s="20" t="s">
        <v>1021</v>
      </c>
      <c r="D104" s="20" t="s">
        <v>1009</v>
      </c>
      <c r="E104" s="20" t="s">
        <v>157</v>
      </c>
      <c r="F104" s="25" t="n">
        <v>0.978666666666667</v>
      </c>
      <c r="G104" s="20" t="n">
        <v>45</v>
      </c>
      <c r="H104" s="21" t="n">
        <v>3056.5818</v>
      </c>
      <c r="I104" s="20" t="s">
        <v>917</v>
      </c>
    </row>
    <row r="105" customFormat="false" ht="15" hidden="false" customHeight="false" outlineLevel="0" collapsed="false">
      <c r="B105" s="20" t="s">
        <v>1022</v>
      </c>
      <c r="C105" s="20" t="s">
        <v>683</v>
      </c>
      <c r="D105" s="20" t="s">
        <v>224</v>
      </c>
      <c r="E105" s="20" t="s">
        <v>157</v>
      </c>
      <c r="F105" s="25" t="n">
        <v>0.461276595744681</v>
      </c>
      <c r="G105" s="20" t="n">
        <v>141</v>
      </c>
      <c r="H105" s="21" t="n">
        <v>3029.65572</v>
      </c>
      <c r="I105" s="20" t="s">
        <v>917</v>
      </c>
    </row>
    <row r="106" customFormat="false" ht="15" hidden="false" customHeight="false" outlineLevel="0" collapsed="false">
      <c r="B106" s="20" t="s">
        <v>1023</v>
      </c>
      <c r="C106" s="20" t="s">
        <v>1024</v>
      </c>
      <c r="D106" s="20" t="s">
        <v>1025</v>
      </c>
      <c r="E106" s="20" t="s">
        <v>157</v>
      </c>
      <c r="F106" s="25" t="n">
        <v>0.922105263157895</v>
      </c>
      <c r="G106" s="20" t="n">
        <v>38</v>
      </c>
      <c r="H106" s="21" t="n">
        <v>3018.72</v>
      </c>
      <c r="I106" s="20" t="s">
        <v>917</v>
      </c>
    </row>
    <row r="107" customFormat="false" ht="15" hidden="false" customHeight="false" outlineLevel="0" collapsed="false">
      <c r="B107" s="20" t="s">
        <v>1026</v>
      </c>
      <c r="C107" s="20" t="s">
        <v>1027</v>
      </c>
      <c r="D107" s="20" t="s">
        <v>704</v>
      </c>
      <c r="E107" s="20" t="s">
        <v>200</v>
      </c>
      <c r="F107" s="25" t="n">
        <v>1.86782608695652</v>
      </c>
      <c r="G107" s="20" t="n">
        <v>23</v>
      </c>
      <c r="H107" s="21" t="n">
        <v>2995.06</v>
      </c>
      <c r="I107" s="20" t="s">
        <v>917</v>
      </c>
    </row>
    <row r="108" customFormat="false" ht="15" hidden="false" customHeight="false" outlineLevel="0" collapsed="false">
      <c r="B108" s="20" t="s">
        <v>1028</v>
      </c>
      <c r="C108" s="20" t="s">
        <v>1029</v>
      </c>
      <c r="D108" s="20" t="s">
        <v>704</v>
      </c>
      <c r="E108" s="20" t="s">
        <v>200</v>
      </c>
      <c r="F108" s="25" t="n">
        <v>1.68</v>
      </c>
      <c r="G108" s="20" t="n">
        <v>25</v>
      </c>
      <c r="H108" s="21" t="n">
        <v>2958.5</v>
      </c>
      <c r="I108" s="20" t="s">
        <v>917</v>
      </c>
    </row>
    <row r="109" customFormat="false" ht="15" hidden="false" customHeight="false" outlineLevel="0" collapsed="false">
      <c r="B109" s="20" t="s">
        <v>1030</v>
      </c>
      <c r="C109" s="20" t="s">
        <v>977</v>
      </c>
      <c r="D109" s="20" t="s">
        <v>224</v>
      </c>
      <c r="E109" s="20" t="s">
        <v>157</v>
      </c>
      <c r="F109" s="25" t="n">
        <v>0.333333333333333</v>
      </c>
      <c r="G109" s="20" t="n">
        <v>135</v>
      </c>
      <c r="H109" s="21" t="n">
        <v>2955.15</v>
      </c>
      <c r="I109" s="20" t="s">
        <v>917</v>
      </c>
    </row>
    <row r="110" customFormat="false" ht="15" hidden="false" customHeight="false" outlineLevel="0" collapsed="false">
      <c r="B110" s="20" t="s">
        <v>1031</v>
      </c>
      <c r="C110" s="20" t="s">
        <v>1032</v>
      </c>
      <c r="D110" s="20" t="s">
        <v>423</v>
      </c>
      <c r="E110" s="20" t="s">
        <v>157</v>
      </c>
      <c r="F110" s="25" t="n">
        <v>1.45684210526316</v>
      </c>
      <c r="G110" s="20" t="n">
        <v>57</v>
      </c>
      <c r="H110" s="21" t="n">
        <v>2854.0983</v>
      </c>
      <c r="I110" s="20" t="s">
        <v>917</v>
      </c>
    </row>
    <row r="111" customFormat="false" ht="15" hidden="false" customHeight="false" outlineLevel="0" collapsed="false">
      <c r="B111" s="20" t="s">
        <v>1033</v>
      </c>
      <c r="C111" s="20" t="s">
        <v>683</v>
      </c>
      <c r="D111" s="20" t="s">
        <v>224</v>
      </c>
      <c r="E111" s="20" t="s">
        <v>157</v>
      </c>
      <c r="F111" s="25" t="n">
        <v>0.45875</v>
      </c>
      <c r="G111" s="20" t="n">
        <v>96</v>
      </c>
      <c r="H111" s="21" t="n">
        <v>2780.16</v>
      </c>
      <c r="I111" s="20" t="s">
        <v>917</v>
      </c>
    </row>
    <row r="112" customFormat="false" ht="15" hidden="false" customHeight="false" outlineLevel="0" collapsed="false">
      <c r="B112" s="20" t="s">
        <v>1034</v>
      </c>
      <c r="C112" s="20" t="s">
        <v>1035</v>
      </c>
      <c r="D112" s="20" t="s">
        <v>199</v>
      </c>
      <c r="E112" s="20" t="s">
        <v>200</v>
      </c>
      <c r="F112" s="25" t="n">
        <v>0.420631578947368</v>
      </c>
      <c r="G112" s="20" t="n">
        <v>95</v>
      </c>
      <c r="H112" s="21" t="n">
        <v>2761.49705</v>
      </c>
      <c r="I112" s="20" t="s">
        <v>917</v>
      </c>
    </row>
    <row r="113" customFormat="false" ht="15" hidden="false" customHeight="false" outlineLevel="0" collapsed="false">
      <c r="B113" s="20" t="s">
        <v>1036</v>
      </c>
      <c r="C113" s="20" t="s">
        <v>1037</v>
      </c>
      <c r="D113" s="20" t="s">
        <v>196</v>
      </c>
      <c r="E113" s="20" t="s">
        <v>200</v>
      </c>
      <c r="F113" s="25" t="n">
        <v>1.54857142857143</v>
      </c>
      <c r="G113" s="20" t="n">
        <v>42</v>
      </c>
      <c r="H113" s="21" t="n">
        <v>2736.74856</v>
      </c>
      <c r="I113" s="20" t="s">
        <v>917</v>
      </c>
    </row>
    <row r="114" customFormat="false" ht="15" hidden="false" customHeight="false" outlineLevel="0" collapsed="false">
      <c r="B114" s="20" t="s">
        <v>1038</v>
      </c>
      <c r="C114" s="20" t="s">
        <v>1039</v>
      </c>
      <c r="D114" s="20" t="s">
        <v>623</v>
      </c>
      <c r="E114" s="20" t="s">
        <v>157</v>
      </c>
      <c r="F114" s="25" t="n">
        <v>1.585</v>
      </c>
      <c r="G114" s="20" t="n">
        <v>24</v>
      </c>
      <c r="H114" s="21" t="n">
        <v>2609.7</v>
      </c>
      <c r="I114" s="20" t="s">
        <v>917</v>
      </c>
    </row>
    <row r="115" customFormat="false" ht="15" hidden="false" customHeight="false" outlineLevel="0" collapsed="false">
      <c r="B115" s="20" t="s">
        <v>1040</v>
      </c>
      <c r="C115" s="20" t="s">
        <v>1041</v>
      </c>
      <c r="D115" s="20" t="s">
        <v>663</v>
      </c>
      <c r="E115" s="20" t="s">
        <v>157</v>
      </c>
      <c r="F115" s="25" t="n">
        <v>1.08733624454149</v>
      </c>
      <c r="G115" s="20" t="n">
        <v>458</v>
      </c>
      <c r="H115" s="21" t="n">
        <v>2595.48142</v>
      </c>
      <c r="I115" s="20" t="s">
        <v>917</v>
      </c>
    </row>
    <row r="116" customFormat="false" ht="15" hidden="false" customHeight="false" outlineLevel="0" collapsed="false">
      <c r="B116" s="20" t="s">
        <v>1042</v>
      </c>
      <c r="C116" s="20" t="s">
        <v>1043</v>
      </c>
      <c r="D116" s="20" t="s">
        <v>795</v>
      </c>
      <c r="E116" s="20" t="s">
        <v>157</v>
      </c>
      <c r="F116" s="25" t="n">
        <v>1.66666666666667</v>
      </c>
      <c r="G116" s="20" t="n">
        <v>9</v>
      </c>
      <c r="H116" s="21" t="n">
        <v>2580.94206</v>
      </c>
      <c r="I116" s="20" t="s">
        <v>917</v>
      </c>
    </row>
    <row r="117" customFormat="false" ht="15" hidden="false" customHeight="false" outlineLevel="0" collapsed="false">
      <c r="B117" s="20" t="s">
        <v>1044</v>
      </c>
      <c r="C117" s="20" t="s">
        <v>535</v>
      </c>
      <c r="D117" s="20" t="s">
        <v>205</v>
      </c>
      <c r="E117" s="20" t="s">
        <v>157</v>
      </c>
      <c r="F117" s="25" t="n">
        <v>1.84</v>
      </c>
      <c r="G117" s="20" t="n">
        <v>6</v>
      </c>
      <c r="H117" s="21" t="n">
        <v>2539.21998</v>
      </c>
      <c r="I117" s="20" t="s">
        <v>917</v>
      </c>
    </row>
    <row r="118" customFormat="false" ht="15" hidden="false" customHeight="false" outlineLevel="0" collapsed="false">
      <c r="B118" s="20" t="s">
        <v>1045</v>
      </c>
      <c r="C118" s="20" t="s">
        <v>1046</v>
      </c>
      <c r="D118" s="20" t="s">
        <v>196</v>
      </c>
      <c r="E118" s="20" t="s">
        <v>200</v>
      </c>
      <c r="F118" s="25" t="n">
        <v>1.28571428571429</v>
      </c>
      <c r="G118" s="20" t="n">
        <v>14</v>
      </c>
      <c r="H118" s="21" t="n">
        <v>2451.96</v>
      </c>
      <c r="I118" s="20" t="s">
        <v>917</v>
      </c>
    </row>
    <row r="119" customFormat="false" ht="15" hidden="false" customHeight="false" outlineLevel="0" collapsed="false">
      <c r="B119" s="20" t="s">
        <v>1047</v>
      </c>
      <c r="C119" s="20" t="s">
        <v>683</v>
      </c>
      <c r="D119" s="20" t="s">
        <v>224</v>
      </c>
      <c r="E119" s="20" t="s">
        <v>157</v>
      </c>
      <c r="F119" s="25" t="n">
        <v>1.585</v>
      </c>
      <c r="G119" s="20" t="n">
        <v>24</v>
      </c>
      <c r="H119" s="21" t="n">
        <v>2449.61484</v>
      </c>
      <c r="I119" s="20" t="s">
        <v>917</v>
      </c>
    </row>
    <row r="120" customFormat="false" ht="15" hidden="false" customHeight="false" outlineLevel="0" collapsed="false">
      <c r="B120" s="20" t="s">
        <v>1048</v>
      </c>
      <c r="C120" s="20" t="s">
        <v>1049</v>
      </c>
      <c r="D120" s="20" t="s">
        <v>181</v>
      </c>
      <c r="E120" s="20" t="s">
        <v>157</v>
      </c>
      <c r="F120" s="25" t="n">
        <v>0.523384615384615</v>
      </c>
      <c r="G120" s="20" t="n">
        <v>130</v>
      </c>
      <c r="H120" s="21" t="n">
        <v>2427.1</v>
      </c>
      <c r="I120" s="20" t="s">
        <v>917</v>
      </c>
    </row>
    <row r="121" customFormat="false" ht="15" hidden="false" customHeight="false" outlineLevel="0" collapsed="false">
      <c r="B121" s="20" t="s">
        <v>1050</v>
      </c>
      <c r="C121" s="20" t="s">
        <v>1051</v>
      </c>
      <c r="D121" s="20" t="s">
        <v>1052</v>
      </c>
      <c r="E121" s="20" t="s">
        <v>157</v>
      </c>
      <c r="F121" s="25" t="n">
        <v>1.5</v>
      </c>
      <c r="G121" s="20" t="n">
        <v>14</v>
      </c>
      <c r="H121" s="21" t="n">
        <v>2413.88</v>
      </c>
      <c r="I121" s="20" t="s">
        <v>917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6"/>
  </cols>
  <sheetData>
    <row r="2" customFormat="false" ht="18.55" hidden="false" customHeight="false" outlineLevel="0" collapsed="false">
      <c r="B2" s="7" t="s">
        <v>1053</v>
      </c>
    </row>
    <row r="4" customFormat="false" ht="27.75" hidden="false" customHeight="true" outlineLevel="0" collapsed="false">
      <c r="B4" s="19" t="s">
        <v>135</v>
      </c>
      <c r="C4" s="19" t="s">
        <v>1054</v>
      </c>
      <c r="D4" s="19" t="s">
        <v>1055</v>
      </c>
      <c r="E4" s="19" t="s">
        <v>1056</v>
      </c>
      <c r="F4" s="19" t="s">
        <v>1057</v>
      </c>
      <c r="G4" s="19" t="s">
        <v>1058</v>
      </c>
      <c r="H4" s="19" t="s">
        <v>1059</v>
      </c>
      <c r="I4" s="19" t="s">
        <v>1060</v>
      </c>
      <c r="J4" s="19" t="s">
        <v>1061</v>
      </c>
    </row>
    <row r="5" customFormat="false" ht="15" hidden="false" customHeight="false" outlineLevel="0" collapsed="false">
      <c r="B5" s="20" t="s">
        <v>214</v>
      </c>
      <c r="C5" s="20" t="n">
        <v>1064</v>
      </c>
      <c r="D5" s="21" t="n">
        <v>63442151.81</v>
      </c>
      <c r="E5" s="21" t="n">
        <v>3402367.57275</v>
      </c>
      <c r="F5" s="22" t="n">
        <v>0.444393216468842</v>
      </c>
      <c r="G5" s="22" t="n">
        <v>0.243060973761071</v>
      </c>
      <c r="H5" s="20" t="n">
        <v>1</v>
      </c>
      <c r="I5" s="20" t="n">
        <v>1</v>
      </c>
      <c r="J5" s="20" t="s">
        <v>1062</v>
      </c>
    </row>
    <row r="6" customFormat="false" ht="15" hidden="false" customHeight="false" outlineLevel="0" collapsed="false">
      <c r="B6" s="20" t="s">
        <v>200</v>
      </c>
      <c r="C6" s="20" t="n">
        <v>1609</v>
      </c>
      <c r="D6" s="21" t="n">
        <v>26661344.08</v>
      </c>
      <c r="E6" s="21" t="n">
        <v>2235041.79835</v>
      </c>
      <c r="F6" s="22" t="n">
        <v>0.186754706659023</v>
      </c>
      <c r="G6" s="22" t="n">
        <v>0.159668649635218</v>
      </c>
      <c r="H6" s="20" t="n">
        <v>2</v>
      </c>
      <c r="I6" s="20" t="n">
        <v>5</v>
      </c>
      <c r="J6" s="20" t="s">
        <v>1063</v>
      </c>
    </row>
    <row r="7" customFormat="false" ht="15" hidden="false" customHeight="false" outlineLevel="0" collapsed="false">
      <c r="B7" s="20" t="s">
        <v>157</v>
      </c>
      <c r="C7" s="20" t="n">
        <v>2814</v>
      </c>
      <c r="D7" s="21" t="n">
        <v>20098621.13</v>
      </c>
      <c r="E7" s="21" t="n">
        <v>2557202.609955</v>
      </c>
      <c r="F7" s="22" t="n">
        <v>0.140784803726369</v>
      </c>
      <c r="G7" s="22" t="n">
        <v>0.182683423583665</v>
      </c>
      <c r="H7" s="20" t="n">
        <v>3</v>
      </c>
      <c r="I7" s="20" t="n">
        <v>3</v>
      </c>
      <c r="J7" s="20" t="s">
        <v>1062</v>
      </c>
    </row>
    <row r="8" customFormat="false" ht="15" hidden="false" customHeight="false" outlineLevel="0" collapsed="false">
      <c r="B8" s="20" t="s">
        <v>165</v>
      </c>
      <c r="C8" s="20" t="n">
        <v>6813</v>
      </c>
      <c r="D8" s="21" t="n">
        <v>18600138.27</v>
      </c>
      <c r="E8" s="21" t="n">
        <v>3321738.05875</v>
      </c>
      <c r="F8" s="22" t="n">
        <v>0.130288381411231</v>
      </c>
      <c r="G8" s="22" t="n">
        <v>0.237300899998411</v>
      </c>
      <c r="H8" s="20" t="n">
        <v>4</v>
      </c>
      <c r="I8" s="20" t="n">
        <v>2</v>
      </c>
      <c r="J8" s="20" t="s">
        <v>1063</v>
      </c>
    </row>
    <row r="9" customFormat="false" ht="15" hidden="false" customHeight="false" outlineLevel="0" collapsed="false">
      <c r="B9" s="20" t="s">
        <v>182</v>
      </c>
      <c r="C9" s="20" t="n">
        <v>12915</v>
      </c>
      <c r="D9" s="21" t="n">
        <v>13959041.37</v>
      </c>
      <c r="E9" s="21" t="n">
        <v>2481650.21545</v>
      </c>
      <c r="F9" s="22" t="n">
        <v>0.0977788917345352</v>
      </c>
      <c r="G9" s="22" t="n">
        <v>0.177286053021635</v>
      </c>
      <c r="H9" s="20" t="n">
        <v>5</v>
      </c>
      <c r="I9" s="20" t="n">
        <v>4</v>
      </c>
      <c r="J9" s="20" t="s">
        <v>1063</v>
      </c>
    </row>
    <row r="11" customFormat="false" ht="15" hidden="false" customHeight="false" outlineLevel="0" collapsed="false">
      <c r="B11" s="2" t="s">
        <v>1064</v>
      </c>
    </row>
    <row r="12" customFormat="false" ht="15" hidden="false" customHeight="false" outlineLevel="0" collapsed="false">
      <c r="B12" s="2" t="s">
        <v>1065</v>
      </c>
    </row>
    <row r="13" customFormat="false" ht="15" hidden="false" customHeight="false" outlineLevel="0" collapsed="false">
      <c r="B13" s="2" t="s">
        <v>1066</v>
      </c>
    </row>
    <row r="14" customFormat="false" ht="15" hidden="false" customHeight="false" outlineLevel="0" collapsed="false">
      <c r="B14" s="2" t="s">
        <v>1067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7" min="6" style="0" width="14"/>
    <col collapsed="false" customWidth="true" hidden="false" outlineLevel="0" max="8" min="8" style="0" width="16"/>
    <col collapsed="false" customWidth="true" hidden="false" outlineLevel="0" max="9" min="9" style="0" width="22"/>
  </cols>
  <sheetData>
    <row r="2" customFormat="false" ht="18.55" hidden="false" customHeight="false" outlineLevel="0" collapsed="false">
      <c r="B2" s="7" t="s">
        <v>1068</v>
      </c>
    </row>
    <row r="3" customFormat="false" ht="15" hidden="false" customHeight="false" outlineLevel="0" collapsed="false">
      <c r="B3" s="8" t="s">
        <v>1069</v>
      </c>
    </row>
    <row r="5" customFormat="false" ht="15" hidden="false" customHeight="false" outlineLevel="0" collapsed="false">
      <c r="B5" s="10" t="s">
        <v>1070</v>
      </c>
      <c r="C5" s="14" t="n">
        <v>1228551.75073445</v>
      </c>
      <c r="D5" s="8" t="s">
        <v>1071</v>
      </c>
    </row>
    <row r="6" customFormat="false" ht="15" hidden="false" customHeight="false" outlineLevel="0" collapsed="false">
      <c r="B6" s="10" t="s">
        <v>1072</v>
      </c>
      <c r="C6" s="18" t="n">
        <v>0.0625722229773093</v>
      </c>
    </row>
    <row r="8" customFormat="false" ht="15" hidden="false" customHeight="false" outlineLevel="0" collapsed="false">
      <c r="B8" s="9" t="s">
        <v>1073</v>
      </c>
    </row>
    <row r="9" customFormat="false" ht="27.75" hidden="false" customHeight="true" outlineLevel="0" collapsed="false">
      <c r="B9" s="19" t="s">
        <v>1074</v>
      </c>
      <c r="C9" s="19" t="s">
        <v>1075</v>
      </c>
      <c r="D9" s="19" t="s">
        <v>1076</v>
      </c>
    </row>
    <row r="10" customFormat="false" ht="15" hidden="false" customHeight="false" outlineLevel="0" collapsed="false">
      <c r="B10" s="20" t="s">
        <v>1077</v>
      </c>
      <c r="C10" s="20" t="n">
        <v>479</v>
      </c>
      <c r="D10" s="21" t="n">
        <v>314535.732329447</v>
      </c>
    </row>
    <row r="11" customFormat="false" ht="15" hidden="false" customHeight="false" outlineLevel="0" collapsed="false">
      <c r="B11" s="20" t="s">
        <v>1078</v>
      </c>
      <c r="C11" s="20" t="n">
        <v>772</v>
      </c>
      <c r="D11" s="21" t="n">
        <v>829477.216705</v>
      </c>
    </row>
    <row r="12" customFormat="false" ht="15" hidden="false" customHeight="false" outlineLevel="0" collapsed="false">
      <c r="B12" s="20" t="s">
        <v>1079</v>
      </c>
      <c r="C12" s="20" t="n">
        <v>2182</v>
      </c>
      <c r="D12" s="21" t="n">
        <v>0</v>
      </c>
    </row>
    <row r="13" customFormat="false" ht="15" hidden="false" customHeight="false" outlineLevel="0" collapsed="false">
      <c r="B13" s="20" t="s">
        <v>1080</v>
      </c>
      <c r="C13" s="20" t="n">
        <v>3653</v>
      </c>
      <c r="D13" s="21" t="n">
        <v>84538.8017</v>
      </c>
    </row>
    <row r="14" customFormat="false" ht="15" hidden="false" customHeight="false" outlineLevel="0" collapsed="false">
      <c r="B14" s="20" t="s">
        <v>1081</v>
      </c>
      <c r="C14" s="20" t="n">
        <v>18129</v>
      </c>
      <c r="D14" s="21" t="n">
        <v>0</v>
      </c>
    </row>
    <row r="16" customFormat="false" ht="15" hidden="false" customHeight="false" outlineLevel="0" collapsed="false">
      <c r="B16" s="2" t="s">
        <v>1082</v>
      </c>
    </row>
    <row r="17" customFormat="false" ht="15" hidden="false" customHeight="false" outlineLevel="0" collapsed="false">
      <c r="B17" s="2" t="s">
        <v>1083</v>
      </c>
    </row>
    <row r="18" customFormat="false" ht="15" hidden="false" customHeight="false" outlineLevel="0" collapsed="false">
      <c r="B18" s="2" t="s">
        <v>1084</v>
      </c>
    </row>
    <row r="19" customFormat="false" ht="15" hidden="false" customHeight="false" outlineLevel="0" collapsed="false">
      <c r="B19" s="2" t="s">
        <v>1085</v>
      </c>
    </row>
    <row r="20" customFormat="false" ht="15" hidden="false" customHeight="false" outlineLevel="0" collapsed="false">
      <c r="B20" s="2" t="s">
        <v>1086</v>
      </c>
    </row>
    <row r="22" customFormat="false" ht="15" hidden="false" customHeight="false" outlineLevel="0" collapsed="false">
      <c r="B22" s="9" t="s">
        <v>1087</v>
      </c>
    </row>
    <row r="23" customFormat="false" ht="27.75" hidden="false" customHeight="true" outlineLevel="0" collapsed="false">
      <c r="B23" s="19" t="s">
        <v>131</v>
      </c>
      <c r="C23" s="19" t="s">
        <v>912</v>
      </c>
      <c r="D23" s="19" t="s">
        <v>134</v>
      </c>
      <c r="E23" s="19" t="s">
        <v>135</v>
      </c>
      <c r="F23" s="19" t="s">
        <v>1088</v>
      </c>
      <c r="G23" s="19" t="s">
        <v>1089</v>
      </c>
      <c r="H23" s="19" t="s">
        <v>1076</v>
      </c>
      <c r="I23" s="19" t="s">
        <v>916</v>
      </c>
    </row>
    <row r="24" customFormat="false" ht="15" hidden="false" customHeight="false" outlineLevel="0" collapsed="false">
      <c r="B24" s="20" t="s">
        <v>1090</v>
      </c>
      <c r="C24" s="20" t="s">
        <v>1091</v>
      </c>
      <c r="D24" s="20" t="s">
        <v>1092</v>
      </c>
      <c r="E24" s="20" t="s">
        <v>214</v>
      </c>
      <c r="F24" s="21" t="n">
        <v>793489.26</v>
      </c>
      <c r="G24" s="20" t="n">
        <v>90.705882353</v>
      </c>
      <c r="H24" s="21" t="n">
        <v>54302.592619447</v>
      </c>
      <c r="I24" s="20" t="s">
        <v>917</v>
      </c>
    </row>
    <row r="25" customFormat="false" ht="15" hidden="false" customHeight="false" outlineLevel="0" collapsed="false">
      <c r="B25" s="20" t="s">
        <v>1093</v>
      </c>
      <c r="C25" s="20" t="s">
        <v>1094</v>
      </c>
      <c r="D25" s="20" t="s">
        <v>778</v>
      </c>
      <c r="E25" s="20" t="s">
        <v>157</v>
      </c>
      <c r="F25" s="21" t="n">
        <v>17673.38</v>
      </c>
      <c r="G25" s="20" t="n">
        <v>27</v>
      </c>
      <c r="H25" s="21" t="n">
        <v>14568.12</v>
      </c>
      <c r="I25" s="20" t="s">
        <v>1095</v>
      </c>
    </row>
    <row r="26" customFormat="false" ht="15" hidden="false" customHeight="false" outlineLevel="0" collapsed="false">
      <c r="B26" s="20" t="s">
        <v>1096</v>
      </c>
      <c r="C26" s="20" t="s">
        <v>1097</v>
      </c>
      <c r="D26" s="20" t="s">
        <v>219</v>
      </c>
      <c r="E26" s="20" t="s">
        <v>165</v>
      </c>
      <c r="F26" s="21" t="n">
        <v>18900.29</v>
      </c>
      <c r="G26" s="20" t="n">
        <v>3</v>
      </c>
      <c r="H26" s="21" t="n">
        <v>13211.64</v>
      </c>
      <c r="I26" s="20" t="s">
        <v>917</v>
      </c>
    </row>
    <row r="27" customFormat="false" ht="15" hidden="false" customHeight="false" outlineLevel="0" collapsed="false">
      <c r="B27" s="20" t="s">
        <v>1098</v>
      </c>
      <c r="C27" s="20" t="s">
        <v>1099</v>
      </c>
      <c r="D27" s="20" t="s">
        <v>1100</v>
      </c>
      <c r="E27" s="20" t="s">
        <v>165</v>
      </c>
      <c r="F27" s="21" t="n">
        <v>79324.9</v>
      </c>
      <c r="G27" s="20" t="n">
        <v>70</v>
      </c>
      <c r="H27" s="21" t="n">
        <v>10074.4</v>
      </c>
      <c r="I27" s="20" t="s">
        <v>917</v>
      </c>
    </row>
    <row r="28" customFormat="false" ht="15" hidden="false" customHeight="false" outlineLevel="0" collapsed="false">
      <c r="B28" s="20" t="s">
        <v>1101</v>
      </c>
      <c r="C28" s="20" t="s">
        <v>1102</v>
      </c>
      <c r="D28" s="20" t="s">
        <v>1103</v>
      </c>
      <c r="E28" s="20" t="s">
        <v>182</v>
      </c>
      <c r="F28" s="21" t="n">
        <v>0</v>
      </c>
      <c r="G28" s="20" t="n">
        <v>190</v>
      </c>
      <c r="H28" s="21" t="n">
        <v>9823</v>
      </c>
      <c r="I28" s="20" t="s">
        <v>1095</v>
      </c>
    </row>
    <row r="29" customFormat="false" ht="15" hidden="false" customHeight="false" outlineLevel="0" collapsed="false">
      <c r="B29" s="20" t="s">
        <v>1104</v>
      </c>
      <c r="C29" s="20" t="s">
        <v>1105</v>
      </c>
      <c r="D29" s="20" t="s">
        <v>298</v>
      </c>
      <c r="E29" s="20" t="s">
        <v>165</v>
      </c>
      <c r="F29" s="21" t="n">
        <v>66000</v>
      </c>
      <c r="G29" s="20" t="n">
        <v>1</v>
      </c>
      <c r="H29" s="21" t="n">
        <v>9000</v>
      </c>
      <c r="I29" s="20" t="s">
        <v>1095</v>
      </c>
    </row>
    <row r="30" customFormat="false" ht="15" hidden="false" customHeight="false" outlineLevel="0" collapsed="false">
      <c r="B30" s="20" t="s">
        <v>1106</v>
      </c>
      <c r="C30" s="20" t="s">
        <v>1107</v>
      </c>
      <c r="D30" s="20" t="s">
        <v>298</v>
      </c>
      <c r="E30" s="20" t="s">
        <v>214</v>
      </c>
      <c r="F30" s="21" t="n">
        <v>1388653.48</v>
      </c>
      <c r="G30" s="20" t="n">
        <v>1</v>
      </c>
      <c r="H30" s="21" t="n">
        <v>9000</v>
      </c>
      <c r="I30" s="20" t="s">
        <v>1095</v>
      </c>
    </row>
    <row r="31" customFormat="false" ht="15" hidden="false" customHeight="false" outlineLevel="0" collapsed="false">
      <c r="B31" s="20" t="s">
        <v>1108</v>
      </c>
      <c r="C31" s="20" t="s">
        <v>1109</v>
      </c>
      <c r="D31" s="20" t="s">
        <v>623</v>
      </c>
      <c r="E31" s="20" t="s">
        <v>214</v>
      </c>
      <c r="F31" s="21" t="n">
        <v>44440.5</v>
      </c>
      <c r="G31" s="20" t="n">
        <v>12</v>
      </c>
      <c r="H31" s="21" t="n">
        <v>8307.05076</v>
      </c>
      <c r="I31" s="20" t="s">
        <v>917</v>
      </c>
    </row>
    <row r="32" customFormat="false" ht="15" hidden="false" customHeight="false" outlineLevel="0" collapsed="false">
      <c r="B32" s="20" t="s">
        <v>1110</v>
      </c>
      <c r="C32" s="20" t="s">
        <v>1111</v>
      </c>
      <c r="D32" s="20" t="s">
        <v>219</v>
      </c>
      <c r="E32" s="20" t="s">
        <v>182</v>
      </c>
      <c r="F32" s="21" t="n">
        <v>8194.93</v>
      </c>
      <c r="G32" s="20" t="n">
        <v>2</v>
      </c>
      <c r="H32" s="21" t="n">
        <v>6195.71</v>
      </c>
      <c r="I32" s="20" t="s">
        <v>1095</v>
      </c>
    </row>
    <row r="33" customFormat="false" ht="15" hidden="false" customHeight="false" outlineLevel="0" collapsed="false">
      <c r="B33" s="20" t="s">
        <v>1112</v>
      </c>
      <c r="C33" s="20" t="s">
        <v>1113</v>
      </c>
      <c r="D33" s="20" t="s">
        <v>219</v>
      </c>
      <c r="E33" s="20" t="s">
        <v>165</v>
      </c>
      <c r="F33" s="21" t="n">
        <v>33740</v>
      </c>
      <c r="G33" s="20" t="n">
        <v>1</v>
      </c>
      <c r="H33" s="21" t="n">
        <v>5707.74</v>
      </c>
      <c r="I33" s="20" t="s">
        <v>917</v>
      </c>
    </row>
    <row r="34" customFormat="false" ht="15" hidden="false" customHeight="false" outlineLevel="0" collapsed="false">
      <c r="B34" s="20" t="s">
        <v>1114</v>
      </c>
      <c r="C34" s="20" t="s">
        <v>1115</v>
      </c>
      <c r="D34" s="20" t="s">
        <v>709</v>
      </c>
      <c r="E34" s="20" t="s">
        <v>200</v>
      </c>
      <c r="F34" s="21" t="n">
        <v>77188.85</v>
      </c>
      <c r="G34" s="20" t="n">
        <v>6</v>
      </c>
      <c r="H34" s="21" t="n">
        <v>5039.47674</v>
      </c>
      <c r="I34" s="20" t="s">
        <v>1095</v>
      </c>
    </row>
    <row r="35" customFormat="false" ht="15" hidden="false" customHeight="false" outlineLevel="0" collapsed="false">
      <c r="B35" s="20" t="s">
        <v>1116</v>
      </c>
      <c r="C35" s="20" t="s">
        <v>1117</v>
      </c>
      <c r="D35" s="20" t="s">
        <v>224</v>
      </c>
      <c r="E35" s="20" t="s">
        <v>165</v>
      </c>
      <c r="F35" s="21" t="n">
        <v>17199.84</v>
      </c>
      <c r="G35" s="20" t="n">
        <v>11</v>
      </c>
      <c r="H35" s="21" t="n">
        <v>3507.251</v>
      </c>
      <c r="I35" s="20" t="s">
        <v>917</v>
      </c>
    </row>
    <row r="36" customFormat="false" ht="15" hidden="false" customHeight="false" outlineLevel="0" collapsed="false">
      <c r="B36" s="20" t="s">
        <v>1118</v>
      </c>
      <c r="C36" s="20" t="s">
        <v>1119</v>
      </c>
      <c r="D36" s="20" t="s">
        <v>211</v>
      </c>
      <c r="E36" s="20" t="s">
        <v>157</v>
      </c>
      <c r="F36" s="21" t="n">
        <v>32653.42</v>
      </c>
      <c r="G36" s="20" t="n">
        <v>12</v>
      </c>
      <c r="H36" s="21" t="n">
        <v>3361.68</v>
      </c>
      <c r="I36" s="20" t="s">
        <v>1095</v>
      </c>
    </row>
    <row r="37" customFormat="false" ht="15" hidden="false" customHeight="false" outlineLevel="0" collapsed="false">
      <c r="B37" s="20" t="s">
        <v>1120</v>
      </c>
      <c r="C37" s="20" t="s">
        <v>1113</v>
      </c>
      <c r="D37" s="20" t="s">
        <v>219</v>
      </c>
      <c r="E37" s="20" t="s">
        <v>157</v>
      </c>
      <c r="F37" s="21" t="n">
        <v>56850.83</v>
      </c>
      <c r="G37" s="20" t="n">
        <v>1</v>
      </c>
      <c r="H37" s="21" t="n">
        <v>3097.855</v>
      </c>
      <c r="I37" s="20" t="s">
        <v>1095</v>
      </c>
    </row>
    <row r="38" customFormat="false" ht="15" hidden="false" customHeight="false" outlineLevel="0" collapsed="false">
      <c r="B38" s="20" t="s">
        <v>1121</v>
      </c>
      <c r="C38" s="20" t="s">
        <v>1122</v>
      </c>
      <c r="D38" s="20" t="s">
        <v>219</v>
      </c>
      <c r="E38" s="20" t="s">
        <v>165</v>
      </c>
      <c r="F38" s="21" t="n">
        <v>68873.86</v>
      </c>
      <c r="G38" s="20" t="n">
        <v>1</v>
      </c>
      <c r="H38" s="21" t="n">
        <v>3097.855</v>
      </c>
      <c r="I38" s="20" t="s">
        <v>1095</v>
      </c>
    </row>
    <row r="39" customFormat="false" ht="15" hidden="false" customHeight="false" outlineLevel="0" collapsed="false">
      <c r="B39" s="20" t="s">
        <v>1123</v>
      </c>
      <c r="C39" s="20" t="s">
        <v>1124</v>
      </c>
      <c r="D39" s="20" t="s">
        <v>423</v>
      </c>
      <c r="E39" s="20" t="s">
        <v>182</v>
      </c>
      <c r="F39" s="21" t="n">
        <v>0</v>
      </c>
      <c r="G39" s="20" t="n">
        <v>14</v>
      </c>
      <c r="H39" s="21" t="n">
        <v>2944.41</v>
      </c>
      <c r="I39" s="20" t="s">
        <v>1095</v>
      </c>
    </row>
    <row r="40" customFormat="false" ht="15" hidden="false" customHeight="false" outlineLevel="0" collapsed="false">
      <c r="B40" s="20" t="s">
        <v>1125</v>
      </c>
      <c r="C40" s="20" t="s">
        <v>1126</v>
      </c>
      <c r="D40" s="20" t="s">
        <v>1127</v>
      </c>
      <c r="E40" s="20" t="s">
        <v>165</v>
      </c>
      <c r="F40" s="21" t="n">
        <v>6451.8</v>
      </c>
      <c r="G40" s="20" t="n">
        <v>3</v>
      </c>
      <c r="H40" s="21" t="n">
        <v>2899.09755</v>
      </c>
      <c r="I40" s="20" t="s">
        <v>1095</v>
      </c>
    </row>
    <row r="41" customFormat="false" ht="15" hidden="false" customHeight="false" outlineLevel="0" collapsed="false">
      <c r="B41" s="20" t="s">
        <v>1128</v>
      </c>
      <c r="C41" s="20" t="s">
        <v>1129</v>
      </c>
      <c r="D41" s="20" t="s">
        <v>1130</v>
      </c>
      <c r="E41" s="20" t="s">
        <v>200</v>
      </c>
      <c r="F41" s="21" t="n">
        <v>33067.36</v>
      </c>
      <c r="G41" s="20" t="n">
        <v>11</v>
      </c>
      <c r="H41" s="21" t="n">
        <v>2560.36</v>
      </c>
      <c r="I41" s="20" t="s">
        <v>1095</v>
      </c>
    </row>
    <row r="42" customFormat="false" ht="15" hidden="false" customHeight="false" outlineLevel="0" collapsed="false">
      <c r="B42" s="20" t="s">
        <v>1131</v>
      </c>
      <c r="C42" s="20" t="s">
        <v>1132</v>
      </c>
      <c r="D42" s="20" t="s">
        <v>591</v>
      </c>
      <c r="E42" s="20" t="s">
        <v>182</v>
      </c>
      <c r="F42" s="21" t="n">
        <v>0</v>
      </c>
      <c r="G42" s="20" t="n">
        <v>1</v>
      </c>
      <c r="H42" s="21" t="n">
        <v>2557.02</v>
      </c>
      <c r="I42" s="20" t="s">
        <v>1095</v>
      </c>
    </row>
    <row r="43" customFormat="false" ht="15" hidden="false" customHeight="false" outlineLevel="0" collapsed="false">
      <c r="B43" s="20" t="s">
        <v>1133</v>
      </c>
      <c r="C43" s="20" t="s">
        <v>1134</v>
      </c>
      <c r="D43" s="20" t="s">
        <v>372</v>
      </c>
      <c r="E43" s="20" t="s">
        <v>200</v>
      </c>
      <c r="F43" s="21" t="n">
        <v>17264.77</v>
      </c>
      <c r="G43" s="20" t="n">
        <v>75</v>
      </c>
      <c r="H43" s="21" t="n">
        <v>2456.25</v>
      </c>
      <c r="I43" s="20" t="s">
        <v>1095</v>
      </c>
    </row>
    <row r="44" customFormat="false" ht="15" hidden="false" customHeight="false" outlineLevel="0" collapsed="false">
      <c r="B44" s="20" t="s">
        <v>1135</v>
      </c>
      <c r="C44" s="20" t="s">
        <v>1136</v>
      </c>
      <c r="D44" s="20" t="s">
        <v>1137</v>
      </c>
      <c r="E44" s="20" t="s">
        <v>200</v>
      </c>
      <c r="F44" s="21" t="n">
        <v>11873.4</v>
      </c>
      <c r="G44" s="20" t="n">
        <v>439</v>
      </c>
      <c r="H44" s="21" t="n">
        <v>2281.902245</v>
      </c>
      <c r="I44" s="20" t="s">
        <v>917</v>
      </c>
    </row>
    <row r="45" customFormat="false" ht="15" hidden="false" customHeight="false" outlineLevel="0" collapsed="false">
      <c r="B45" s="20" t="s">
        <v>1138</v>
      </c>
      <c r="C45" s="20" t="s">
        <v>1139</v>
      </c>
      <c r="D45" s="20" t="s">
        <v>205</v>
      </c>
      <c r="E45" s="20" t="s">
        <v>157</v>
      </c>
      <c r="F45" s="21" t="n">
        <v>10104.6</v>
      </c>
      <c r="G45" s="20" t="n">
        <v>9</v>
      </c>
      <c r="H45" s="21" t="n">
        <v>2278.57716</v>
      </c>
      <c r="I45" s="20" t="s">
        <v>917</v>
      </c>
    </row>
    <row r="46" customFormat="false" ht="15" hidden="false" customHeight="false" outlineLevel="0" collapsed="false">
      <c r="B46" s="20" t="s">
        <v>1140</v>
      </c>
      <c r="C46" s="20" t="s">
        <v>1141</v>
      </c>
      <c r="D46" s="20" t="s">
        <v>1142</v>
      </c>
      <c r="E46" s="20" t="s">
        <v>157</v>
      </c>
      <c r="F46" s="21" t="n">
        <v>9498.53</v>
      </c>
      <c r="G46" s="20" t="n">
        <v>2</v>
      </c>
      <c r="H46" s="21" t="n">
        <v>2267.1</v>
      </c>
      <c r="I46" s="20" t="s">
        <v>1095</v>
      </c>
    </row>
    <row r="47" customFormat="false" ht="15" hidden="false" customHeight="false" outlineLevel="0" collapsed="false">
      <c r="B47" s="20" t="s">
        <v>1143</v>
      </c>
      <c r="C47" s="20" t="s">
        <v>1144</v>
      </c>
      <c r="D47" s="20" t="s">
        <v>324</v>
      </c>
      <c r="E47" s="20" t="s">
        <v>157</v>
      </c>
      <c r="F47" s="21" t="n">
        <v>280</v>
      </c>
      <c r="G47" s="20" t="n">
        <v>460</v>
      </c>
      <c r="H47" s="21" t="n">
        <v>2259.4349</v>
      </c>
      <c r="I47" s="20" t="s">
        <v>1095</v>
      </c>
    </row>
    <row r="48" customFormat="false" ht="15" hidden="false" customHeight="false" outlineLevel="0" collapsed="false">
      <c r="B48" s="20" t="s">
        <v>1145</v>
      </c>
      <c r="C48" s="20" t="s">
        <v>1146</v>
      </c>
      <c r="D48" s="20" t="s">
        <v>423</v>
      </c>
      <c r="E48" s="20" t="s">
        <v>182</v>
      </c>
      <c r="F48" s="21" t="n">
        <v>0</v>
      </c>
      <c r="G48" s="20" t="n">
        <v>10</v>
      </c>
      <c r="H48" s="21" t="n">
        <v>2103.15</v>
      </c>
      <c r="I48" s="20" t="s">
        <v>1095</v>
      </c>
    </row>
    <row r="49" customFormat="false" ht="15" hidden="false" customHeight="false" outlineLevel="0" collapsed="false">
      <c r="B49" s="20" t="s">
        <v>1147</v>
      </c>
      <c r="C49" s="20" t="s">
        <v>1148</v>
      </c>
      <c r="D49" s="20" t="s">
        <v>211</v>
      </c>
      <c r="E49" s="20" t="s">
        <v>165</v>
      </c>
      <c r="F49" s="21" t="n">
        <v>14432.72</v>
      </c>
      <c r="G49" s="20" t="n">
        <v>7</v>
      </c>
      <c r="H49" s="21" t="n">
        <v>1960.98</v>
      </c>
      <c r="I49" s="20" t="s">
        <v>1095</v>
      </c>
    </row>
    <row r="50" customFormat="false" ht="15" hidden="false" customHeight="false" outlineLevel="0" collapsed="false">
      <c r="B50" s="20" t="s">
        <v>1149</v>
      </c>
      <c r="C50" s="20" t="s">
        <v>602</v>
      </c>
      <c r="D50" s="20" t="s">
        <v>389</v>
      </c>
      <c r="E50" s="20" t="s">
        <v>165</v>
      </c>
      <c r="F50" s="21" t="n">
        <v>87799.14</v>
      </c>
      <c r="G50" s="20" t="n">
        <v>4</v>
      </c>
      <c r="H50" s="21" t="n">
        <v>1885.84</v>
      </c>
      <c r="I50" s="20" t="s">
        <v>1095</v>
      </c>
    </row>
    <row r="51" customFormat="false" ht="15" hidden="false" customHeight="false" outlineLevel="0" collapsed="false">
      <c r="B51" s="20" t="s">
        <v>1150</v>
      </c>
      <c r="C51" s="20" t="s">
        <v>1151</v>
      </c>
      <c r="D51" s="20" t="s">
        <v>1130</v>
      </c>
      <c r="E51" s="20" t="s">
        <v>165</v>
      </c>
      <c r="F51" s="21" t="n">
        <v>3084.26</v>
      </c>
      <c r="G51" s="20" t="n">
        <v>8</v>
      </c>
      <c r="H51" s="21" t="n">
        <v>1862.08</v>
      </c>
      <c r="I51" s="20" t="s">
        <v>1095</v>
      </c>
    </row>
    <row r="52" customFormat="false" ht="15" hidden="false" customHeight="false" outlineLevel="0" collapsed="false">
      <c r="B52" s="20" t="s">
        <v>1152</v>
      </c>
      <c r="C52" s="20" t="s">
        <v>1153</v>
      </c>
      <c r="D52" s="20" t="s">
        <v>1130</v>
      </c>
      <c r="E52" s="20" t="s">
        <v>200</v>
      </c>
      <c r="F52" s="21" t="n">
        <v>4656.73</v>
      </c>
      <c r="G52" s="20" t="n">
        <v>8</v>
      </c>
      <c r="H52" s="21" t="n">
        <v>1862.08</v>
      </c>
      <c r="I52" s="20" t="s">
        <v>1095</v>
      </c>
    </row>
    <row r="53" customFormat="false" ht="15" hidden="false" customHeight="false" outlineLevel="0" collapsed="false">
      <c r="B53" s="20" t="s">
        <v>1154</v>
      </c>
      <c r="C53" s="20" t="s">
        <v>1155</v>
      </c>
      <c r="D53" s="20" t="s">
        <v>1156</v>
      </c>
      <c r="E53" s="20" t="s">
        <v>200</v>
      </c>
      <c r="F53" s="21" t="n">
        <v>6851.5</v>
      </c>
      <c r="G53" s="20" t="n">
        <v>48</v>
      </c>
      <c r="H53" s="21" t="n">
        <v>1698.84</v>
      </c>
      <c r="I53" s="20" t="s">
        <v>917</v>
      </c>
    </row>
    <row r="54" customFormat="false" ht="15" hidden="false" customHeight="false" outlineLevel="0" collapsed="false">
      <c r="B54" s="20" t="s">
        <v>1157</v>
      </c>
      <c r="C54" s="20" t="s">
        <v>1158</v>
      </c>
      <c r="D54" s="20" t="s">
        <v>1159</v>
      </c>
      <c r="E54" s="20" t="s">
        <v>200</v>
      </c>
      <c r="F54" s="21" t="n">
        <v>12789.04</v>
      </c>
      <c r="G54" s="20" t="n">
        <v>5</v>
      </c>
      <c r="H54" s="21" t="n">
        <v>1682.7878</v>
      </c>
      <c r="I54" s="20" t="s">
        <v>917</v>
      </c>
    </row>
    <row r="55" customFormat="false" ht="15" hidden="false" customHeight="false" outlineLevel="0" collapsed="false">
      <c r="B55" s="20" t="s">
        <v>1160</v>
      </c>
      <c r="C55" s="20" t="s">
        <v>1161</v>
      </c>
      <c r="D55" s="20" t="s">
        <v>196</v>
      </c>
      <c r="E55" s="20" t="s">
        <v>182</v>
      </c>
      <c r="F55" s="21" t="n">
        <v>0</v>
      </c>
      <c r="G55" s="20" t="n">
        <v>36</v>
      </c>
      <c r="H55" s="21" t="n">
        <v>1667.11824</v>
      </c>
      <c r="I55" s="20" t="s">
        <v>1095</v>
      </c>
    </row>
    <row r="56" customFormat="false" ht="15" hidden="false" customHeight="false" outlineLevel="0" collapsed="false">
      <c r="B56" s="20" t="s">
        <v>1162</v>
      </c>
      <c r="C56" s="20" t="s">
        <v>1163</v>
      </c>
      <c r="D56" s="20" t="s">
        <v>273</v>
      </c>
      <c r="E56" s="20" t="s">
        <v>182</v>
      </c>
      <c r="F56" s="21" t="n">
        <v>3945</v>
      </c>
      <c r="G56" s="20" t="n">
        <v>190</v>
      </c>
      <c r="H56" s="21" t="n">
        <v>1598.375</v>
      </c>
      <c r="I56" s="20" t="s">
        <v>1095</v>
      </c>
    </row>
    <row r="57" customFormat="false" ht="15" hidden="false" customHeight="false" outlineLevel="0" collapsed="false">
      <c r="B57" s="20" t="s">
        <v>1164</v>
      </c>
      <c r="C57" s="20" t="s">
        <v>1165</v>
      </c>
      <c r="D57" s="20" t="s">
        <v>1166</v>
      </c>
      <c r="E57" s="20" t="s">
        <v>165</v>
      </c>
      <c r="F57" s="21" t="n">
        <v>481.5</v>
      </c>
      <c r="G57" s="20" t="n">
        <v>25</v>
      </c>
      <c r="H57" s="21" t="n">
        <v>1523.5</v>
      </c>
      <c r="I57" s="20" t="s">
        <v>1095</v>
      </c>
    </row>
    <row r="58" customFormat="false" ht="15" hidden="false" customHeight="false" outlineLevel="0" collapsed="false">
      <c r="B58" s="20" t="s">
        <v>1167</v>
      </c>
      <c r="C58" s="20" t="s">
        <v>1168</v>
      </c>
      <c r="D58" s="20" t="s">
        <v>196</v>
      </c>
      <c r="E58" s="20" t="s">
        <v>182</v>
      </c>
      <c r="F58" s="21" t="n">
        <v>0</v>
      </c>
      <c r="G58" s="20" t="n">
        <v>31</v>
      </c>
      <c r="H58" s="21" t="n">
        <v>1435.57404</v>
      </c>
      <c r="I58" s="20" t="s">
        <v>1095</v>
      </c>
    </row>
    <row r="59" customFormat="false" ht="15" hidden="false" customHeight="false" outlineLevel="0" collapsed="false">
      <c r="B59" s="20" t="s">
        <v>1169</v>
      </c>
      <c r="C59" s="20" t="s">
        <v>391</v>
      </c>
      <c r="D59" s="20" t="s">
        <v>196</v>
      </c>
      <c r="E59" s="20" t="s">
        <v>182</v>
      </c>
      <c r="F59" s="21" t="n">
        <v>0</v>
      </c>
      <c r="G59" s="20" t="n">
        <v>31</v>
      </c>
      <c r="H59" s="21" t="n">
        <v>1435.57404</v>
      </c>
      <c r="I59" s="20" t="s">
        <v>1095</v>
      </c>
    </row>
    <row r="60" customFormat="false" ht="15" hidden="false" customHeight="false" outlineLevel="0" collapsed="false">
      <c r="B60" s="20" t="s">
        <v>1170</v>
      </c>
      <c r="C60" s="20" t="s">
        <v>1171</v>
      </c>
      <c r="D60" s="20" t="s">
        <v>1172</v>
      </c>
      <c r="E60" s="20" t="s">
        <v>157</v>
      </c>
      <c r="F60" s="21" t="n">
        <v>6285.5</v>
      </c>
      <c r="G60" s="20" t="n">
        <v>3</v>
      </c>
      <c r="H60" s="21" t="n">
        <v>1343.7</v>
      </c>
      <c r="I60" s="20" t="s">
        <v>1095</v>
      </c>
    </row>
    <row r="61" customFormat="false" ht="15" hidden="false" customHeight="false" outlineLevel="0" collapsed="false">
      <c r="B61" s="20" t="s">
        <v>1173</v>
      </c>
      <c r="C61" s="20" t="s">
        <v>1146</v>
      </c>
      <c r="D61" s="20" t="s">
        <v>584</v>
      </c>
      <c r="E61" s="20" t="s">
        <v>200</v>
      </c>
      <c r="F61" s="21" t="n">
        <v>40367.65</v>
      </c>
      <c r="G61" s="20" t="n">
        <v>3</v>
      </c>
      <c r="H61" s="21" t="n">
        <v>1311.727755</v>
      </c>
      <c r="I61" s="20" t="s">
        <v>917</v>
      </c>
    </row>
    <row r="62" customFormat="false" ht="15" hidden="false" customHeight="false" outlineLevel="0" collapsed="false">
      <c r="B62" s="20" t="s">
        <v>1174</v>
      </c>
      <c r="C62" s="20" t="s">
        <v>1175</v>
      </c>
      <c r="D62" s="20" t="s">
        <v>196</v>
      </c>
      <c r="E62" s="20" t="s">
        <v>182</v>
      </c>
      <c r="F62" s="21" t="n">
        <v>0</v>
      </c>
      <c r="G62" s="20" t="n">
        <v>28</v>
      </c>
      <c r="H62" s="21" t="n">
        <v>1296.64752</v>
      </c>
      <c r="I62" s="20" t="s">
        <v>1095</v>
      </c>
    </row>
    <row r="63" customFormat="false" ht="15" hidden="false" customHeight="false" outlineLevel="0" collapsed="false">
      <c r="B63" s="20" t="s">
        <v>1176</v>
      </c>
      <c r="C63" s="20" t="s">
        <v>1177</v>
      </c>
      <c r="D63" s="20" t="s">
        <v>1178</v>
      </c>
      <c r="E63" s="20" t="s">
        <v>165</v>
      </c>
      <c r="F63" s="21" t="n">
        <v>1223.62</v>
      </c>
      <c r="G63" s="20" t="n">
        <v>20</v>
      </c>
      <c r="H63" s="21" t="n">
        <v>1288.8</v>
      </c>
      <c r="I63" s="20" t="s">
        <v>1095</v>
      </c>
    </row>
    <row r="64" customFormat="false" ht="15" hidden="false" customHeight="false" outlineLevel="0" collapsed="false">
      <c r="B64" s="20" t="s">
        <v>1179</v>
      </c>
      <c r="C64" s="20" t="s">
        <v>1180</v>
      </c>
      <c r="D64" s="20" t="s">
        <v>426</v>
      </c>
      <c r="E64" s="20" t="s">
        <v>157</v>
      </c>
      <c r="F64" s="21" t="n">
        <v>1960.24</v>
      </c>
      <c r="G64" s="20" t="n">
        <v>40</v>
      </c>
      <c r="H64" s="21" t="n">
        <v>1255</v>
      </c>
      <c r="I64" s="20" t="s">
        <v>1095</v>
      </c>
    </row>
    <row r="65" customFormat="false" ht="15" hidden="false" customHeight="false" outlineLevel="0" collapsed="false">
      <c r="B65" s="20" t="s">
        <v>1181</v>
      </c>
      <c r="C65" s="20" t="s">
        <v>1182</v>
      </c>
      <c r="D65" s="20" t="s">
        <v>1183</v>
      </c>
      <c r="E65" s="20" t="s">
        <v>200</v>
      </c>
      <c r="F65" s="21" t="n">
        <v>7429.36</v>
      </c>
      <c r="G65" s="20" t="n">
        <v>14</v>
      </c>
      <c r="H65" s="21" t="n">
        <v>1221.71</v>
      </c>
      <c r="I65" s="20" t="s">
        <v>917</v>
      </c>
    </row>
    <row r="66" customFormat="false" ht="15" hidden="false" customHeight="false" outlineLevel="0" collapsed="false">
      <c r="B66" s="20" t="s">
        <v>1184</v>
      </c>
      <c r="C66" s="20" t="s">
        <v>1185</v>
      </c>
      <c r="D66" s="20" t="s">
        <v>196</v>
      </c>
      <c r="E66" s="20" t="s">
        <v>182</v>
      </c>
      <c r="F66" s="21" t="n">
        <v>0</v>
      </c>
      <c r="G66" s="20" t="n">
        <v>26</v>
      </c>
      <c r="H66" s="21" t="n">
        <v>1204.02984</v>
      </c>
      <c r="I66" s="20" t="s">
        <v>1095</v>
      </c>
    </row>
    <row r="67" customFormat="false" ht="15" hidden="false" customHeight="false" outlineLevel="0" collapsed="false">
      <c r="B67" s="20" t="s">
        <v>1186</v>
      </c>
      <c r="C67" s="20" t="s">
        <v>1187</v>
      </c>
      <c r="D67" s="20" t="s">
        <v>1188</v>
      </c>
      <c r="E67" s="20" t="s">
        <v>165</v>
      </c>
      <c r="F67" s="21" t="n">
        <v>2385.77</v>
      </c>
      <c r="G67" s="20" t="n">
        <v>2</v>
      </c>
      <c r="H67" s="21" t="n">
        <v>1180.1</v>
      </c>
      <c r="I67" s="20" t="s">
        <v>1095</v>
      </c>
    </row>
    <row r="68" customFormat="false" ht="15" hidden="false" customHeight="false" outlineLevel="0" collapsed="false">
      <c r="B68" s="20" t="s">
        <v>1189</v>
      </c>
      <c r="C68" s="20" t="s">
        <v>1190</v>
      </c>
      <c r="D68" s="20" t="s">
        <v>1142</v>
      </c>
      <c r="E68" s="20" t="s">
        <v>165</v>
      </c>
      <c r="F68" s="21" t="n">
        <v>3085.44</v>
      </c>
      <c r="G68" s="20" t="n">
        <v>1</v>
      </c>
      <c r="H68" s="21" t="n">
        <v>1133.55</v>
      </c>
      <c r="I68" s="20" t="s">
        <v>1095</v>
      </c>
    </row>
    <row r="69" customFormat="false" ht="15" hidden="false" customHeight="false" outlineLevel="0" collapsed="false">
      <c r="B69" s="20" t="s">
        <v>1191</v>
      </c>
      <c r="C69" s="20" t="s">
        <v>1192</v>
      </c>
      <c r="D69" s="20" t="s">
        <v>1142</v>
      </c>
      <c r="E69" s="20" t="s">
        <v>165</v>
      </c>
      <c r="F69" s="21" t="n">
        <v>7411.25</v>
      </c>
      <c r="G69" s="20" t="n">
        <v>1</v>
      </c>
      <c r="H69" s="21" t="n">
        <v>1133.55</v>
      </c>
      <c r="I69" s="20" t="s">
        <v>1095</v>
      </c>
    </row>
    <row r="70" customFormat="false" ht="15" hidden="false" customHeight="false" outlineLevel="0" collapsed="false">
      <c r="B70" s="20" t="s">
        <v>1193</v>
      </c>
      <c r="C70" s="20" t="s">
        <v>1194</v>
      </c>
      <c r="D70" s="20" t="s">
        <v>340</v>
      </c>
      <c r="E70" s="20" t="s">
        <v>157</v>
      </c>
      <c r="F70" s="21" t="n">
        <v>20585.59</v>
      </c>
      <c r="G70" s="20" t="n">
        <v>4</v>
      </c>
      <c r="H70" s="21" t="n">
        <v>1128.48</v>
      </c>
      <c r="I70" s="20" t="s">
        <v>1095</v>
      </c>
    </row>
    <row r="71" customFormat="false" ht="15" hidden="false" customHeight="false" outlineLevel="0" collapsed="false">
      <c r="B71" s="20" t="s">
        <v>1195</v>
      </c>
      <c r="C71" s="20" t="s">
        <v>1196</v>
      </c>
      <c r="D71" s="20" t="s">
        <v>196</v>
      </c>
      <c r="E71" s="20" t="s">
        <v>182</v>
      </c>
      <c r="F71" s="21" t="n">
        <v>0</v>
      </c>
      <c r="G71" s="20" t="n">
        <v>24</v>
      </c>
      <c r="H71" s="21" t="n">
        <v>1111.41216</v>
      </c>
      <c r="I71" s="20" t="s">
        <v>1095</v>
      </c>
    </row>
    <row r="72" customFormat="false" ht="15" hidden="false" customHeight="false" outlineLevel="0" collapsed="false">
      <c r="B72" s="20" t="s">
        <v>1197</v>
      </c>
      <c r="C72" s="20" t="s">
        <v>1198</v>
      </c>
      <c r="D72" s="20" t="s">
        <v>353</v>
      </c>
      <c r="E72" s="20" t="s">
        <v>157</v>
      </c>
      <c r="F72" s="21" t="n">
        <v>7975.72</v>
      </c>
      <c r="G72" s="20" t="n">
        <v>6</v>
      </c>
      <c r="H72" s="21" t="n">
        <v>1064.775</v>
      </c>
      <c r="I72" s="20" t="s">
        <v>917</v>
      </c>
    </row>
    <row r="73" customFormat="false" ht="15" hidden="false" customHeight="false" outlineLevel="0" collapsed="false">
      <c r="B73" s="20" t="s">
        <v>1199</v>
      </c>
      <c r="C73" s="20" t="s">
        <v>1200</v>
      </c>
      <c r="D73" s="20" t="s">
        <v>196</v>
      </c>
      <c r="E73" s="20" t="s">
        <v>182</v>
      </c>
      <c r="F73" s="21" t="n">
        <v>0</v>
      </c>
      <c r="G73" s="20" t="n">
        <v>22</v>
      </c>
      <c r="H73" s="21" t="n">
        <v>1018.79448</v>
      </c>
      <c r="I73" s="20" t="s">
        <v>1095</v>
      </c>
    </row>
    <row r="74" customFormat="false" ht="15" hidden="false" customHeight="false" outlineLevel="0" collapsed="false">
      <c r="B74" s="20" t="s">
        <v>1201</v>
      </c>
      <c r="C74" s="20" t="s">
        <v>1202</v>
      </c>
      <c r="D74" s="20" t="s">
        <v>423</v>
      </c>
      <c r="E74" s="20" t="s">
        <v>214</v>
      </c>
      <c r="F74" s="21" t="n">
        <v>6281.94</v>
      </c>
      <c r="G74" s="20" t="n">
        <v>13</v>
      </c>
      <c r="H74" s="21" t="n">
        <v>1013.935</v>
      </c>
      <c r="I74" s="20" t="s">
        <v>917</v>
      </c>
    </row>
    <row r="75" customFormat="false" ht="15" hidden="false" customHeight="false" outlineLevel="0" collapsed="false">
      <c r="B75" s="20" t="s">
        <v>1203</v>
      </c>
      <c r="C75" s="20" t="s">
        <v>777</v>
      </c>
      <c r="D75" s="20" t="s">
        <v>389</v>
      </c>
      <c r="E75" s="20" t="s">
        <v>165</v>
      </c>
      <c r="F75" s="21" t="n">
        <v>2766.76</v>
      </c>
      <c r="G75" s="20" t="n">
        <v>2</v>
      </c>
      <c r="H75" s="21" t="n">
        <v>942.92</v>
      </c>
      <c r="I75" s="20" t="s">
        <v>1095</v>
      </c>
    </row>
    <row r="76" customFormat="false" ht="15" hidden="false" customHeight="false" outlineLevel="0" collapsed="false">
      <c r="B76" s="20" t="s">
        <v>1204</v>
      </c>
      <c r="C76" s="20" t="s">
        <v>725</v>
      </c>
      <c r="D76" s="20" t="s">
        <v>389</v>
      </c>
      <c r="E76" s="20" t="s">
        <v>165</v>
      </c>
      <c r="F76" s="21" t="n">
        <v>11302</v>
      </c>
      <c r="G76" s="20" t="n">
        <v>2</v>
      </c>
      <c r="H76" s="21" t="n">
        <v>942.92</v>
      </c>
      <c r="I76" s="20" t="s">
        <v>1095</v>
      </c>
    </row>
    <row r="77" customFormat="false" ht="15" hidden="false" customHeight="false" outlineLevel="0" collapsed="false">
      <c r="B77" s="20" t="s">
        <v>1205</v>
      </c>
      <c r="C77" s="20" t="s">
        <v>1094</v>
      </c>
      <c r="D77" s="20" t="s">
        <v>389</v>
      </c>
      <c r="E77" s="20" t="s">
        <v>165</v>
      </c>
      <c r="F77" s="21" t="n">
        <v>6567.14</v>
      </c>
      <c r="G77" s="20" t="n">
        <v>2</v>
      </c>
      <c r="H77" s="21" t="n">
        <v>942.92</v>
      </c>
      <c r="I77" s="20" t="s">
        <v>1095</v>
      </c>
    </row>
    <row r="78" customFormat="false" ht="15" hidden="false" customHeight="false" outlineLevel="0" collapsed="false">
      <c r="B78" s="20" t="s">
        <v>1206</v>
      </c>
      <c r="C78" s="20" t="s">
        <v>1207</v>
      </c>
      <c r="D78" s="20" t="s">
        <v>1130</v>
      </c>
      <c r="E78" s="20" t="s">
        <v>157</v>
      </c>
      <c r="F78" s="21" t="n">
        <v>15408.14</v>
      </c>
      <c r="G78" s="20" t="n">
        <v>4</v>
      </c>
      <c r="H78" s="21" t="n">
        <v>931.04</v>
      </c>
      <c r="I78" s="20" t="s">
        <v>1095</v>
      </c>
    </row>
    <row r="79" customFormat="false" ht="15" hidden="false" customHeight="false" outlineLevel="0" collapsed="false">
      <c r="B79" s="20" t="s">
        <v>1208</v>
      </c>
      <c r="C79" s="20" t="s">
        <v>1209</v>
      </c>
      <c r="D79" s="20" t="s">
        <v>1130</v>
      </c>
      <c r="E79" s="20" t="s">
        <v>165</v>
      </c>
      <c r="F79" s="21" t="n">
        <v>703.96</v>
      </c>
      <c r="G79" s="20" t="n">
        <v>4</v>
      </c>
      <c r="H79" s="21" t="n">
        <v>931.04</v>
      </c>
      <c r="I79" s="20" t="s">
        <v>1095</v>
      </c>
    </row>
    <row r="80" customFormat="false" ht="15" hidden="false" customHeight="false" outlineLevel="0" collapsed="false">
      <c r="B80" s="20" t="s">
        <v>1210</v>
      </c>
      <c r="C80" s="20" t="s">
        <v>1211</v>
      </c>
      <c r="D80" s="20" t="s">
        <v>1130</v>
      </c>
      <c r="E80" s="20" t="s">
        <v>165</v>
      </c>
      <c r="F80" s="21" t="n">
        <v>2227.68</v>
      </c>
      <c r="G80" s="20" t="n">
        <v>4</v>
      </c>
      <c r="H80" s="21" t="n">
        <v>931.04</v>
      </c>
      <c r="I80" s="20" t="s">
        <v>1095</v>
      </c>
    </row>
    <row r="81" customFormat="false" ht="15" hidden="false" customHeight="false" outlineLevel="0" collapsed="false">
      <c r="B81" s="20" t="s">
        <v>1212</v>
      </c>
      <c r="C81" s="20" t="s">
        <v>1213</v>
      </c>
      <c r="D81" s="20" t="s">
        <v>1130</v>
      </c>
      <c r="E81" s="20" t="s">
        <v>157</v>
      </c>
      <c r="F81" s="21" t="n">
        <v>1065</v>
      </c>
      <c r="G81" s="20" t="n">
        <v>4</v>
      </c>
      <c r="H81" s="21" t="n">
        <v>931.04</v>
      </c>
      <c r="I81" s="20" t="s">
        <v>1095</v>
      </c>
    </row>
    <row r="82" customFormat="false" ht="15" hidden="false" customHeight="false" outlineLevel="0" collapsed="false">
      <c r="B82" s="20" t="s">
        <v>1214</v>
      </c>
      <c r="C82" s="20" t="s">
        <v>1215</v>
      </c>
      <c r="D82" s="20" t="s">
        <v>1130</v>
      </c>
      <c r="E82" s="20" t="s">
        <v>157</v>
      </c>
      <c r="F82" s="21" t="n">
        <v>9692.86</v>
      </c>
      <c r="G82" s="20" t="n">
        <v>4</v>
      </c>
      <c r="H82" s="21" t="n">
        <v>931.04</v>
      </c>
      <c r="I82" s="20" t="s">
        <v>1095</v>
      </c>
    </row>
    <row r="83" customFormat="false" ht="15" hidden="false" customHeight="false" outlineLevel="0" collapsed="false">
      <c r="B83" s="20" t="s">
        <v>1216</v>
      </c>
      <c r="C83" s="20" t="s">
        <v>1217</v>
      </c>
      <c r="D83" s="20" t="s">
        <v>1130</v>
      </c>
      <c r="E83" s="20" t="s">
        <v>165</v>
      </c>
      <c r="F83" s="21" t="n">
        <v>808.44</v>
      </c>
      <c r="G83" s="20" t="n">
        <v>4</v>
      </c>
      <c r="H83" s="21" t="n">
        <v>931.04</v>
      </c>
      <c r="I83" s="20" t="s">
        <v>1095</v>
      </c>
    </row>
    <row r="84" customFormat="false" ht="15" hidden="false" customHeight="false" outlineLevel="0" collapsed="false">
      <c r="B84" s="20" t="s">
        <v>1218</v>
      </c>
      <c r="C84" s="20" t="s">
        <v>1219</v>
      </c>
      <c r="D84" s="20" t="s">
        <v>1220</v>
      </c>
      <c r="E84" s="20" t="s">
        <v>200</v>
      </c>
      <c r="F84" s="21" t="n">
        <v>3121.34</v>
      </c>
      <c r="G84" s="20" t="n">
        <v>9</v>
      </c>
      <c r="H84" s="21" t="n">
        <v>927.99</v>
      </c>
      <c r="I84" s="20" t="s">
        <v>1095</v>
      </c>
    </row>
    <row r="85" customFormat="false" ht="15" hidden="false" customHeight="false" outlineLevel="0" collapsed="false">
      <c r="B85" s="20" t="s">
        <v>1221</v>
      </c>
      <c r="C85" s="20" t="s">
        <v>1222</v>
      </c>
      <c r="D85" s="20" t="s">
        <v>196</v>
      </c>
      <c r="E85" s="20" t="s">
        <v>182</v>
      </c>
      <c r="F85" s="21" t="n">
        <v>0</v>
      </c>
      <c r="G85" s="20" t="n">
        <v>20</v>
      </c>
      <c r="H85" s="21" t="n">
        <v>926.1768</v>
      </c>
      <c r="I85" s="20" t="s">
        <v>1095</v>
      </c>
    </row>
    <row r="86" customFormat="false" ht="15" hidden="false" customHeight="false" outlineLevel="0" collapsed="false">
      <c r="B86" s="20" t="s">
        <v>1223</v>
      </c>
      <c r="C86" s="20" t="s">
        <v>1224</v>
      </c>
      <c r="D86" s="20" t="s">
        <v>524</v>
      </c>
      <c r="E86" s="20" t="s">
        <v>157</v>
      </c>
      <c r="F86" s="21" t="n">
        <v>11143.9</v>
      </c>
      <c r="G86" s="20" t="n">
        <v>2</v>
      </c>
      <c r="H86" s="21" t="n">
        <v>905.82</v>
      </c>
      <c r="I86" s="20" t="s">
        <v>1095</v>
      </c>
    </row>
    <row r="87" customFormat="false" ht="15" hidden="false" customHeight="false" outlineLevel="0" collapsed="false">
      <c r="B87" s="20" t="s">
        <v>1225</v>
      </c>
      <c r="C87" s="20" t="s">
        <v>1226</v>
      </c>
      <c r="D87" s="20" t="s">
        <v>1227</v>
      </c>
      <c r="E87" s="20" t="s">
        <v>200</v>
      </c>
      <c r="F87" s="21" t="n">
        <v>8603.84</v>
      </c>
      <c r="G87" s="20" t="n">
        <v>20</v>
      </c>
      <c r="H87" s="21" t="n">
        <v>877.73</v>
      </c>
      <c r="I87" s="20" t="s">
        <v>1095</v>
      </c>
    </row>
    <row r="88" customFormat="false" ht="15" hidden="false" customHeight="false" outlineLevel="0" collapsed="false">
      <c r="B88" s="20" t="s">
        <v>1228</v>
      </c>
      <c r="C88" s="20" t="s">
        <v>1229</v>
      </c>
      <c r="D88" s="20" t="s">
        <v>1230</v>
      </c>
      <c r="E88" s="20" t="s">
        <v>182</v>
      </c>
      <c r="F88" s="21" t="n">
        <v>2339</v>
      </c>
      <c r="G88" s="20" t="n">
        <v>1</v>
      </c>
      <c r="H88" s="21" t="n">
        <v>875.982595</v>
      </c>
      <c r="I88" s="20" t="s">
        <v>1095</v>
      </c>
    </row>
    <row r="89" customFormat="false" ht="15" hidden="false" customHeight="false" outlineLevel="0" collapsed="false">
      <c r="B89" s="20" t="s">
        <v>1231</v>
      </c>
      <c r="C89" s="20" t="s">
        <v>1232</v>
      </c>
      <c r="D89" s="20" t="s">
        <v>362</v>
      </c>
      <c r="E89" s="20" t="s">
        <v>200</v>
      </c>
      <c r="F89" s="21" t="n">
        <v>6649.01</v>
      </c>
      <c r="G89" s="20" t="n">
        <v>12</v>
      </c>
      <c r="H89" s="21" t="n">
        <v>868.368</v>
      </c>
      <c r="I89" s="20" t="s">
        <v>917</v>
      </c>
    </row>
    <row r="90" customFormat="false" ht="15" hidden="false" customHeight="false" outlineLevel="0" collapsed="false">
      <c r="B90" s="20" t="s">
        <v>1233</v>
      </c>
      <c r="C90" s="20" t="s">
        <v>678</v>
      </c>
      <c r="D90" s="20" t="s">
        <v>205</v>
      </c>
      <c r="E90" s="20" t="s">
        <v>165</v>
      </c>
      <c r="F90" s="21" t="n">
        <v>612.29</v>
      </c>
      <c r="G90" s="20" t="n">
        <v>12</v>
      </c>
      <c r="H90" s="21" t="n">
        <v>850.3458</v>
      </c>
      <c r="I90" s="20" t="s">
        <v>1095</v>
      </c>
    </row>
    <row r="91" customFormat="false" ht="15" hidden="false" customHeight="false" outlineLevel="0" collapsed="false">
      <c r="B91" s="20" t="s">
        <v>1234</v>
      </c>
      <c r="C91" s="20" t="s">
        <v>1235</v>
      </c>
      <c r="D91" s="20" t="s">
        <v>196</v>
      </c>
      <c r="E91" s="20" t="s">
        <v>182</v>
      </c>
      <c r="F91" s="21" t="n">
        <v>1898.44</v>
      </c>
      <c r="G91" s="20" t="n">
        <v>18</v>
      </c>
      <c r="H91" s="21" t="n">
        <v>833.55912</v>
      </c>
      <c r="I91" s="20" t="s">
        <v>1095</v>
      </c>
    </row>
    <row r="92" customFormat="false" ht="15" hidden="false" customHeight="false" outlineLevel="0" collapsed="false">
      <c r="B92" s="20" t="s">
        <v>1236</v>
      </c>
      <c r="C92" s="20" t="s">
        <v>1237</v>
      </c>
      <c r="D92" s="20" t="s">
        <v>196</v>
      </c>
      <c r="E92" s="20" t="s">
        <v>182</v>
      </c>
      <c r="F92" s="21" t="n">
        <v>0</v>
      </c>
      <c r="G92" s="20" t="n">
        <v>18</v>
      </c>
      <c r="H92" s="21" t="n">
        <v>833.55912</v>
      </c>
      <c r="I92" s="20" t="s">
        <v>1095</v>
      </c>
    </row>
    <row r="93" customFormat="false" ht="15" hidden="false" customHeight="false" outlineLevel="0" collapsed="false">
      <c r="B93" s="20" t="s">
        <v>1238</v>
      </c>
      <c r="C93" s="20" t="s">
        <v>1239</v>
      </c>
      <c r="D93" s="20" t="s">
        <v>199</v>
      </c>
      <c r="E93" s="20" t="s">
        <v>157</v>
      </c>
      <c r="F93" s="21" t="n">
        <v>2972.25</v>
      </c>
      <c r="G93" s="20" t="n">
        <v>13</v>
      </c>
      <c r="H93" s="21" t="n">
        <v>830.44</v>
      </c>
      <c r="I93" s="20" t="s">
        <v>1095</v>
      </c>
    </row>
    <row r="94" customFormat="false" ht="15" hidden="false" customHeight="false" outlineLevel="0" collapsed="false">
      <c r="B94" s="20" t="s">
        <v>1240</v>
      </c>
      <c r="C94" s="20" t="s">
        <v>1241</v>
      </c>
      <c r="D94" s="20" t="s">
        <v>372</v>
      </c>
      <c r="E94" s="20" t="s">
        <v>165</v>
      </c>
      <c r="F94" s="21" t="n">
        <v>730.2</v>
      </c>
      <c r="G94" s="20" t="n">
        <v>25</v>
      </c>
      <c r="H94" s="21" t="n">
        <v>818.75</v>
      </c>
      <c r="I94" s="20" t="s">
        <v>1095</v>
      </c>
    </row>
    <row r="95" customFormat="false" ht="15" hidden="false" customHeight="false" outlineLevel="0" collapsed="false">
      <c r="B95" s="20" t="s">
        <v>1242</v>
      </c>
      <c r="C95" s="20" t="s">
        <v>1243</v>
      </c>
      <c r="D95" s="20" t="s">
        <v>630</v>
      </c>
      <c r="E95" s="20" t="s">
        <v>200</v>
      </c>
      <c r="F95" s="21" t="n">
        <v>19132.46</v>
      </c>
      <c r="G95" s="20" t="n">
        <v>4</v>
      </c>
      <c r="H95" s="21" t="n">
        <v>788.28</v>
      </c>
      <c r="I95" s="20" t="s">
        <v>1095</v>
      </c>
    </row>
    <row r="96" customFormat="false" ht="15" hidden="false" customHeight="false" outlineLevel="0" collapsed="false">
      <c r="B96" s="20" t="s">
        <v>1244</v>
      </c>
      <c r="C96" s="20" t="s">
        <v>1245</v>
      </c>
      <c r="D96" s="20" t="s">
        <v>196</v>
      </c>
      <c r="E96" s="20" t="s">
        <v>182</v>
      </c>
      <c r="F96" s="21" t="n">
        <v>0</v>
      </c>
      <c r="G96" s="20" t="n">
        <v>17</v>
      </c>
      <c r="H96" s="21" t="n">
        <v>787.25028</v>
      </c>
      <c r="I96" s="20" t="s">
        <v>1095</v>
      </c>
    </row>
    <row r="97" customFormat="false" ht="15" hidden="false" customHeight="false" outlineLevel="0" collapsed="false">
      <c r="B97" s="20" t="s">
        <v>1246</v>
      </c>
      <c r="C97" s="20" t="s">
        <v>1247</v>
      </c>
      <c r="D97" s="20" t="s">
        <v>372</v>
      </c>
      <c r="E97" s="20" t="s">
        <v>157</v>
      </c>
      <c r="F97" s="21" t="n">
        <v>3831.22</v>
      </c>
      <c r="G97" s="20" t="n">
        <v>24</v>
      </c>
      <c r="H97" s="21" t="n">
        <v>786</v>
      </c>
      <c r="I97" s="20" t="s">
        <v>1095</v>
      </c>
    </row>
    <row r="98" customFormat="false" ht="15" hidden="false" customHeight="false" outlineLevel="0" collapsed="false">
      <c r="B98" s="20" t="s">
        <v>1248</v>
      </c>
      <c r="C98" s="20" t="s">
        <v>1249</v>
      </c>
      <c r="D98" s="20" t="s">
        <v>1250</v>
      </c>
      <c r="E98" s="20" t="s">
        <v>165</v>
      </c>
      <c r="F98" s="21" t="n">
        <v>2029.66</v>
      </c>
      <c r="G98" s="20" t="n">
        <v>15</v>
      </c>
      <c r="H98" s="21" t="n">
        <v>751.35</v>
      </c>
      <c r="I98" s="20" t="s">
        <v>1095</v>
      </c>
    </row>
    <row r="99" customFormat="false" ht="15" hidden="false" customHeight="false" outlineLevel="0" collapsed="false">
      <c r="B99" s="20" t="s">
        <v>1251</v>
      </c>
      <c r="C99" s="20" t="s">
        <v>1252</v>
      </c>
      <c r="D99" s="20" t="s">
        <v>259</v>
      </c>
      <c r="E99" s="20" t="s">
        <v>182</v>
      </c>
      <c r="F99" s="21" t="n">
        <v>0</v>
      </c>
      <c r="G99" s="20" t="n">
        <v>1</v>
      </c>
      <c r="H99" s="21" t="n">
        <v>751.08467</v>
      </c>
      <c r="I99" s="20" t="s">
        <v>1095</v>
      </c>
    </row>
    <row r="100" customFormat="false" ht="15" hidden="false" customHeight="false" outlineLevel="0" collapsed="false">
      <c r="B100" s="20" t="s">
        <v>1253</v>
      </c>
      <c r="C100" s="20" t="s">
        <v>1254</v>
      </c>
      <c r="D100" s="20" t="s">
        <v>259</v>
      </c>
      <c r="E100" s="20" t="s">
        <v>182</v>
      </c>
      <c r="F100" s="21" t="n">
        <v>0</v>
      </c>
      <c r="G100" s="20" t="n">
        <v>1</v>
      </c>
      <c r="H100" s="21" t="n">
        <v>751.08467</v>
      </c>
      <c r="I100" s="20" t="s">
        <v>1095</v>
      </c>
    </row>
    <row r="101" customFormat="false" ht="15" hidden="false" customHeight="false" outlineLevel="0" collapsed="false">
      <c r="B101" s="20" t="s">
        <v>1255</v>
      </c>
      <c r="C101" s="20" t="s">
        <v>1256</v>
      </c>
      <c r="D101" s="20" t="s">
        <v>259</v>
      </c>
      <c r="E101" s="20" t="s">
        <v>182</v>
      </c>
      <c r="F101" s="21" t="n">
        <v>0</v>
      </c>
      <c r="G101" s="20" t="n">
        <v>1</v>
      </c>
      <c r="H101" s="21" t="n">
        <v>751.08467</v>
      </c>
      <c r="I101" s="20" t="s">
        <v>1095</v>
      </c>
    </row>
    <row r="102" customFormat="false" ht="15" hidden="false" customHeight="false" outlineLevel="0" collapsed="false">
      <c r="B102" s="20" t="s">
        <v>1257</v>
      </c>
      <c r="C102" s="20" t="s">
        <v>1258</v>
      </c>
      <c r="D102" s="20" t="s">
        <v>259</v>
      </c>
      <c r="E102" s="20" t="s">
        <v>182</v>
      </c>
      <c r="F102" s="21" t="n">
        <v>0</v>
      </c>
      <c r="G102" s="20" t="n">
        <v>1</v>
      </c>
      <c r="H102" s="21" t="n">
        <v>751.08467</v>
      </c>
      <c r="I102" s="20" t="s">
        <v>1095</v>
      </c>
    </row>
    <row r="103" customFormat="false" ht="15" hidden="false" customHeight="false" outlineLevel="0" collapsed="false">
      <c r="B103" s="20" t="s">
        <v>1259</v>
      </c>
      <c r="C103" s="20" t="s">
        <v>1260</v>
      </c>
      <c r="D103" s="20" t="s">
        <v>666</v>
      </c>
      <c r="E103" s="20" t="s">
        <v>165</v>
      </c>
      <c r="F103" s="21" t="n">
        <v>4219.36</v>
      </c>
      <c r="G103" s="20" t="n">
        <v>27</v>
      </c>
      <c r="H103" s="21" t="n">
        <v>749.79</v>
      </c>
      <c r="I103" s="20" t="s">
        <v>1095</v>
      </c>
    </row>
    <row r="104" customFormat="false" ht="15" hidden="false" customHeight="false" outlineLevel="0" collapsed="false">
      <c r="B104" s="20" t="s">
        <v>1261</v>
      </c>
      <c r="C104" s="20" t="s">
        <v>1161</v>
      </c>
      <c r="D104" s="20" t="s">
        <v>196</v>
      </c>
      <c r="E104" s="20" t="s">
        <v>182</v>
      </c>
      <c r="F104" s="21" t="n">
        <v>0</v>
      </c>
      <c r="G104" s="20" t="n">
        <v>16</v>
      </c>
      <c r="H104" s="21" t="n">
        <v>740.94144</v>
      </c>
      <c r="I104" s="20" t="s">
        <v>1095</v>
      </c>
    </row>
    <row r="105" customFormat="false" ht="15" hidden="false" customHeight="false" outlineLevel="0" collapsed="false">
      <c r="B105" s="20" t="s">
        <v>1262</v>
      </c>
      <c r="C105" s="20" t="s">
        <v>678</v>
      </c>
      <c r="D105" s="20" t="s">
        <v>224</v>
      </c>
      <c r="E105" s="20" t="s">
        <v>165</v>
      </c>
      <c r="F105" s="21" t="n">
        <v>5400.36</v>
      </c>
      <c r="G105" s="20" t="n">
        <v>15</v>
      </c>
      <c r="H105" s="21" t="n">
        <v>729.9</v>
      </c>
      <c r="I105" s="20" t="s">
        <v>917</v>
      </c>
    </row>
    <row r="106" customFormat="false" ht="15" hidden="false" customHeight="false" outlineLevel="0" collapsed="false">
      <c r="B106" s="20" t="s">
        <v>1263</v>
      </c>
      <c r="C106" s="20" t="s">
        <v>1264</v>
      </c>
      <c r="D106" s="20" t="s">
        <v>1220</v>
      </c>
      <c r="E106" s="20" t="s">
        <v>200</v>
      </c>
      <c r="F106" s="21" t="n">
        <v>15251.7</v>
      </c>
      <c r="G106" s="20" t="n">
        <v>7</v>
      </c>
      <c r="H106" s="21" t="n">
        <v>721.77</v>
      </c>
      <c r="I106" s="20" t="s">
        <v>1095</v>
      </c>
    </row>
    <row r="107" customFormat="false" ht="15" hidden="false" customHeight="false" outlineLevel="0" collapsed="false">
      <c r="B107" s="20" t="s">
        <v>1265</v>
      </c>
      <c r="C107" s="20" t="s">
        <v>1266</v>
      </c>
      <c r="D107" s="20" t="s">
        <v>1156</v>
      </c>
      <c r="E107" s="20" t="s">
        <v>165</v>
      </c>
      <c r="F107" s="21" t="n">
        <v>966.48</v>
      </c>
      <c r="G107" s="20" t="n">
        <v>24</v>
      </c>
      <c r="H107" s="21" t="n">
        <v>709.68</v>
      </c>
      <c r="I107" s="20" t="s">
        <v>1095</v>
      </c>
    </row>
    <row r="108" customFormat="false" ht="15" hidden="false" customHeight="false" outlineLevel="0" collapsed="false">
      <c r="B108" s="20" t="s">
        <v>1267</v>
      </c>
      <c r="C108" s="20" t="s">
        <v>1268</v>
      </c>
      <c r="D108" s="20" t="s">
        <v>1156</v>
      </c>
      <c r="E108" s="20" t="s">
        <v>165</v>
      </c>
      <c r="F108" s="21" t="n">
        <v>1320.1</v>
      </c>
      <c r="G108" s="20" t="n">
        <v>24</v>
      </c>
      <c r="H108" s="21" t="n">
        <v>709.68</v>
      </c>
      <c r="I108" s="20" t="s">
        <v>1095</v>
      </c>
    </row>
    <row r="109" customFormat="false" ht="15" hidden="false" customHeight="false" outlineLevel="0" collapsed="false">
      <c r="B109" s="20" t="s">
        <v>1269</v>
      </c>
      <c r="C109" s="20" t="s">
        <v>1270</v>
      </c>
      <c r="D109" s="20" t="s">
        <v>1156</v>
      </c>
      <c r="E109" s="20" t="s">
        <v>157</v>
      </c>
      <c r="F109" s="21" t="n">
        <v>3384.45</v>
      </c>
      <c r="G109" s="20" t="n">
        <v>24</v>
      </c>
      <c r="H109" s="21" t="n">
        <v>709.68</v>
      </c>
      <c r="I109" s="20" t="s">
        <v>1095</v>
      </c>
    </row>
    <row r="110" customFormat="false" ht="15" hidden="false" customHeight="false" outlineLevel="0" collapsed="false">
      <c r="B110" s="20" t="s">
        <v>1271</v>
      </c>
      <c r="C110" s="20" t="s">
        <v>1272</v>
      </c>
      <c r="D110" s="20" t="s">
        <v>1156</v>
      </c>
      <c r="E110" s="20" t="s">
        <v>182</v>
      </c>
      <c r="F110" s="21" t="n">
        <v>315</v>
      </c>
      <c r="G110" s="20" t="n">
        <v>24</v>
      </c>
      <c r="H110" s="21" t="n">
        <v>709.68</v>
      </c>
      <c r="I110" s="20" t="s">
        <v>1095</v>
      </c>
    </row>
    <row r="111" customFormat="false" ht="15" hidden="false" customHeight="false" outlineLevel="0" collapsed="false">
      <c r="B111" s="20" t="s">
        <v>1273</v>
      </c>
      <c r="C111" s="20" t="s">
        <v>1274</v>
      </c>
      <c r="D111" s="20" t="s">
        <v>971</v>
      </c>
      <c r="E111" s="20" t="s">
        <v>200</v>
      </c>
      <c r="F111" s="21" t="n">
        <v>4543.84</v>
      </c>
      <c r="G111" s="20" t="n">
        <v>5</v>
      </c>
      <c r="H111" s="21" t="n">
        <v>703.68635</v>
      </c>
      <c r="I111" s="20" t="s">
        <v>1095</v>
      </c>
    </row>
    <row r="112" customFormat="false" ht="15" hidden="false" customHeight="false" outlineLevel="0" collapsed="false">
      <c r="B112" s="20" t="s">
        <v>1275</v>
      </c>
      <c r="C112" s="20" t="s">
        <v>1117</v>
      </c>
      <c r="D112" s="20" t="s">
        <v>196</v>
      </c>
      <c r="E112" s="20" t="s">
        <v>200</v>
      </c>
      <c r="F112" s="21" t="n">
        <v>14818.56</v>
      </c>
      <c r="G112" s="20" t="n">
        <v>2</v>
      </c>
      <c r="H112" s="21" t="n">
        <v>700.46</v>
      </c>
      <c r="I112" s="20" t="s">
        <v>917</v>
      </c>
    </row>
    <row r="113" customFormat="false" ht="15" hidden="false" customHeight="false" outlineLevel="0" collapsed="false">
      <c r="B113" s="20" t="s">
        <v>1276</v>
      </c>
      <c r="C113" s="20" t="s">
        <v>1277</v>
      </c>
      <c r="D113" s="20" t="s">
        <v>1278</v>
      </c>
      <c r="E113" s="20" t="s">
        <v>182</v>
      </c>
      <c r="F113" s="21" t="n">
        <v>180</v>
      </c>
      <c r="G113" s="20" t="n">
        <v>4</v>
      </c>
      <c r="H113" s="21" t="n">
        <v>680.88</v>
      </c>
      <c r="I113" s="20" t="s">
        <v>1095</v>
      </c>
    </row>
    <row r="114" customFormat="false" ht="15" hidden="false" customHeight="false" outlineLevel="0" collapsed="false">
      <c r="B114" s="20" t="s">
        <v>1279</v>
      </c>
      <c r="C114" s="20" t="s">
        <v>1280</v>
      </c>
      <c r="D114" s="20" t="s">
        <v>1278</v>
      </c>
      <c r="E114" s="20" t="s">
        <v>165</v>
      </c>
      <c r="F114" s="21" t="n">
        <v>1415.14</v>
      </c>
      <c r="G114" s="20" t="n">
        <v>4</v>
      </c>
      <c r="H114" s="21" t="n">
        <v>680.88</v>
      </c>
      <c r="I114" s="20" t="s">
        <v>1095</v>
      </c>
    </row>
    <row r="115" customFormat="false" ht="15" hidden="false" customHeight="false" outlineLevel="0" collapsed="false">
      <c r="B115" s="20" t="s">
        <v>1281</v>
      </c>
      <c r="C115" s="20" t="s">
        <v>1282</v>
      </c>
      <c r="D115" s="20" t="s">
        <v>1278</v>
      </c>
      <c r="E115" s="20" t="s">
        <v>165</v>
      </c>
      <c r="F115" s="21" t="n">
        <v>711.84</v>
      </c>
      <c r="G115" s="20" t="n">
        <v>4</v>
      </c>
      <c r="H115" s="21" t="n">
        <v>680.88</v>
      </c>
      <c r="I115" s="20" t="s">
        <v>1095</v>
      </c>
    </row>
    <row r="116" customFormat="false" ht="15" hidden="false" customHeight="false" outlineLevel="0" collapsed="false">
      <c r="B116" s="20" t="s">
        <v>1283</v>
      </c>
      <c r="C116" s="20" t="s">
        <v>1284</v>
      </c>
      <c r="D116" s="20" t="s">
        <v>208</v>
      </c>
      <c r="E116" s="20" t="s">
        <v>157</v>
      </c>
      <c r="F116" s="21" t="n">
        <v>923.12</v>
      </c>
      <c r="G116" s="20" t="n">
        <v>8</v>
      </c>
      <c r="H116" s="21" t="n">
        <v>677.78</v>
      </c>
      <c r="I116" s="20" t="s">
        <v>1095</v>
      </c>
    </row>
    <row r="117" customFormat="false" ht="15" hidden="false" customHeight="false" outlineLevel="0" collapsed="false">
      <c r="B117" s="20" t="s">
        <v>1285</v>
      </c>
      <c r="C117" s="20" t="s">
        <v>1286</v>
      </c>
      <c r="D117" s="20" t="s">
        <v>773</v>
      </c>
      <c r="E117" s="20" t="s">
        <v>157</v>
      </c>
      <c r="F117" s="21" t="n">
        <v>1627.15</v>
      </c>
      <c r="G117" s="20" t="n">
        <v>35</v>
      </c>
      <c r="H117" s="21" t="n">
        <v>645.9558</v>
      </c>
      <c r="I117" s="20" t="s">
        <v>1095</v>
      </c>
    </row>
    <row r="118" customFormat="false" ht="15" hidden="false" customHeight="false" outlineLevel="0" collapsed="false">
      <c r="B118" s="20" t="s">
        <v>1287</v>
      </c>
      <c r="C118" s="20" t="s">
        <v>1288</v>
      </c>
      <c r="D118" s="20" t="s">
        <v>1289</v>
      </c>
      <c r="E118" s="20" t="s">
        <v>157</v>
      </c>
      <c r="F118" s="21" t="n">
        <v>2648.31</v>
      </c>
      <c r="G118" s="20" t="n">
        <v>14</v>
      </c>
      <c r="H118" s="21" t="n">
        <v>623.14</v>
      </c>
      <c r="I118" s="20" t="s">
        <v>1095</v>
      </c>
    </row>
    <row r="119" customFormat="false" ht="15" hidden="false" customHeight="false" outlineLevel="0" collapsed="false">
      <c r="B119" s="20" t="s">
        <v>1290</v>
      </c>
      <c r="C119" s="20" t="s">
        <v>1291</v>
      </c>
      <c r="D119" s="20" t="s">
        <v>1166</v>
      </c>
      <c r="E119" s="20" t="s">
        <v>165</v>
      </c>
      <c r="F119" s="21" t="n">
        <v>225</v>
      </c>
      <c r="G119" s="20" t="n">
        <v>10</v>
      </c>
      <c r="H119" s="21" t="n">
        <v>609.4</v>
      </c>
      <c r="I119" s="20" t="s">
        <v>1095</v>
      </c>
    </row>
    <row r="120" customFormat="false" ht="15" hidden="false" customHeight="false" outlineLevel="0" collapsed="false">
      <c r="B120" s="20" t="s">
        <v>1292</v>
      </c>
      <c r="C120" s="20" t="s">
        <v>1293</v>
      </c>
      <c r="D120" s="20" t="s">
        <v>1294</v>
      </c>
      <c r="E120" s="20" t="s">
        <v>165</v>
      </c>
      <c r="F120" s="21" t="n">
        <v>1230.95</v>
      </c>
      <c r="G120" s="20" t="n">
        <v>6</v>
      </c>
      <c r="H120" s="21" t="n">
        <v>604.37172</v>
      </c>
      <c r="I120" s="20" t="s">
        <v>1095</v>
      </c>
    </row>
    <row r="121" customFormat="false" ht="15" hidden="false" customHeight="false" outlineLevel="0" collapsed="false">
      <c r="B121" s="20" t="s">
        <v>1295</v>
      </c>
      <c r="C121" s="20" t="s">
        <v>1296</v>
      </c>
      <c r="D121" s="20" t="s">
        <v>196</v>
      </c>
      <c r="E121" s="20" t="s">
        <v>182</v>
      </c>
      <c r="F121" s="21" t="n">
        <v>0</v>
      </c>
      <c r="G121" s="20" t="n">
        <v>13</v>
      </c>
      <c r="H121" s="21" t="n">
        <v>602.01492</v>
      </c>
      <c r="I121" s="20" t="s">
        <v>1095</v>
      </c>
    </row>
    <row r="122" customFormat="false" ht="15" hidden="false" customHeight="false" outlineLevel="0" collapsed="false">
      <c r="B122" s="20" t="s">
        <v>1297</v>
      </c>
      <c r="C122" s="20" t="s">
        <v>1298</v>
      </c>
      <c r="D122" s="20" t="s">
        <v>1250</v>
      </c>
      <c r="E122" s="20" t="s">
        <v>200</v>
      </c>
      <c r="F122" s="21" t="n">
        <v>6782.95</v>
      </c>
      <c r="G122" s="20" t="n">
        <v>10</v>
      </c>
      <c r="H122" s="21" t="n">
        <v>584.3374</v>
      </c>
      <c r="I122" s="20" t="s">
        <v>917</v>
      </c>
    </row>
    <row r="123" customFormat="false" ht="15" hidden="false" customHeight="false" outlineLevel="0" collapsed="false">
      <c r="B123" s="20" t="s">
        <v>1299</v>
      </c>
      <c r="C123" s="20" t="s">
        <v>1300</v>
      </c>
      <c r="D123" s="20" t="s">
        <v>256</v>
      </c>
      <c r="E123" s="20" t="s">
        <v>165</v>
      </c>
      <c r="F123" s="21" t="n">
        <v>3872.96</v>
      </c>
      <c r="G123" s="20" t="n">
        <v>5</v>
      </c>
      <c r="H123" s="21" t="n">
        <v>582.79375</v>
      </c>
      <c r="I123" s="20" t="s">
        <v>1095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5"/>
    <col collapsed="false" customWidth="true" hidden="false" outlineLevel="0" max="3" min="3" style="0" width="12"/>
    <col collapsed="false" customWidth="true" hidden="false" outlineLevel="0" max="4" min="4" style="0" width="60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8"/>
  </cols>
  <sheetData>
    <row r="2" customFormat="false" ht="18.55" hidden="false" customHeight="false" outlineLevel="0" collapsed="false">
      <c r="B2" s="7" t="s">
        <v>1301</v>
      </c>
    </row>
    <row r="4" customFormat="false" ht="15" hidden="false" customHeight="false" outlineLevel="0" collapsed="false">
      <c r="B4" s="10" t="s">
        <v>1302</v>
      </c>
      <c r="C4" s="26" t="n">
        <v>1808</v>
      </c>
    </row>
    <row r="5" customFormat="false" ht="15" hidden="false" customHeight="false" outlineLevel="0" collapsed="false">
      <c r="B5" s="10" t="s">
        <v>1303</v>
      </c>
      <c r="C5" s="14" t="n">
        <v>53489221.27</v>
      </c>
    </row>
    <row r="6" customFormat="false" ht="15" hidden="false" customHeight="false" outlineLevel="0" collapsed="false">
      <c r="B6" s="10" t="s">
        <v>1304</v>
      </c>
      <c r="C6" s="14" t="n">
        <v>4426876.37</v>
      </c>
    </row>
    <row r="7" customFormat="false" ht="15" hidden="false" customHeight="false" outlineLevel="0" collapsed="false">
      <c r="B7" s="10" t="s">
        <v>1305</v>
      </c>
      <c r="C7" s="18" t="n">
        <v>0.225468316781142</v>
      </c>
    </row>
    <row r="9" customFormat="false" ht="15" hidden="false" customHeight="false" outlineLevel="0" collapsed="false">
      <c r="B9" s="2" t="s">
        <v>1306</v>
      </c>
    </row>
    <row r="11" customFormat="false" ht="15" hidden="false" customHeight="false" outlineLevel="0" collapsed="false">
      <c r="B11" s="9" t="s">
        <v>1307</v>
      </c>
    </row>
    <row r="12" customFormat="false" ht="27.75" hidden="false" customHeight="true" outlineLevel="0" collapsed="false">
      <c r="B12" s="19" t="s">
        <v>132</v>
      </c>
      <c r="C12" s="19" t="s">
        <v>1308</v>
      </c>
      <c r="D12" s="19" t="s">
        <v>1309</v>
      </c>
      <c r="E12" s="19" t="s">
        <v>1054</v>
      </c>
      <c r="F12" s="19" t="s">
        <v>1055</v>
      </c>
      <c r="G12" s="19" t="s">
        <v>1056</v>
      </c>
    </row>
    <row r="13" customFormat="false" ht="15" hidden="false" customHeight="false" outlineLevel="0" collapsed="false">
      <c r="B13" s="20" t="s">
        <v>223</v>
      </c>
      <c r="C13" s="20" t="n">
        <v>8</v>
      </c>
      <c r="D13" s="20" t="s">
        <v>1310</v>
      </c>
      <c r="E13" s="20" t="n">
        <v>124</v>
      </c>
      <c r="F13" s="21" t="n">
        <v>5025368.37</v>
      </c>
      <c r="G13" s="21" t="n">
        <v>173269.98918</v>
      </c>
    </row>
    <row r="14" customFormat="false" ht="15" hidden="false" customHeight="false" outlineLevel="0" collapsed="false">
      <c r="B14" s="20" t="s">
        <v>977</v>
      </c>
      <c r="C14" s="20" t="n">
        <v>4</v>
      </c>
      <c r="D14" s="20" t="s">
        <v>1311</v>
      </c>
      <c r="E14" s="20" t="n">
        <v>63</v>
      </c>
      <c r="F14" s="21" t="n">
        <v>1797490.25</v>
      </c>
      <c r="G14" s="21" t="n">
        <v>122197.667905</v>
      </c>
    </row>
    <row r="15" customFormat="false" ht="15" hidden="false" customHeight="false" outlineLevel="0" collapsed="false">
      <c r="B15" s="20" t="s">
        <v>1117</v>
      </c>
      <c r="C15" s="20" t="n">
        <v>8</v>
      </c>
      <c r="D15" s="20" t="s">
        <v>1312</v>
      </c>
      <c r="E15" s="20" t="n">
        <v>48</v>
      </c>
      <c r="F15" s="21" t="n">
        <v>1785902.21</v>
      </c>
      <c r="G15" s="21" t="n">
        <v>62310.73653</v>
      </c>
    </row>
    <row r="16" customFormat="false" ht="15" hidden="false" customHeight="false" outlineLevel="0" collapsed="false">
      <c r="B16" s="20" t="s">
        <v>317</v>
      </c>
      <c r="C16" s="20" t="n">
        <v>5</v>
      </c>
      <c r="D16" s="20" t="s">
        <v>1313</v>
      </c>
      <c r="E16" s="20" t="n">
        <v>83</v>
      </c>
      <c r="F16" s="21" t="n">
        <v>1610740.9</v>
      </c>
      <c r="G16" s="21" t="n">
        <v>164927.356455</v>
      </c>
    </row>
    <row r="17" customFormat="false" ht="15" hidden="false" customHeight="false" outlineLevel="0" collapsed="false">
      <c r="B17" s="20" t="s">
        <v>748</v>
      </c>
      <c r="C17" s="20" t="n">
        <v>13</v>
      </c>
      <c r="D17" s="20" t="s">
        <v>1314</v>
      </c>
      <c r="E17" s="20" t="n">
        <v>135</v>
      </c>
      <c r="F17" s="21" t="n">
        <v>1557442.39</v>
      </c>
      <c r="G17" s="21" t="n">
        <v>70107.0326</v>
      </c>
    </row>
    <row r="18" customFormat="false" ht="15" hidden="false" customHeight="false" outlineLevel="0" collapsed="false">
      <c r="B18" s="20" t="s">
        <v>746</v>
      </c>
      <c r="C18" s="20" t="n">
        <v>4</v>
      </c>
      <c r="D18" s="20" t="s">
        <v>1315</v>
      </c>
      <c r="E18" s="20" t="n">
        <v>7</v>
      </c>
      <c r="F18" s="21" t="n">
        <v>1406753.58</v>
      </c>
      <c r="G18" s="21" t="n">
        <v>17393.40307</v>
      </c>
    </row>
    <row r="19" customFormat="false" ht="15" hidden="false" customHeight="false" outlineLevel="0" collapsed="false">
      <c r="B19" s="20" t="s">
        <v>683</v>
      </c>
      <c r="C19" s="20" t="n">
        <v>16</v>
      </c>
      <c r="D19" s="20" t="s">
        <v>1316</v>
      </c>
      <c r="E19" s="20" t="n">
        <v>127</v>
      </c>
      <c r="F19" s="21" t="n">
        <v>1216352.72</v>
      </c>
      <c r="G19" s="21" t="n">
        <v>112280.277035</v>
      </c>
    </row>
    <row r="20" customFormat="false" ht="15" hidden="false" customHeight="false" outlineLevel="0" collapsed="false">
      <c r="B20" s="20" t="s">
        <v>1317</v>
      </c>
      <c r="C20" s="20" t="n">
        <v>3</v>
      </c>
      <c r="D20" s="20" t="s">
        <v>1318</v>
      </c>
      <c r="E20" s="20" t="n">
        <v>3</v>
      </c>
      <c r="F20" s="21" t="n">
        <v>1090473.99</v>
      </c>
      <c r="G20" s="21" t="n">
        <v>9904.777</v>
      </c>
    </row>
    <row r="21" customFormat="false" ht="15" hidden="false" customHeight="false" outlineLevel="0" collapsed="false">
      <c r="B21" s="20" t="s">
        <v>1319</v>
      </c>
      <c r="C21" s="20" t="n">
        <v>2</v>
      </c>
      <c r="D21" s="20" t="s">
        <v>1320</v>
      </c>
      <c r="E21" s="20" t="n">
        <v>3</v>
      </c>
      <c r="F21" s="21" t="n">
        <v>999691.3</v>
      </c>
      <c r="G21" s="21" t="n">
        <v>8264.41544</v>
      </c>
    </row>
    <row r="22" customFormat="false" ht="15" hidden="false" customHeight="false" outlineLevel="0" collapsed="false">
      <c r="B22" s="20" t="s">
        <v>255</v>
      </c>
      <c r="C22" s="20" t="n">
        <v>2</v>
      </c>
      <c r="D22" s="20" t="s">
        <v>1320</v>
      </c>
      <c r="E22" s="20" t="n">
        <v>2</v>
      </c>
      <c r="F22" s="21" t="n">
        <v>944386.73</v>
      </c>
      <c r="G22" s="21" t="n">
        <v>22437.607215</v>
      </c>
    </row>
    <row r="23" customFormat="false" ht="15" hidden="false" customHeight="false" outlineLevel="0" collapsed="false">
      <c r="B23" s="20" t="s">
        <v>1321</v>
      </c>
      <c r="C23" s="20" t="n">
        <v>4</v>
      </c>
      <c r="D23" s="20" t="s">
        <v>1322</v>
      </c>
      <c r="E23" s="20" t="n">
        <v>4</v>
      </c>
      <c r="F23" s="21" t="n">
        <v>773029.95</v>
      </c>
      <c r="G23" s="21" t="n">
        <v>9947.0702</v>
      </c>
    </row>
    <row r="24" customFormat="false" ht="15" hidden="false" customHeight="false" outlineLevel="0" collapsed="false">
      <c r="B24" s="20" t="s">
        <v>711</v>
      </c>
      <c r="C24" s="20" t="n">
        <v>2</v>
      </c>
      <c r="D24" s="20" t="s">
        <v>1323</v>
      </c>
      <c r="E24" s="20" t="n">
        <v>2</v>
      </c>
      <c r="F24" s="21" t="n">
        <v>725373.38</v>
      </c>
      <c r="G24" s="21" t="n">
        <v>21158.54906</v>
      </c>
    </row>
    <row r="25" customFormat="false" ht="15" hidden="false" customHeight="false" outlineLevel="0" collapsed="false">
      <c r="B25" s="20" t="s">
        <v>678</v>
      </c>
      <c r="C25" s="20" t="n">
        <v>16</v>
      </c>
      <c r="D25" s="20" t="s">
        <v>1324</v>
      </c>
      <c r="E25" s="20" t="n">
        <v>87</v>
      </c>
      <c r="F25" s="21" t="n">
        <v>671427.31</v>
      </c>
      <c r="G25" s="21" t="n">
        <v>63274.38941</v>
      </c>
    </row>
    <row r="26" customFormat="false" ht="15" hidden="false" customHeight="false" outlineLevel="0" collapsed="false">
      <c r="B26" s="20" t="s">
        <v>163</v>
      </c>
      <c r="C26" s="20" t="n">
        <v>3</v>
      </c>
      <c r="D26" s="20" t="s">
        <v>1325</v>
      </c>
      <c r="E26" s="20" t="n">
        <v>3</v>
      </c>
      <c r="F26" s="21" t="n">
        <v>647268.56</v>
      </c>
      <c r="G26" s="21" t="n">
        <v>24953.55549</v>
      </c>
    </row>
    <row r="27" customFormat="false" ht="15" hidden="false" customHeight="false" outlineLevel="0" collapsed="false">
      <c r="B27" s="20" t="s">
        <v>1326</v>
      </c>
      <c r="C27" s="20" t="n">
        <v>2</v>
      </c>
      <c r="D27" s="20" t="s">
        <v>1327</v>
      </c>
      <c r="E27" s="20" t="n">
        <v>2</v>
      </c>
      <c r="F27" s="21" t="n">
        <v>588688.7</v>
      </c>
      <c r="G27" s="21" t="n">
        <v>22265.405105</v>
      </c>
    </row>
    <row r="28" customFormat="false" ht="15" hidden="false" customHeight="false" outlineLevel="0" collapsed="false">
      <c r="B28" s="20" t="s">
        <v>602</v>
      </c>
      <c r="C28" s="20" t="n">
        <v>2</v>
      </c>
      <c r="D28" s="20" t="s">
        <v>1328</v>
      </c>
      <c r="E28" s="20" t="n">
        <v>2</v>
      </c>
      <c r="F28" s="21" t="n">
        <v>580840.89</v>
      </c>
      <c r="G28" s="21" t="n">
        <v>166388.654385</v>
      </c>
    </row>
    <row r="29" customFormat="false" ht="15" hidden="false" customHeight="false" outlineLevel="0" collapsed="false">
      <c r="B29" s="20" t="s">
        <v>860</v>
      </c>
      <c r="C29" s="20" t="n">
        <v>6</v>
      </c>
      <c r="D29" s="20" t="s">
        <v>1329</v>
      </c>
      <c r="E29" s="20" t="n">
        <v>9</v>
      </c>
      <c r="F29" s="21" t="n">
        <v>564572.79</v>
      </c>
      <c r="G29" s="21" t="n">
        <v>17092.308655</v>
      </c>
    </row>
    <row r="30" customFormat="false" ht="15" hidden="false" customHeight="false" outlineLevel="0" collapsed="false">
      <c r="B30" s="20" t="s">
        <v>935</v>
      </c>
      <c r="C30" s="20" t="n">
        <v>3</v>
      </c>
      <c r="D30" s="20" t="s">
        <v>1330</v>
      </c>
      <c r="E30" s="20" t="n">
        <v>46</v>
      </c>
      <c r="F30" s="21" t="n">
        <v>542024.66</v>
      </c>
      <c r="G30" s="21" t="n">
        <v>39817.71949</v>
      </c>
    </row>
    <row r="31" customFormat="false" ht="15" hidden="false" customHeight="false" outlineLevel="0" collapsed="false">
      <c r="B31" s="20" t="s">
        <v>1331</v>
      </c>
      <c r="C31" s="20" t="n">
        <v>2</v>
      </c>
      <c r="D31" s="20" t="s">
        <v>1332</v>
      </c>
      <c r="E31" s="20" t="n">
        <v>2</v>
      </c>
      <c r="F31" s="21" t="n">
        <v>519404.28</v>
      </c>
      <c r="G31" s="21" t="n">
        <v>12547.69838</v>
      </c>
    </row>
    <row r="32" customFormat="false" ht="15" hidden="false" customHeight="false" outlineLevel="0" collapsed="false">
      <c r="B32" s="20" t="s">
        <v>1333</v>
      </c>
      <c r="C32" s="20" t="n">
        <v>7</v>
      </c>
      <c r="D32" s="20" t="s">
        <v>1334</v>
      </c>
      <c r="E32" s="20" t="n">
        <v>38</v>
      </c>
      <c r="F32" s="21" t="n">
        <v>487854.09</v>
      </c>
      <c r="G32" s="21" t="n">
        <v>11977.657195</v>
      </c>
    </row>
    <row r="33" customFormat="false" ht="15" hidden="false" customHeight="false" outlineLevel="0" collapsed="false">
      <c r="B33" s="20" t="s">
        <v>1027</v>
      </c>
      <c r="C33" s="20" t="n">
        <v>6</v>
      </c>
      <c r="D33" s="20" t="s">
        <v>1335</v>
      </c>
      <c r="E33" s="20" t="n">
        <v>41</v>
      </c>
      <c r="F33" s="21" t="n">
        <v>464026.42</v>
      </c>
      <c r="G33" s="21" t="n">
        <v>12115.340555</v>
      </c>
    </row>
    <row r="34" customFormat="false" ht="15" hidden="false" customHeight="false" outlineLevel="0" collapsed="false">
      <c r="B34" s="20" t="s">
        <v>1336</v>
      </c>
      <c r="C34" s="20" t="n">
        <v>2</v>
      </c>
      <c r="D34" s="20" t="s">
        <v>1337</v>
      </c>
      <c r="E34" s="20" t="n">
        <v>3</v>
      </c>
      <c r="F34" s="21" t="n">
        <v>424060.13</v>
      </c>
      <c r="G34" s="21" t="n">
        <v>9145.69667</v>
      </c>
    </row>
    <row r="35" customFormat="false" ht="15" hidden="false" customHeight="false" outlineLevel="0" collapsed="false">
      <c r="B35" s="20" t="s">
        <v>535</v>
      </c>
      <c r="C35" s="20" t="n">
        <v>7</v>
      </c>
      <c r="D35" s="20" t="s">
        <v>1338</v>
      </c>
      <c r="E35" s="20" t="n">
        <v>58</v>
      </c>
      <c r="F35" s="21" t="n">
        <v>405164.82</v>
      </c>
      <c r="G35" s="21" t="n">
        <v>41768.822045</v>
      </c>
    </row>
    <row r="36" customFormat="false" ht="15" hidden="false" customHeight="false" outlineLevel="0" collapsed="false">
      <c r="B36" s="20" t="s">
        <v>1339</v>
      </c>
      <c r="C36" s="20" t="n">
        <v>2</v>
      </c>
      <c r="D36" s="20" t="s">
        <v>1340</v>
      </c>
      <c r="E36" s="20" t="n">
        <v>2</v>
      </c>
      <c r="F36" s="21" t="n">
        <v>403262.69</v>
      </c>
      <c r="G36" s="21" t="n">
        <v>1576.68</v>
      </c>
    </row>
    <row r="37" customFormat="false" ht="15" hidden="false" customHeight="false" outlineLevel="0" collapsed="false">
      <c r="B37" s="20" t="s">
        <v>1341</v>
      </c>
      <c r="C37" s="20" t="n">
        <v>6</v>
      </c>
      <c r="D37" s="20" t="s">
        <v>1342</v>
      </c>
      <c r="E37" s="20" t="n">
        <v>6</v>
      </c>
      <c r="F37" s="21" t="n">
        <v>394555.83</v>
      </c>
      <c r="G37" s="21" t="n">
        <v>13118.4926</v>
      </c>
    </row>
    <row r="38" customFormat="false" ht="15" hidden="false" customHeight="false" outlineLevel="0" collapsed="false">
      <c r="B38" s="20" t="s">
        <v>264</v>
      </c>
      <c r="C38" s="20" t="n">
        <v>3</v>
      </c>
      <c r="D38" s="20" t="s">
        <v>1343</v>
      </c>
      <c r="E38" s="20" t="n">
        <v>11</v>
      </c>
      <c r="F38" s="21" t="n">
        <v>387353.73</v>
      </c>
      <c r="G38" s="21" t="n">
        <v>64472.41919</v>
      </c>
    </row>
    <row r="39" customFormat="false" ht="15" hidden="false" customHeight="false" outlineLevel="0" collapsed="false">
      <c r="B39" s="20" t="s">
        <v>1344</v>
      </c>
      <c r="C39" s="20" t="n">
        <v>2</v>
      </c>
      <c r="D39" s="20" t="s">
        <v>1345</v>
      </c>
      <c r="E39" s="20" t="n">
        <v>2</v>
      </c>
      <c r="F39" s="21" t="n">
        <v>371302.35</v>
      </c>
      <c r="G39" s="21" t="n">
        <v>1965.045</v>
      </c>
    </row>
    <row r="40" customFormat="false" ht="15" hidden="false" customHeight="false" outlineLevel="0" collapsed="false">
      <c r="B40" s="20" t="s">
        <v>1151</v>
      </c>
      <c r="C40" s="20" t="n">
        <v>5</v>
      </c>
      <c r="D40" s="20" t="s">
        <v>1346</v>
      </c>
      <c r="E40" s="20" t="n">
        <v>31</v>
      </c>
      <c r="F40" s="21" t="n">
        <v>366767.88</v>
      </c>
      <c r="G40" s="21" t="n">
        <v>24599.02325</v>
      </c>
    </row>
    <row r="41" customFormat="false" ht="15" hidden="false" customHeight="false" outlineLevel="0" collapsed="false">
      <c r="B41" s="20" t="s">
        <v>1347</v>
      </c>
      <c r="C41" s="20" t="n">
        <v>4</v>
      </c>
      <c r="D41" s="20" t="s">
        <v>1348</v>
      </c>
      <c r="E41" s="20" t="n">
        <v>5</v>
      </c>
      <c r="F41" s="21" t="n">
        <v>366029.06</v>
      </c>
      <c r="G41" s="21" t="n">
        <v>0</v>
      </c>
    </row>
    <row r="42" customFormat="false" ht="15" hidden="false" customHeight="false" outlineLevel="0" collapsed="false">
      <c r="B42" s="20" t="s">
        <v>725</v>
      </c>
      <c r="C42" s="20" t="n">
        <v>4</v>
      </c>
      <c r="D42" s="20" t="s">
        <v>1349</v>
      </c>
      <c r="E42" s="20" t="n">
        <v>4</v>
      </c>
      <c r="F42" s="21" t="n">
        <v>365864.3</v>
      </c>
      <c r="G42" s="21" t="n">
        <v>48778.511225</v>
      </c>
    </row>
    <row r="43" customFormat="false" ht="15" hidden="false" customHeight="false" outlineLevel="0" collapsed="false">
      <c r="B43" s="20" t="s">
        <v>335</v>
      </c>
      <c r="C43" s="20" t="n">
        <v>8</v>
      </c>
      <c r="D43" s="20" t="s">
        <v>1350</v>
      </c>
      <c r="E43" s="20" t="n">
        <v>29</v>
      </c>
      <c r="F43" s="21" t="n">
        <v>351968.32</v>
      </c>
      <c r="G43" s="21" t="n">
        <v>37950.15811</v>
      </c>
    </row>
    <row r="44" customFormat="false" ht="15" hidden="false" customHeight="false" outlineLevel="0" collapsed="false">
      <c r="B44" s="20" t="s">
        <v>443</v>
      </c>
      <c r="C44" s="20" t="n">
        <v>3</v>
      </c>
      <c r="D44" s="20" t="s">
        <v>1351</v>
      </c>
      <c r="E44" s="20" t="n">
        <v>5</v>
      </c>
      <c r="F44" s="21" t="n">
        <v>310291.49</v>
      </c>
      <c r="G44" s="21" t="n">
        <v>24937.7203</v>
      </c>
    </row>
    <row r="45" customFormat="false" ht="15" hidden="false" customHeight="false" outlineLevel="0" collapsed="false">
      <c r="B45" s="20" t="s">
        <v>708</v>
      </c>
      <c r="C45" s="20" t="n">
        <v>2</v>
      </c>
      <c r="D45" s="20" t="s">
        <v>1352</v>
      </c>
      <c r="E45" s="20" t="n">
        <v>2</v>
      </c>
      <c r="F45" s="21" t="n">
        <v>289820.35</v>
      </c>
      <c r="G45" s="21" t="n">
        <v>40618.86696</v>
      </c>
    </row>
    <row r="46" customFormat="false" ht="15" hidden="false" customHeight="false" outlineLevel="0" collapsed="false">
      <c r="B46" s="20" t="s">
        <v>1353</v>
      </c>
      <c r="C46" s="20" t="n">
        <v>2</v>
      </c>
      <c r="D46" s="20" t="s">
        <v>1354</v>
      </c>
      <c r="E46" s="20" t="n">
        <v>2</v>
      </c>
      <c r="F46" s="21" t="n">
        <v>282603.6</v>
      </c>
      <c r="G46" s="21" t="n">
        <v>375.67572</v>
      </c>
    </row>
    <row r="47" customFormat="false" ht="15" hidden="false" customHeight="false" outlineLevel="0" collapsed="false">
      <c r="B47" s="20" t="s">
        <v>1355</v>
      </c>
      <c r="C47" s="20" t="n">
        <v>3</v>
      </c>
      <c r="D47" s="20" t="s">
        <v>1356</v>
      </c>
      <c r="E47" s="20" t="n">
        <v>3</v>
      </c>
      <c r="F47" s="21" t="n">
        <v>273211.62</v>
      </c>
      <c r="G47" s="21" t="n">
        <v>19618.7551</v>
      </c>
    </row>
    <row r="48" customFormat="false" ht="15" hidden="false" customHeight="false" outlineLevel="0" collapsed="false">
      <c r="B48" s="20" t="s">
        <v>213</v>
      </c>
      <c r="C48" s="20" t="n">
        <v>7</v>
      </c>
      <c r="D48" s="20" t="s">
        <v>1357</v>
      </c>
      <c r="E48" s="20" t="n">
        <v>30</v>
      </c>
      <c r="F48" s="21" t="n">
        <v>253363.94</v>
      </c>
      <c r="G48" s="21" t="n">
        <v>33542.85162</v>
      </c>
    </row>
    <row r="49" customFormat="false" ht="15" hidden="false" customHeight="false" outlineLevel="0" collapsed="false">
      <c r="B49" s="20" t="s">
        <v>1358</v>
      </c>
      <c r="C49" s="20" t="n">
        <v>12</v>
      </c>
      <c r="D49" s="20" t="s">
        <v>1359</v>
      </c>
      <c r="E49" s="20" t="n">
        <v>75</v>
      </c>
      <c r="F49" s="21" t="n">
        <v>229600.72</v>
      </c>
      <c r="G49" s="21" t="n">
        <v>18348.14958</v>
      </c>
    </row>
    <row r="50" customFormat="false" ht="15" hidden="false" customHeight="false" outlineLevel="0" collapsed="false">
      <c r="B50" s="20" t="s">
        <v>1360</v>
      </c>
      <c r="C50" s="20" t="n">
        <v>2</v>
      </c>
      <c r="D50" s="20" t="s">
        <v>1361</v>
      </c>
      <c r="E50" s="20" t="n">
        <v>6</v>
      </c>
      <c r="F50" s="21" t="n">
        <v>220673.62</v>
      </c>
      <c r="G50" s="21" t="n">
        <v>13579.67056</v>
      </c>
    </row>
    <row r="51" customFormat="false" ht="15" hidden="false" customHeight="false" outlineLevel="0" collapsed="false">
      <c r="B51" s="20" t="s">
        <v>1362</v>
      </c>
      <c r="C51" s="20" t="n">
        <v>2</v>
      </c>
      <c r="D51" s="20" t="s">
        <v>1363</v>
      </c>
      <c r="E51" s="20" t="n">
        <v>2</v>
      </c>
      <c r="F51" s="21" t="n">
        <v>220080</v>
      </c>
      <c r="G51" s="21" t="n">
        <v>0</v>
      </c>
    </row>
    <row r="52" customFormat="false" ht="15" hidden="false" customHeight="false" outlineLevel="0" collapsed="false">
      <c r="B52" s="20" t="s">
        <v>1364</v>
      </c>
      <c r="C52" s="20" t="n">
        <v>5</v>
      </c>
      <c r="D52" s="20" t="s">
        <v>1365</v>
      </c>
      <c r="E52" s="20" t="n">
        <v>15</v>
      </c>
      <c r="F52" s="21" t="n">
        <v>205151.97</v>
      </c>
      <c r="G52" s="21" t="n">
        <v>15756.050575</v>
      </c>
    </row>
    <row r="53" customFormat="false" ht="15" hidden="false" customHeight="false" outlineLevel="0" collapsed="false">
      <c r="B53" s="20" t="s">
        <v>1366</v>
      </c>
      <c r="C53" s="20" t="n">
        <v>2</v>
      </c>
      <c r="D53" s="20" t="s">
        <v>1367</v>
      </c>
      <c r="E53" s="20" t="n">
        <v>33</v>
      </c>
      <c r="F53" s="21" t="n">
        <v>204997.88</v>
      </c>
      <c r="G53" s="21" t="n">
        <v>9567.897</v>
      </c>
    </row>
    <row r="54" customFormat="false" ht="15" hidden="false" customHeight="false" outlineLevel="0" collapsed="false">
      <c r="B54" s="20" t="s">
        <v>1368</v>
      </c>
      <c r="C54" s="20" t="n">
        <v>2</v>
      </c>
      <c r="D54" s="20" t="s">
        <v>1369</v>
      </c>
      <c r="E54" s="20" t="n">
        <v>2</v>
      </c>
      <c r="F54" s="21" t="n">
        <v>195365.5</v>
      </c>
      <c r="G54" s="21" t="n">
        <v>5326.4</v>
      </c>
    </row>
    <row r="55" customFormat="false" ht="15" hidden="false" customHeight="false" outlineLevel="0" collapsed="false">
      <c r="B55" s="20" t="s">
        <v>1370</v>
      </c>
      <c r="C55" s="20" t="n">
        <v>6</v>
      </c>
      <c r="D55" s="20" t="s">
        <v>1371</v>
      </c>
      <c r="E55" s="20" t="n">
        <v>37</v>
      </c>
      <c r="F55" s="21" t="n">
        <v>189769.69</v>
      </c>
      <c r="G55" s="21" t="n">
        <v>15302.10222</v>
      </c>
    </row>
    <row r="56" customFormat="false" ht="15" hidden="false" customHeight="false" outlineLevel="0" collapsed="false">
      <c r="B56" s="20" t="s">
        <v>1372</v>
      </c>
      <c r="C56" s="20" t="n">
        <v>5</v>
      </c>
      <c r="D56" s="20" t="s">
        <v>1373</v>
      </c>
      <c r="E56" s="20" t="n">
        <v>39</v>
      </c>
      <c r="F56" s="21" t="n">
        <v>187506.4</v>
      </c>
      <c r="G56" s="21" t="n">
        <v>12879.3019</v>
      </c>
    </row>
    <row r="57" customFormat="false" ht="15" hidden="false" customHeight="false" outlineLevel="0" collapsed="false">
      <c r="B57" s="20" t="s">
        <v>1094</v>
      </c>
      <c r="C57" s="20" t="n">
        <v>4</v>
      </c>
      <c r="D57" s="20" t="s">
        <v>1374</v>
      </c>
      <c r="E57" s="20" t="n">
        <v>4</v>
      </c>
      <c r="F57" s="21" t="n">
        <v>185268.63</v>
      </c>
      <c r="G57" s="21" t="n">
        <v>2537.66</v>
      </c>
    </row>
    <row r="58" customFormat="false" ht="15" hidden="false" customHeight="false" outlineLevel="0" collapsed="false">
      <c r="B58" s="20" t="s">
        <v>1375</v>
      </c>
      <c r="C58" s="20" t="n">
        <v>6</v>
      </c>
      <c r="D58" s="20" t="s">
        <v>1376</v>
      </c>
      <c r="E58" s="20" t="n">
        <v>29</v>
      </c>
      <c r="F58" s="21" t="n">
        <v>178682.88</v>
      </c>
      <c r="G58" s="21" t="n">
        <v>25947.00438</v>
      </c>
    </row>
    <row r="59" customFormat="false" ht="15" hidden="false" customHeight="false" outlineLevel="0" collapsed="false">
      <c r="B59" s="20" t="s">
        <v>518</v>
      </c>
      <c r="C59" s="20" t="n">
        <v>2</v>
      </c>
      <c r="D59" s="20" t="s">
        <v>1377</v>
      </c>
      <c r="E59" s="20" t="n">
        <v>6</v>
      </c>
      <c r="F59" s="21" t="n">
        <v>174401.38</v>
      </c>
      <c r="G59" s="21" t="n">
        <v>32443.48</v>
      </c>
    </row>
    <row r="60" customFormat="false" ht="15" hidden="false" customHeight="false" outlineLevel="0" collapsed="false">
      <c r="B60" s="20" t="s">
        <v>1378</v>
      </c>
      <c r="C60" s="20" t="n">
        <v>2</v>
      </c>
      <c r="D60" s="20" t="s">
        <v>1379</v>
      </c>
      <c r="E60" s="20" t="n">
        <v>5</v>
      </c>
      <c r="F60" s="21" t="n">
        <v>172699.48</v>
      </c>
      <c r="G60" s="21" t="n">
        <v>3294.4578</v>
      </c>
    </row>
    <row r="61" customFormat="false" ht="15" hidden="false" customHeight="false" outlineLevel="0" collapsed="false">
      <c r="B61" s="20" t="s">
        <v>1380</v>
      </c>
      <c r="C61" s="20" t="n">
        <v>6</v>
      </c>
      <c r="D61" s="20" t="s">
        <v>1381</v>
      </c>
      <c r="E61" s="20" t="n">
        <v>29</v>
      </c>
      <c r="F61" s="21" t="n">
        <v>170963.65</v>
      </c>
      <c r="G61" s="21" t="n">
        <v>23323.259975</v>
      </c>
    </row>
    <row r="62" customFormat="false" ht="15" hidden="false" customHeight="false" outlineLevel="0" collapsed="false">
      <c r="B62" s="20" t="s">
        <v>1382</v>
      </c>
      <c r="C62" s="20" t="n">
        <v>3</v>
      </c>
      <c r="D62" s="20" t="s">
        <v>1383</v>
      </c>
      <c r="E62" s="20" t="n">
        <v>9</v>
      </c>
      <c r="F62" s="21" t="n">
        <v>167498.44</v>
      </c>
      <c r="G62" s="21" t="n">
        <v>9006.02399</v>
      </c>
    </row>
    <row r="63" customFormat="false" ht="15" hidden="false" customHeight="false" outlineLevel="0" collapsed="false">
      <c r="B63" s="20" t="s">
        <v>1161</v>
      </c>
      <c r="C63" s="20" t="n">
        <v>4</v>
      </c>
      <c r="D63" s="20" t="s">
        <v>1384</v>
      </c>
      <c r="E63" s="20" t="n">
        <v>38</v>
      </c>
      <c r="F63" s="21" t="n">
        <v>166621.35</v>
      </c>
      <c r="G63" s="21" t="n">
        <v>19617.254665</v>
      </c>
    </row>
    <row r="64" customFormat="false" ht="15" hidden="false" customHeight="false" outlineLevel="0" collapsed="false">
      <c r="B64" s="20" t="s">
        <v>645</v>
      </c>
      <c r="C64" s="20" t="n">
        <v>3</v>
      </c>
      <c r="D64" s="20" t="s">
        <v>1385</v>
      </c>
      <c r="E64" s="20" t="n">
        <v>3</v>
      </c>
      <c r="F64" s="21" t="n">
        <v>165205.36</v>
      </c>
      <c r="G64" s="21" t="n">
        <v>18879.24408</v>
      </c>
    </row>
    <row r="65" customFormat="false" ht="15" hidden="false" customHeight="false" outlineLevel="0" collapsed="false">
      <c r="B65" s="20" t="s">
        <v>1386</v>
      </c>
      <c r="C65" s="20" t="n">
        <v>2</v>
      </c>
      <c r="D65" s="20" t="s">
        <v>1387</v>
      </c>
      <c r="E65" s="20" t="n">
        <v>2</v>
      </c>
      <c r="F65" s="21" t="n">
        <v>163500.15</v>
      </c>
      <c r="G65" s="21" t="n">
        <v>12452.58136</v>
      </c>
    </row>
    <row r="66" customFormat="false" ht="15" hidden="false" customHeight="false" outlineLevel="0" collapsed="false">
      <c r="B66" s="20" t="s">
        <v>613</v>
      </c>
      <c r="C66" s="20" t="n">
        <v>2</v>
      </c>
      <c r="D66" s="20" t="s">
        <v>1388</v>
      </c>
      <c r="E66" s="20" t="n">
        <v>2</v>
      </c>
      <c r="F66" s="21" t="n">
        <v>158909.86</v>
      </c>
      <c r="G66" s="21" t="n">
        <v>54573.42864</v>
      </c>
    </row>
    <row r="67" customFormat="false" ht="15" hidden="false" customHeight="false" outlineLevel="0" collapsed="false">
      <c r="B67" s="20" t="s">
        <v>1389</v>
      </c>
      <c r="C67" s="20" t="n">
        <v>4</v>
      </c>
      <c r="D67" s="20" t="s">
        <v>1390</v>
      </c>
      <c r="E67" s="20" t="n">
        <v>5</v>
      </c>
      <c r="F67" s="21" t="n">
        <v>158814.78</v>
      </c>
      <c r="G67" s="21" t="n">
        <v>10172.14596</v>
      </c>
    </row>
    <row r="68" customFormat="false" ht="15" hidden="false" customHeight="false" outlineLevel="0" collapsed="false">
      <c r="B68" s="20" t="s">
        <v>1391</v>
      </c>
      <c r="C68" s="20" t="n">
        <v>4</v>
      </c>
      <c r="D68" s="20" t="s">
        <v>1392</v>
      </c>
      <c r="E68" s="20" t="n">
        <v>10</v>
      </c>
      <c r="F68" s="21" t="n">
        <v>156696.17</v>
      </c>
      <c r="G68" s="21" t="n">
        <v>13520.55</v>
      </c>
    </row>
    <row r="69" customFormat="false" ht="15" hidden="false" customHeight="false" outlineLevel="0" collapsed="false">
      <c r="B69" s="20" t="s">
        <v>1393</v>
      </c>
      <c r="C69" s="20" t="n">
        <v>2</v>
      </c>
      <c r="D69" s="20" t="s">
        <v>1394</v>
      </c>
      <c r="E69" s="20" t="n">
        <v>2</v>
      </c>
      <c r="F69" s="21" t="n">
        <v>155637.24</v>
      </c>
      <c r="G69" s="21" t="n">
        <v>0</v>
      </c>
    </row>
    <row r="70" customFormat="false" ht="15" hidden="false" customHeight="false" outlineLevel="0" collapsed="false">
      <c r="B70" s="20" t="s">
        <v>1395</v>
      </c>
      <c r="C70" s="20" t="n">
        <v>2</v>
      </c>
      <c r="D70" s="20" t="s">
        <v>1363</v>
      </c>
      <c r="E70" s="20" t="n">
        <v>2</v>
      </c>
      <c r="F70" s="21" t="n">
        <v>155439.1</v>
      </c>
      <c r="G70" s="21" t="n">
        <v>12230.46148</v>
      </c>
    </row>
    <row r="71" customFormat="false" ht="15" hidden="false" customHeight="false" outlineLevel="0" collapsed="false">
      <c r="B71" s="20" t="s">
        <v>1396</v>
      </c>
      <c r="C71" s="20" t="n">
        <v>2</v>
      </c>
      <c r="D71" s="20" t="s">
        <v>1332</v>
      </c>
      <c r="E71" s="20" t="n">
        <v>2</v>
      </c>
      <c r="F71" s="21" t="n">
        <v>152747.24</v>
      </c>
      <c r="G71" s="21" t="n">
        <v>1884.16844</v>
      </c>
    </row>
    <row r="72" customFormat="false" ht="15" hidden="false" customHeight="false" outlineLevel="0" collapsed="false">
      <c r="B72" s="20" t="s">
        <v>1397</v>
      </c>
      <c r="C72" s="20" t="n">
        <v>2</v>
      </c>
      <c r="D72" s="20" t="s">
        <v>1398</v>
      </c>
      <c r="E72" s="20" t="n">
        <v>2</v>
      </c>
      <c r="F72" s="21" t="n">
        <v>152087.64</v>
      </c>
      <c r="G72" s="21" t="n">
        <v>6910.7276</v>
      </c>
    </row>
    <row r="73" customFormat="false" ht="15" hidden="false" customHeight="false" outlineLevel="0" collapsed="false">
      <c r="B73" s="20" t="s">
        <v>583</v>
      </c>
      <c r="C73" s="20" t="n">
        <v>2</v>
      </c>
      <c r="D73" s="20" t="s">
        <v>1399</v>
      </c>
      <c r="E73" s="20" t="n">
        <v>2</v>
      </c>
      <c r="F73" s="21" t="n">
        <v>147065.8</v>
      </c>
      <c r="G73" s="21" t="n">
        <v>0</v>
      </c>
    </row>
    <row r="74" customFormat="false" ht="15" hidden="false" customHeight="false" outlineLevel="0" collapsed="false">
      <c r="B74" s="20" t="s">
        <v>1400</v>
      </c>
      <c r="C74" s="20" t="n">
        <v>4</v>
      </c>
      <c r="D74" s="20" t="s">
        <v>1401</v>
      </c>
      <c r="E74" s="20" t="n">
        <v>6</v>
      </c>
      <c r="F74" s="21" t="n">
        <v>143613.6</v>
      </c>
      <c r="G74" s="21" t="n">
        <v>5643.9425</v>
      </c>
    </row>
    <row r="75" customFormat="false" ht="15" hidden="false" customHeight="false" outlineLevel="0" collapsed="false">
      <c r="B75" s="20" t="s">
        <v>985</v>
      </c>
      <c r="C75" s="20" t="n">
        <v>8</v>
      </c>
      <c r="D75" s="20" t="s">
        <v>1402</v>
      </c>
      <c r="E75" s="20" t="n">
        <v>14</v>
      </c>
      <c r="F75" s="21" t="n">
        <v>141168.84</v>
      </c>
      <c r="G75" s="21" t="n">
        <v>11820.184525</v>
      </c>
    </row>
    <row r="76" customFormat="false" ht="15" hidden="false" customHeight="false" outlineLevel="0" collapsed="false">
      <c r="B76" s="20" t="s">
        <v>775</v>
      </c>
      <c r="C76" s="20" t="n">
        <v>2</v>
      </c>
      <c r="D76" s="20" t="s">
        <v>1403</v>
      </c>
      <c r="E76" s="20" t="n">
        <v>3</v>
      </c>
      <c r="F76" s="21" t="n">
        <v>139133.25</v>
      </c>
      <c r="G76" s="21" t="n">
        <v>8045.58</v>
      </c>
    </row>
    <row r="77" customFormat="false" ht="15" hidden="false" customHeight="false" outlineLevel="0" collapsed="false">
      <c r="B77" s="20" t="s">
        <v>1404</v>
      </c>
      <c r="C77" s="20" t="n">
        <v>2</v>
      </c>
      <c r="D77" s="20" t="s">
        <v>1405</v>
      </c>
      <c r="E77" s="20" t="n">
        <v>3</v>
      </c>
      <c r="F77" s="21" t="n">
        <v>135020.45</v>
      </c>
      <c r="G77" s="21" t="n">
        <v>0</v>
      </c>
    </row>
    <row r="78" customFormat="false" ht="15" hidden="false" customHeight="false" outlineLevel="0" collapsed="false">
      <c r="B78" s="20" t="s">
        <v>1406</v>
      </c>
      <c r="C78" s="20" t="n">
        <v>2</v>
      </c>
      <c r="D78" s="20" t="s">
        <v>1320</v>
      </c>
      <c r="E78" s="20" t="n">
        <v>2</v>
      </c>
      <c r="F78" s="21" t="n">
        <v>133121.97</v>
      </c>
      <c r="G78" s="21" t="n">
        <v>4065.3499</v>
      </c>
    </row>
    <row r="79" customFormat="false" ht="15" hidden="false" customHeight="false" outlineLevel="0" collapsed="false">
      <c r="B79" s="20" t="s">
        <v>1407</v>
      </c>
      <c r="C79" s="20" t="n">
        <v>2</v>
      </c>
      <c r="D79" s="20" t="s">
        <v>1408</v>
      </c>
      <c r="E79" s="20" t="n">
        <v>3</v>
      </c>
      <c r="F79" s="21" t="n">
        <v>132501.3</v>
      </c>
      <c r="G79" s="21" t="n">
        <v>6444.83779</v>
      </c>
    </row>
    <row r="80" customFormat="false" ht="15" hidden="false" customHeight="false" outlineLevel="0" collapsed="false">
      <c r="B80" s="20" t="s">
        <v>232</v>
      </c>
      <c r="C80" s="20" t="n">
        <v>3</v>
      </c>
      <c r="D80" s="20" t="s">
        <v>1409</v>
      </c>
      <c r="E80" s="20" t="n">
        <v>4</v>
      </c>
      <c r="F80" s="21" t="n">
        <v>131507.89</v>
      </c>
      <c r="G80" s="21" t="n">
        <v>12145.324</v>
      </c>
    </row>
    <row r="81" customFormat="false" ht="15" hidden="false" customHeight="false" outlineLevel="0" collapsed="false">
      <c r="B81" s="20" t="s">
        <v>1410</v>
      </c>
      <c r="C81" s="20" t="n">
        <v>2</v>
      </c>
      <c r="D81" s="20" t="s">
        <v>1411</v>
      </c>
      <c r="E81" s="20" t="n">
        <v>2</v>
      </c>
      <c r="F81" s="21" t="n">
        <v>131433.31</v>
      </c>
      <c r="G81" s="21" t="n">
        <v>20318.80335</v>
      </c>
    </row>
    <row r="82" customFormat="false" ht="15" hidden="false" customHeight="false" outlineLevel="0" collapsed="false">
      <c r="B82" s="20" t="s">
        <v>1412</v>
      </c>
      <c r="C82" s="20" t="n">
        <v>2</v>
      </c>
      <c r="D82" s="20" t="s">
        <v>1413</v>
      </c>
      <c r="E82" s="20" t="n">
        <v>2</v>
      </c>
      <c r="F82" s="21" t="n">
        <v>127920.87</v>
      </c>
      <c r="G82" s="21" t="n">
        <v>4908.12539</v>
      </c>
    </row>
    <row r="83" customFormat="false" ht="15" hidden="false" customHeight="false" outlineLevel="0" collapsed="false">
      <c r="B83" s="20" t="s">
        <v>1414</v>
      </c>
      <c r="C83" s="20" t="n">
        <v>3</v>
      </c>
      <c r="D83" s="20" t="s">
        <v>1415</v>
      </c>
      <c r="E83" s="20" t="n">
        <v>3</v>
      </c>
      <c r="F83" s="21" t="n">
        <v>123688.28</v>
      </c>
      <c r="G83" s="21" t="n">
        <v>7813.37534</v>
      </c>
    </row>
    <row r="84" customFormat="false" ht="15" hidden="false" customHeight="false" outlineLevel="0" collapsed="false">
      <c r="B84" s="20" t="s">
        <v>1416</v>
      </c>
      <c r="C84" s="20" t="n">
        <v>8</v>
      </c>
      <c r="D84" s="20" t="s">
        <v>1417</v>
      </c>
      <c r="E84" s="20" t="n">
        <v>18</v>
      </c>
      <c r="F84" s="21" t="n">
        <v>123433.57</v>
      </c>
      <c r="G84" s="21" t="n">
        <v>11979.12628</v>
      </c>
    </row>
    <row r="85" customFormat="false" ht="15" hidden="false" customHeight="false" outlineLevel="0" collapsed="false">
      <c r="B85" s="20" t="s">
        <v>218</v>
      </c>
      <c r="C85" s="20" t="n">
        <v>2</v>
      </c>
      <c r="D85" s="20" t="s">
        <v>1418</v>
      </c>
      <c r="E85" s="20" t="n">
        <v>2</v>
      </c>
      <c r="F85" s="21" t="n">
        <v>122035.17</v>
      </c>
      <c r="G85" s="21" t="n">
        <v>20497.49565</v>
      </c>
    </row>
    <row r="86" customFormat="false" ht="15" hidden="false" customHeight="false" outlineLevel="0" collapsed="false">
      <c r="B86" s="20" t="s">
        <v>1419</v>
      </c>
      <c r="C86" s="20" t="n">
        <v>4</v>
      </c>
      <c r="D86" s="20" t="s">
        <v>1420</v>
      </c>
      <c r="E86" s="20" t="n">
        <v>8</v>
      </c>
      <c r="F86" s="21" t="n">
        <v>118487.44</v>
      </c>
      <c r="G86" s="21" t="n">
        <v>6867.61945</v>
      </c>
    </row>
    <row r="87" customFormat="false" ht="15" hidden="false" customHeight="false" outlineLevel="0" collapsed="false">
      <c r="B87" s="20" t="s">
        <v>1200</v>
      </c>
      <c r="C87" s="20" t="n">
        <v>6</v>
      </c>
      <c r="D87" s="20" t="s">
        <v>1421</v>
      </c>
      <c r="E87" s="20" t="n">
        <v>29</v>
      </c>
      <c r="F87" s="21" t="n">
        <v>117153.72</v>
      </c>
      <c r="G87" s="21" t="n">
        <v>15165.97644</v>
      </c>
    </row>
    <row r="88" customFormat="false" ht="15" hidden="false" customHeight="false" outlineLevel="0" collapsed="false">
      <c r="B88" s="20" t="s">
        <v>1422</v>
      </c>
      <c r="C88" s="20" t="n">
        <v>2</v>
      </c>
      <c r="D88" s="20" t="s">
        <v>1423</v>
      </c>
      <c r="E88" s="20" t="n">
        <v>2</v>
      </c>
      <c r="F88" s="21" t="n">
        <v>111405.62</v>
      </c>
      <c r="G88" s="21" t="n">
        <v>4389.50148</v>
      </c>
    </row>
    <row r="89" customFormat="false" ht="15" hidden="false" customHeight="false" outlineLevel="0" collapsed="false">
      <c r="B89" s="20" t="s">
        <v>1424</v>
      </c>
      <c r="C89" s="20" t="n">
        <v>4</v>
      </c>
      <c r="D89" s="20" t="s">
        <v>1425</v>
      </c>
      <c r="E89" s="20" t="n">
        <v>33</v>
      </c>
      <c r="F89" s="21" t="n">
        <v>109290.93</v>
      </c>
      <c r="G89" s="21" t="n">
        <v>4310.64398</v>
      </c>
    </row>
    <row r="90" customFormat="false" ht="15" hidden="false" customHeight="false" outlineLevel="0" collapsed="false">
      <c r="B90" s="20" t="s">
        <v>1426</v>
      </c>
      <c r="C90" s="20" t="n">
        <v>5</v>
      </c>
      <c r="D90" s="20" t="s">
        <v>1427</v>
      </c>
      <c r="E90" s="20" t="n">
        <v>23</v>
      </c>
      <c r="F90" s="21" t="n">
        <v>108076.24</v>
      </c>
      <c r="G90" s="21" t="n">
        <v>17854.0525</v>
      </c>
    </row>
    <row r="91" customFormat="false" ht="15" hidden="false" customHeight="false" outlineLevel="0" collapsed="false">
      <c r="B91" s="20" t="s">
        <v>660</v>
      </c>
      <c r="C91" s="20" t="n">
        <v>2</v>
      </c>
      <c r="D91" s="20" t="s">
        <v>1337</v>
      </c>
      <c r="E91" s="20" t="n">
        <v>2</v>
      </c>
      <c r="F91" s="21" t="n">
        <v>105789.04</v>
      </c>
      <c r="G91" s="21" t="n">
        <v>23982.105</v>
      </c>
    </row>
    <row r="92" customFormat="false" ht="15" hidden="false" customHeight="false" outlineLevel="0" collapsed="false">
      <c r="B92" s="20" t="s">
        <v>496</v>
      </c>
      <c r="C92" s="20" t="n">
        <v>2</v>
      </c>
      <c r="D92" s="20" t="s">
        <v>1428</v>
      </c>
      <c r="E92" s="20" t="n">
        <v>12</v>
      </c>
      <c r="F92" s="21" t="n">
        <v>105634.3</v>
      </c>
      <c r="G92" s="21" t="n">
        <v>21736.00237</v>
      </c>
    </row>
    <row r="93" customFormat="false" ht="15" hidden="false" customHeight="false" outlineLevel="0" collapsed="false">
      <c r="B93" s="20" t="s">
        <v>216</v>
      </c>
      <c r="C93" s="20" t="n">
        <v>4</v>
      </c>
      <c r="D93" s="20" t="s">
        <v>1429</v>
      </c>
      <c r="E93" s="20" t="n">
        <v>4</v>
      </c>
      <c r="F93" s="21" t="n">
        <v>103574.48</v>
      </c>
      <c r="G93" s="21" t="n">
        <v>24726.34334</v>
      </c>
    </row>
    <row r="94" customFormat="false" ht="15" hidden="false" customHeight="false" outlineLevel="0" collapsed="false">
      <c r="B94" s="20" t="s">
        <v>1430</v>
      </c>
      <c r="C94" s="20" t="n">
        <v>3</v>
      </c>
      <c r="D94" s="20" t="s">
        <v>1431</v>
      </c>
      <c r="E94" s="20" t="n">
        <v>3</v>
      </c>
      <c r="F94" s="21" t="n">
        <v>101170.58</v>
      </c>
      <c r="G94" s="21" t="n">
        <v>20150.44</v>
      </c>
    </row>
    <row r="95" customFormat="false" ht="15" hidden="false" customHeight="false" outlineLevel="0" collapsed="false">
      <c r="B95" s="20" t="s">
        <v>1432</v>
      </c>
      <c r="C95" s="20" t="n">
        <v>3</v>
      </c>
      <c r="D95" s="20" t="s">
        <v>1433</v>
      </c>
      <c r="E95" s="20" t="n">
        <v>3</v>
      </c>
      <c r="F95" s="21" t="n">
        <v>100817.28</v>
      </c>
      <c r="G95" s="21" t="n">
        <v>1418.329995</v>
      </c>
    </row>
    <row r="96" customFormat="false" ht="15" hidden="false" customHeight="false" outlineLevel="0" collapsed="false">
      <c r="B96" s="20" t="s">
        <v>777</v>
      </c>
      <c r="C96" s="20" t="n">
        <v>4</v>
      </c>
      <c r="D96" s="20" t="s">
        <v>1434</v>
      </c>
      <c r="E96" s="20" t="n">
        <v>4</v>
      </c>
      <c r="F96" s="21" t="n">
        <v>99265.91</v>
      </c>
      <c r="G96" s="21" t="n">
        <v>13897.6148</v>
      </c>
    </row>
    <row r="97" customFormat="false" ht="15" hidden="false" customHeight="false" outlineLevel="0" collapsed="false">
      <c r="B97" s="20" t="s">
        <v>1435</v>
      </c>
      <c r="C97" s="20" t="n">
        <v>2</v>
      </c>
      <c r="D97" s="20" t="s">
        <v>1436</v>
      </c>
      <c r="E97" s="20" t="n">
        <v>2</v>
      </c>
      <c r="F97" s="21" t="n">
        <v>98864.09</v>
      </c>
      <c r="G97" s="21" t="n">
        <v>6232.055</v>
      </c>
    </row>
    <row r="98" customFormat="false" ht="15" hidden="false" customHeight="false" outlineLevel="0" collapsed="false">
      <c r="B98" s="20" t="s">
        <v>1437</v>
      </c>
      <c r="C98" s="20" t="n">
        <v>2</v>
      </c>
      <c r="D98" s="20" t="s">
        <v>1438</v>
      </c>
      <c r="E98" s="20" t="n">
        <v>2</v>
      </c>
      <c r="F98" s="21" t="n">
        <v>98592.76</v>
      </c>
      <c r="G98" s="21" t="n">
        <v>6018.993045</v>
      </c>
    </row>
    <row r="99" customFormat="false" ht="15" hidden="false" customHeight="false" outlineLevel="0" collapsed="false">
      <c r="B99" s="20" t="s">
        <v>1439</v>
      </c>
      <c r="C99" s="20" t="n">
        <v>2</v>
      </c>
      <c r="D99" s="20" t="s">
        <v>1440</v>
      </c>
      <c r="E99" s="20" t="n">
        <v>2</v>
      </c>
      <c r="F99" s="21" t="n">
        <v>97180.85</v>
      </c>
      <c r="G99" s="21" t="n">
        <v>6329.65</v>
      </c>
    </row>
    <row r="100" customFormat="false" ht="15" hidden="false" customHeight="false" outlineLevel="0" collapsed="false">
      <c r="B100" s="20" t="s">
        <v>1441</v>
      </c>
      <c r="C100" s="20" t="n">
        <v>2</v>
      </c>
      <c r="D100" s="20" t="s">
        <v>1442</v>
      </c>
      <c r="E100" s="20" t="n">
        <v>2</v>
      </c>
      <c r="F100" s="21" t="n">
        <v>96176.52</v>
      </c>
      <c r="G100" s="21" t="n">
        <v>4927.53</v>
      </c>
    </row>
    <row r="101" customFormat="false" ht="15" hidden="false" customHeight="false" outlineLevel="0" collapsed="false">
      <c r="B101" s="20" t="s">
        <v>1443</v>
      </c>
      <c r="C101" s="20" t="n">
        <v>3</v>
      </c>
      <c r="D101" s="20" t="s">
        <v>1444</v>
      </c>
      <c r="E101" s="20" t="n">
        <v>4</v>
      </c>
      <c r="F101" s="21" t="n">
        <v>95705.56</v>
      </c>
      <c r="G101" s="21" t="n">
        <v>10563.585625</v>
      </c>
    </row>
    <row r="102" customFormat="false" ht="15" hidden="false" customHeight="false" outlineLevel="0" collapsed="false">
      <c r="B102" s="20" t="s">
        <v>1445</v>
      </c>
      <c r="C102" s="20" t="n">
        <v>2</v>
      </c>
      <c r="D102" s="20" t="s">
        <v>1446</v>
      </c>
      <c r="E102" s="20" t="n">
        <v>3</v>
      </c>
      <c r="F102" s="21" t="n">
        <v>93169.86</v>
      </c>
      <c r="G102" s="21" t="n">
        <v>7751.64834</v>
      </c>
    </row>
    <row r="103" customFormat="false" ht="15" hidden="false" customHeight="false" outlineLevel="0" collapsed="false">
      <c r="B103" s="20" t="s">
        <v>1447</v>
      </c>
      <c r="C103" s="20" t="n">
        <v>2</v>
      </c>
      <c r="D103" s="20" t="s">
        <v>1398</v>
      </c>
      <c r="E103" s="20" t="n">
        <v>2</v>
      </c>
      <c r="F103" s="21" t="n">
        <v>92964.83</v>
      </c>
      <c r="G103" s="21" t="n">
        <v>1755.22844</v>
      </c>
    </row>
    <row r="104" customFormat="false" ht="15" hidden="false" customHeight="false" outlineLevel="0" collapsed="false">
      <c r="B104" s="20" t="s">
        <v>1448</v>
      </c>
      <c r="C104" s="20" t="n">
        <v>2</v>
      </c>
      <c r="D104" s="20" t="s">
        <v>1449</v>
      </c>
      <c r="E104" s="20" t="n">
        <v>2</v>
      </c>
      <c r="F104" s="21" t="n">
        <v>91132.1</v>
      </c>
      <c r="G104" s="21" t="n">
        <v>1206.31334</v>
      </c>
    </row>
    <row r="105" customFormat="false" ht="15" hidden="false" customHeight="false" outlineLevel="0" collapsed="false">
      <c r="B105" s="20" t="s">
        <v>1450</v>
      </c>
      <c r="C105" s="20" t="n">
        <v>2</v>
      </c>
      <c r="D105" s="20" t="s">
        <v>1451</v>
      </c>
      <c r="E105" s="20" t="n">
        <v>2</v>
      </c>
      <c r="F105" s="21" t="n">
        <v>90883.08</v>
      </c>
      <c r="G105" s="21" t="n">
        <v>0</v>
      </c>
    </row>
    <row r="106" customFormat="false" ht="15" hidden="false" customHeight="false" outlineLevel="0" collapsed="false">
      <c r="B106" s="20" t="s">
        <v>1452</v>
      </c>
      <c r="C106" s="20" t="n">
        <v>4</v>
      </c>
      <c r="D106" s="20" t="s">
        <v>1453</v>
      </c>
      <c r="E106" s="20" t="n">
        <v>6</v>
      </c>
      <c r="F106" s="21" t="n">
        <v>90460.18</v>
      </c>
      <c r="G106" s="21" t="n">
        <v>3252.38393</v>
      </c>
    </row>
    <row r="107" customFormat="false" ht="15" hidden="false" customHeight="false" outlineLevel="0" collapsed="false">
      <c r="B107" s="20" t="s">
        <v>1454</v>
      </c>
      <c r="C107" s="20" t="n">
        <v>2</v>
      </c>
      <c r="D107" s="20" t="s">
        <v>1408</v>
      </c>
      <c r="E107" s="20" t="n">
        <v>2</v>
      </c>
      <c r="F107" s="21" t="n">
        <v>89845.61</v>
      </c>
      <c r="G107" s="21" t="n">
        <v>7851.80472</v>
      </c>
    </row>
    <row r="108" customFormat="false" ht="15" hidden="false" customHeight="false" outlineLevel="0" collapsed="false">
      <c r="B108" s="20" t="s">
        <v>1455</v>
      </c>
      <c r="C108" s="20" t="n">
        <v>17</v>
      </c>
      <c r="D108" s="20" t="s">
        <v>1456</v>
      </c>
      <c r="E108" s="20" t="n">
        <v>98</v>
      </c>
      <c r="F108" s="21" t="n">
        <v>89340.17</v>
      </c>
      <c r="G108" s="21" t="n">
        <v>11126.273555</v>
      </c>
    </row>
    <row r="109" customFormat="false" ht="15" hidden="false" customHeight="false" outlineLevel="0" collapsed="false">
      <c r="B109" s="20" t="s">
        <v>640</v>
      </c>
      <c r="C109" s="20" t="n">
        <v>4</v>
      </c>
      <c r="D109" s="20" t="s">
        <v>1457</v>
      </c>
      <c r="E109" s="20" t="n">
        <v>4</v>
      </c>
      <c r="F109" s="21" t="n">
        <v>89326.74</v>
      </c>
      <c r="G109" s="21" t="n">
        <v>26374.860635</v>
      </c>
    </row>
    <row r="110" customFormat="false" ht="15" hidden="false" customHeight="false" outlineLevel="0" collapsed="false">
      <c r="B110" s="20" t="s">
        <v>457</v>
      </c>
      <c r="C110" s="20" t="n">
        <v>2</v>
      </c>
      <c r="D110" s="20" t="s">
        <v>1458</v>
      </c>
      <c r="E110" s="20" t="n">
        <v>2</v>
      </c>
      <c r="F110" s="21" t="n">
        <v>88407.2</v>
      </c>
      <c r="G110" s="21" t="n">
        <v>24228.1664</v>
      </c>
    </row>
    <row r="111" customFormat="false" ht="15" hidden="false" customHeight="false" outlineLevel="0" collapsed="false">
      <c r="B111" s="20" t="s">
        <v>1459</v>
      </c>
      <c r="C111" s="20" t="n">
        <v>2</v>
      </c>
      <c r="D111" s="20" t="s">
        <v>1460</v>
      </c>
      <c r="E111" s="20" t="n">
        <v>2</v>
      </c>
      <c r="F111" s="21" t="n">
        <v>86860.14</v>
      </c>
      <c r="G111" s="21" t="n">
        <v>1264.7275</v>
      </c>
    </row>
    <row r="112" customFormat="false" ht="15" hidden="false" customHeight="false" outlineLevel="0" collapsed="false">
      <c r="B112" s="20" t="s">
        <v>1461</v>
      </c>
      <c r="C112" s="20" t="n">
        <v>4</v>
      </c>
      <c r="D112" s="20" t="s">
        <v>1462</v>
      </c>
      <c r="E112" s="20" t="n">
        <v>4</v>
      </c>
      <c r="F112" s="21" t="n">
        <v>86195.23</v>
      </c>
      <c r="G112" s="21" t="n">
        <v>4228.10341</v>
      </c>
    </row>
    <row r="113" customFormat="false" ht="15" hidden="false" customHeight="false" outlineLevel="0" collapsed="false">
      <c r="B113" s="20" t="s">
        <v>1463</v>
      </c>
      <c r="C113" s="20" t="n">
        <v>2</v>
      </c>
      <c r="D113" s="20" t="s">
        <v>1464</v>
      </c>
      <c r="E113" s="20" t="n">
        <v>2</v>
      </c>
      <c r="F113" s="21" t="n">
        <v>85965.48</v>
      </c>
      <c r="G113" s="21" t="n">
        <v>7585.695</v>
      </c>
    </row>
    <row r="114" customFormat="false" ht="15" hidden="false" customHeight="false" outlineLevel="0" collapsed="false">
      <c r="B114" s="20" t="s">
        <v>1465</v>
      </c>
      <c r="C114" s="20" t="n">
        <v>2</v>
      </c>
      <c r="D114" s="20" t="s">
        <v>1466</v>
      </c>
      <c r="E114" s="20" t="n">
        <v>2</v>
      </c>
      <c r="F114" s="21" t="n">
        <v>84752.79</v>
      </c>
      <c r="G114" s="21" t="n">
        <v>379.74512</v>
      </c>
    </row>
    <row r="115" customFormat="false" ht="15" hidden="false" customHeight="false" outlineLevel="0" collapsed="false">
      <c r="B115" s="20" t="s">
        <v>1115</v>
      </c>
      <c r="C115" s="20" t="n">
        <v>2</v>
      </c>
      <c r="D115" s="20" t="s">
        <v>1467</v>
      </c>
      <c r="E115" s="20" t="n">
        <v>2</v>
      </c>
      <c r="F115" s="21" t="n">
        <v>83491.73</v>
      </c>
      <c r="G115" s="21" t="n">
        <v>4322.47</v>
      </c>
    </row>
    <row r="116" customFormat="false" ht="15" hidden="false" customHeight="false" outlineLevel="0" collapsed="false">
      <c r="B116" s="20" t="s">
        <v>1468</v>
      </c>
      <c r="C116" s="20" t="n">
        <v>3</v>
      </c>
      <c r="D116" s="20" t="s">
        <v>1469</v>
      </c>
      <c r="E116" s="20" t="n">
        <v>3</v>
      </c>
      <c r="F116" s="21" t="n">
        <v>82302.08</v>
      </c>
      <c r="G116" s="21" t="n">
        <v>7539.82265</v>
      </c>
    </row>
    <row r="117" customFormat="false" ht="15" hidden="false" customHeight="false" outlineLevel="0" collapsed="false">
      <c r="B117" s="20" t="s">
        <v>1470</v>
      </c>
      <c r="C117" s="20" t="n">
        <v>3</v>
      </c>
      <c r="D117" s="20" t="s">
        <v>1471</v>
      </c>
      <c r="E117" s="20" t="n">
        <v>3</v>
      </c>
      <c r="F117" s="21" t="n">
        <v>80747.86</v>
      </c>
      <c r="G117" s="21" t="n">
        <v>3127.2978</v>
      </c>
    </row>
    <row r="118" customFormat="false" ht="15" hidden="false" customHeight="false" outlineLevel="0" collapsed="false">
      <c r="B118" s="20" t="s">
        <v>1472</v>
      </c>
      <c r="C118" s="20" t="n">
        <v>3</v>
      </c>
      <c r="D118" s="20" t="s">
        <v>1473</v>
      </c>
      <c r="E118" s="20" t="n">
        <v>9</v>
      </c>
      <c r="F118" s="21" t="n">
        <v>80183.66</v>
      </c>
      <c r="G118" s="21" t="n">
        <v>4349.781745</v>
      </c>
    </row>
    <row r="119" customFormat="false" ht="15" hidden="false" customHeight="false" outlineLevel="0" collapsed="false">
      <c r="B119" s="20" t="s">
        <v>1474</v>
      </c>
      <c r="C119" s="20" t="n">
        <v>2</v>
      </c>
      <c r="D119" s="20" t="s">
        <v>1475</v>
      </c>
      <c r="E119" s="20" t="n">
        <v>2</v>
      </c>
      <c r="F119" s="21" t="n">
        <v>79531.33</v>
      </c>
      <c r="G119" s="21" t="n">
        <v>3696.46758</v>
      </c>
    </row>
    <row r="120" customFormat="false" ht="15" hidden="false" customHeight="false" outlineLevel="0" collapsed="false">
      <c r="B120" s="20" t="s">
        <v>1476</v>
      </c>
      <c r="C120" s="20" t="n">
        <v>2</v>
      </c>
      <c r="D120" s="20" t="s">
        <v>1477</v>
      </c>
      <c r="E120" s="20" t="n">
        <v>2</v>
      </c>
      <c r="F120" s="21" t="n">
        <v>79242.57</v>
      </c>
      <c r="G120" s="21" t="n">
        <v>3481.112775</v>
      </c>
    </row>
    <row r="121" customFormat="false" ht="15" hidden="false" customHeight="false" outlineLevel="0" collapsed="false">
      <c r="B121" s="20" t="s">
        <v>1478</v>
      </c>
      <c r="C121" s="20" t="n">
        <v>2</v>
      </c>
      <c r="D121" s="20" t="s">
        <v>1479</v>
      </c>
      <c r="E121" s="20" t="n">
        <v>2</v>
      </c>
      <c r="F121" s="21" t="n">
        <v>78871.21</v>
      </c>
      <c r="G121" s="21" t="n">
        <v>6918.03444</v>
      </c>
    </row>
    <row r="122" customFormat="false" ht="15" hidden="false" customHeight="false" outlineLevel="0" collapsed="false">
      <c r="B122" s="20" t="s">
        <v>1480</v>
      </c>
      <c r="C122" s="20" t="n">
        <v>2</v>
      </c>
      <c r="D122" s="20" t="s">
        <v>1481</v>
      </c>
      <c r="E122" s="20" t="n">
        <v>2</v>
      </c>
      <c r="F122" s="21" t="n">
        <v>77183.94</v>
      </c>
      <c r="G122" s="21" t="n">
        <v>15872.44025</v>
      </c>
    </row>
    <row r="123" customFormat="false" ht="15" hidden="false" customHeight="false" outlineLevel="0" collapsed="false">
      <c r="B123" s="20" t="s">
        <v>1482</v>
      </c>
      <c r="C123" s="20" t="n">
        <v>2</v>
      </c>
      <c r="D123" s="20" t="s">
        <v>1483</v>
      </c>
      <c r="E123" s="20" t="n">
        <v>2</v>
      </c>
      <c r="F123" s="21" t="n">
        <v>77015.58</v>
      </c>
      <c r="G123" s="21" t="n">
        <v>5685.496175</v>
      </c>
    </row>
    <row r="124" customFormat="false" ht="15" hidden="false" customHeight="false" outlineLevel="0" collapsed="false">
      <c r="B124" s="20" t="s">
        <v>647</v>
      </c>
      <c r="C124" s="20" t="n">
        <v>3</v>
      </c>
      <c r="D124" s="20" t="s">
        <v>1484</v>
      </c>
      <c r="E124" s="20" t="n">
        <v>3</v>
      </c>
      <c r="F124" s="21" t="n">
        <v>76695.3</v>
      </c>
      <c r="G124" s="21" t="n">
        <v>21482.11776</v>
      </c>
    </row>
    <row r="125" customFormat="false" ht="15" hidden="false" customHeight="false" outlineLevel="0" collapsed="false">
      <c r="B125" s="20" t="s">
        <v>1485</v>
      </c>
      <c r="C125" s="20" t="n">
        <v>2</v>
      </c>
      <c r="D125" s="20" t="s">
        <v>1486</v>
      </c>
      <c r="E125" s="20" t="n">
        <v>2</v>
      </c>
      <c r="F125" s="21" t="n">
        <v>73887.46</v>
      </c>
      <c r="G125" s="21" t="n">
        <v>1169.22111</v>
      </c>
    </row>
    <row r="126" customFormat="false" ht="15" hidden="false" customHeight="false" outlineLevel="0" collapsed="false">
      <c r="B126" s="20" t="s">
        <v>1487</v>
      </c>
      <c r="C126" s="20" t="n">
        <v>3</v>
      </c>
      <c r="D126" s="20" t="s">
        <v>1488</v>
      </c>
      <c r="E126" s="20" t="n">
        <v>4</v>
      </c>
      <c r="F126" s="21" t="n">
        <v>71916.04</v>
      </c>
      <c r="G126" s="21" t="n">
        <v>10709.003115</v>
      </c>
    </row>
    <row r="127" customFormat="false" ht="15" hidden="false" customHeight="false" outlineLevel="0" collapsed="false">
      <c r="B127" s="20" t="s">
        <v>1489</v>
      </c>
      <c r="C127" s="20" t="n">
        <v>2</v>
      </c>
      <c r="D127" s="20" t="s">
        <v>1490</v>
      </c>
      <c r="E127" s="20" t="n">
        <v>2</v>
      </c>
      <c r="F127" s="21" t="n">
        <v>71375.98</v>
      </c>
      <c r="G127" s="21" t="n">
        <v>403.0145</v>
      </c>
    </row>
    <row r="128" customFormat="false" ht="15" hidden="false" customHeight="false" outlineLevel="0" collapsed="false">
      <c r="B128" s="20" t="s">
        <v>1491</v>
      </c>
      <c r="C128" s="20" t="n">
        <v>3</v>
      </c>
      <c r="D128" s="20" t="s">
        <v>1492</v>
      </c>
      <c r="E128" s="20" t="n">
        <v>3</v>
      </c>
      <c r="F128" s="21" t="n">
        <v>71173.16</v>
      </c>
      <c r="G128" s="21" t="n">
        <v>4037.778745</v>
      </c>
    </row>
    <row r="129" customFormat="false" ht="15" hidden="false" customHeight="false" outlineLevel="0" collapsed="false">
      <c r="B129" s="20" t="s">
        <v>772</v>
      </c>
      <c r="C129" s="20" t="n">
        <v>2</v>
      </c>
      <c r="D129" s="20" t="s">
        <v>1493</v>
      </c>
      <c r="E129" s="20" t="n">
        <v>2</v>
      </c>
      <c r="F129" s="21" t="n">
        <v>70425.1</v>
      </c>
      <c r="G129" s="21" t="n">
        <v>20410.3225</v>
      </c>
    </row>
    <row r="130" customFormat="false" ht="15" hidden="false" customHeight="false" outlineLevel="0" collapsed="false">
      <c r="B130" s="20" t="s">
        <v>1494</v>
      </c>
      <c r="C130" s="20" t="n">
        <v>3</v>
      </c>
      <c r="D130" s="20" t="s">
        <v>1495</v>
      </c>
      <c r="E130" s="20" t="n">
        <v>3</v>
      </c>
      <c r="F130" s="21" t="n">
        <v>70135.27</v>
      </c>
      <c r="G130" s="21" t="n">
        <v>4084.20616</v>
      </c>
    </row>
    <row r="131" customFormat="false" ht="15" hidden="false" customHeight="false" outlineLevel="0" collapsed="false">
      <c r="B131" s="20" t="s">
        <v>391</v>
      </c>
      <c r="C131" s="20" t="n">
        <v>2</v>
      </c>
      <c r="D131" s="20" t="s">
        <v>1496</v>
      </c>
      <c r="E131" s="20" t="n">
        <v>3</v>
      </c>
      <c r="F131" s="21" t="n">
        <v>67786.16</v>
      </c>
      <c r="G131" s="21" t="n">
        <v>21647.59</v>
      </c>
    </row>
    <row r="132" customFormat="false" ht="15" hidden="false" customHeight="false" outlineLevel="0" collapsed="false">
      <c r="B132" s="20" t="s">
        <v>923</v>
      </c>
      <c r="C132" s="20" t="n">
        <v>7</v>
      </c>
      <c r="D132" s="20" t="s">
        <v>1497</v>
      </c>
      <c r="E132" s="20" t="n">
        <v>20</v>
      </c>
      <c r="F132" s="21" t="n">
        <v>67252.24</v>
      </c>
      <c r="G132" s="21" t="n">
        <v>18979.751005</v>
      </c>
    </row>
    <row r="133" customFormat="false" ht="15" hidden="false" customHeight="false" outlineLevel="0" collapsed="false">
      <c r="B133" s="20" t="s">
        <v>1498</v>
      </c>
      <c r="C133" s="20" t="n">
        <v>2</v>
      </c>
      <c r="D133" s="20" t="s">
        <v>1499</v>
      </c>
      <c r="E133" s="20" t="n">
        <v>10</v>
      </c>
      <c r="F133" s="21" t="n">
        <v>66885.7</v>
      </c>
      <c r="G133" s="21" t="n">
        <v>8234.28</v>
      </c>
    </row>
    <row r="134" customFormat="false" ht="15" hidden="false" customHeight="false" outlineLevel="0" collapsed="false">
      <c r="B134" s="20" t="s">
        <v>1500</v>
      </c>
      <c r="C134" s="20" t="n">
        <v>3</v>
      </c>
      <c r="D134" s="20" t="s">
        <v>1501</v>
      </c>
      <c r="E134" s="20" t="n">
        <v>6</v>
      </c>
      <c r="F134" s="21" t="n">
        <v>65913.13</v>
      </c>
      <c r="G134" s="21" t="n">
        <v>4088.01</v>
      </c>
    </row>
    <row r="135" customFormat="false" ht="15" hidden="false" customHeight="false" outlineLevel="0" collapsed="false">
      <c r="B135" s="20" t="s">
        <v>1502</v>
      </c>
      <c r="C135" s="20" t="n">
        <v>2</v>
      </c>
      <c r="D135" s="20" t="s">
        <v>1496</v>
      </c>
      <c r="E135" s="20" t="n">
        <v>3</v>
      </c>
      <c r="F135" s="21" t="n">
        <v>65213.46</v>
      </c>
      <c r="G135" s="21" t="n">
        <v>10191.39382</v>
      </c>
    </row>
    <row r="136" customFormat="false" ht="15" hidden="false" customHeight="false" outlineLevel="0" collapsed="false">
      <c r="B136" s="20" t="s">
        <v>945</v>
      </c>
      <c r="C136" s="20" t="n">
        <v>4</v>
      </c>
      <c r="D136" s="20" t="s">
        <v>1503</v>
      </c>
      <c r="E136" s="20" t="n">
        <v>4</v>
      </c>
      <c r="F136" s="21" t="n">
        <v>64744.33</v>
      </c>
      <c r="G136" s="21" t="n">
        <v>13044.85664</v>
      </c>
    </row>
    <row r="137" customFormat="false" ht="15" hidden="false" customHeight="false" outlineLevel="0" collapsed="false">
      <c r="B137" s="20" t="s">
        <v>1504</v>
      </c>
      <c r="C137" s="20" t="n">
        <v>4</v>
      </c>
      <c r="D137" s="20" t="s">
        <v>1505</v>
      </c>
      <c r="E137" s="20" t="n">
        <v>4</v>
      </c>
      <c r="F137" s="21" t="n">
        <v>63989.61</v>
      </c>
      <c r="G137" s="21" t="n">
        <v>348.36739</v>
      </c>
    </row>
    <row r="138" customFormat="false" ht="15" hidden="false" customHeight="false" outlineLevel="0" collapsed="false">
      <c r="B138" s="20" t="s">
        <v>1506</v>
      </c>
      <c r="C138" s="20" t="n">
        <v>2</v>
      </c>
      <c r="D138" s="20" t="s">
        <v>1466</v>
      </c>
      <c r="E138" s="20" t="n">
        <v>2</v>
      </c>
      <c r="F138" s="21" t="n">
        <v>63100.72</v>
      </c>
      <c r="G138" s="21" t="n">
        <v>2802.9147</v>
      </c>
    </row>
    <row r="139" customFormat="false" ht="15" hidden="false" customHeight="false" outlineLevel="0" collapsed="false">
      <c r="B139" s="20" t="s">
        <v>1507</v>
      </c>
      <c r="C139" s="20" t="n">
        <v>2</v>
      </c>
      <c r="D139" s="20" t="s">
        <v>1345</v>
      </c>
      <c r="E139" s="20" t="n">
        <v>2</v>
      </c>
      <c r="F139" s="21" t="n">
        <v>63067.44</v>
      </c>
      <c r="G139" s="21" t="n">
        <v>5043.89332</v>
      </c>
    </row>
    <row r="140" customFormat="false" ht="15" hidden="false" customHeight="false" outlineLevel="0" collapsed="false">
      <c r="B140" s="20" t="s">
        <v>1508</v>
      </c>
      <c r="C140" s="20" t="n">
        <v>3</v>
      </c>
      <c r="D140" s="20" t="s">
        <v>1509</v>
      </c>
      <c r="E140" s="20" t="n">
        <v>3</v>
      </c>
      <c r="F140" s="21" t="n">
        <v>62516.95</v>
      </c>
      <c r="G140" s="21" t="n">
        <v>0</v>
      </c>
    </row>
    <row r="141" customFormat="false" ht="15" hidden="false" customHeight="false" outlineLevel="0" collapsed="false">
      <c r="B141" s="20" t="s">
        <v>1510</v>
      </c>
      <c r="C141" s="20" t="n">
        <v>2</v>
      </c>
      <c r="D141" s="20" t="s">
        <v>1511</v>
      </c>
      <c r="E141" s="20" t="n">
        <v>2</v>
      </c>
      <c r="F141" s="21" t="n">
        <v>61380.76</v>
      </c>
      <c r="G141" s="21" t="n">
        <v>0</v>
      </c>
    </row>
    <row r="142" customFormat="false" ht="15" hidden="false" customHeight="false" outlineLevel="0" collapsed="false">
      <c r="B142" s="20" t="s">
        <v>1512</v>
      </c>
      <c r="C142" s="20" t="n">
        <v>4</v>
      </c>
      <c r="D142" s="20" t="s">
        <v>1513</v>
      </c>
      <c r="E142" s="20" t="n">
        <v>4</v>
      </c>
      <c r="F142" s="21" t="n">
        <v>60621.06</v>
      </c>
      <c r="G142" s="21" t="n">
        <v>4070.119665</v>
      </c>
    </row>
    <row r="143" customFormat="false" ht="15" hidden="false" customHeight="false" outlineLevel="0" collapsed="false">
      <c r="B143" s="20" t="s">
        <v>1514</v>
      </c>
      <c r="C143" s="20" t="n">
        <v>4</v>
      </c>
      <c r="D143" s="20" t="s">
        <v>1515</v>
      </c>
      <c r="E143" s="20" t="n">
        <v>5</v>
      </c>
      <c r="F143" s="21" t="n">
        <v>59929.59</v>
      </c>
      <c r="G143" s="21" t="n">
        <v>1583.2072</v>
      </c>
    </row>
    <row r="144" customFormat="false" ht="15" hidden="false" customHeight="false" outlineLevel="0" collapsed="false">
      <c r="B144" s="20" t="s">
        <v>744</v>
      </c>
      <c r="C144" s="20" t="n">
        <v>2</v>
      </c>
      <c r="D144" s="20" t="s">
        <v>1475</v>
      </c>
      <c r="E144" s="20" t="n">
        <v>2</v>
      </c>
      <c r="F144" s="21" t="n">
        <v>59557.84</v>
      </c>
      <c r="G144" s="21" t="n">
        <v>20937.98319</v>
      </c>
    </row>
    <row r="145" customFormat="false" ht="15" hidden="false" customHeight="false" outlineLevel="0" collapsed="false">
      <c r="B145" s="20" t="s">
        <v>1516</v>
      </c>
      <c r="C145" s="20" t="n">
        <v>12</v>
      </c>
      <c r="D145" s="20" t="s">
        <v>1517</v>
      </c>
      <c r="E145" s="20" t="n">
        <v>31</v>
      </c>
      <c r="F145" s="21" t="n">
        <v>59297.92</v>
      </c>
      <c r="G145" s="21" t="n">
        <v>7827.617905</v>
      </c>
    </row>
    <row r="146" customFormat="false" ht="15" hidden="false" customHeight="false" outlineLevel="0" collapsed="false">
      <c r="B146" s="20" t="s">
        <v>1518</v>
      </c>
      <c r="C146" s="20" t="n">
        <v>2</v>
      </c>
      <c r="D146" s="20" t="s">
        <v>1519</v>
      </c>
      <c r="E146" s="20" t="n">
        <v>2</v>
      </c>
      <c r="F146" s="21" t="n">
        <v>58469.9</v>
      </c>
      <c r="G146" s="21" t="n">
        <v>3745.92185</v>
      </c>
    </row>
    <row r="147" customFormat="false" ht="15" hidden="false" customHeight="false" outlineLevel="0" collapsed="false">
      <c r="B147" s="20" t="s">
        <v>1520</v>
      </c>
      <c r="C147" s="20" t="n">
        <v>8</v>
      </c>
      <c r="D147" s="20" t="s">
        <v>1521</v>
      </c>
      <c r="E147" s="20" t="n">
        <v>32</v>
      </c>
      <c r="F147" s="21" t="n">
        <v>58313.64</v>
      </c>
      <c r="G147" s="21" t="n">
        <v>6963.10081</v>
      </c>
    </row>
    <row r="148" customFormat="false" ht="15" hidden="false" customHeight="false" outlineLevel="0" collapsed="false">
      <c r="B148" s="20" t="s">
        <v>1522</v>
      </c>
      <c r="C148" s="20" t="n">
        <v>3</v>
      </c>
      <c r="D148" s="20" t="s">
        <v>1523</v>
      </c>
      <c r="E148" s="20" t="n">
        <v>3</v>
      </c>
      <c r="F148" s="21" t="n">
        <v>56689.81</v>
      </c>
      <c r="G148" s="21" t="n">
        <v>2694.175</v>
      </c>
    </row>
    <row r="149" customFormat="false" ht="15" hidden="false" customHeight="false" outlineLevel="0" collapsed="false">
      <c r="B149" s="20" t="s">
        <v>1524</v>
      </c>
      <c r="C149" s="20" t="n">
        <v>2</v>
      </c>
      <c r="D149" s="20" t="s">
        <v>1525</v>
      </c>
      <c r="E149" s="20" t="n">
        <v>2</v>
      </c>
      <c r="F149" s="21" t="n">
        <v>56501.79</v>
      </c>
      <c r="G149" s="21" t="n">
        <v>3537.096355</v>
      </c>
    </row>
    <row r="150" customFormat="false" ht="15" hidden="false" customHeight="false" outlineLevel="0" collapsed="false">
      <c r="B150" s="20" t="s">
        <v>1526</v>
      </c>
      <c r="C150" s="20" t="n">
        <v>2</v>
      </c>
      <c r="D150" s="20" t="s">
        <v>1527</v>
      </c>
      <c r="E150" s="20" t="n">
        <v>2</v>
      </c>
      <c r="F150" s="21" t="n">
        <v>56230.64</v>
      </c>
      <c r="G150" s="21" t="n">
        <v>2191.084125</v>
      </c>
    </row>
    <row r="151" customFormat="false" ht="15" hidden="false" customHeight="false" outlineLevel="0" collapsed="false">
      <c r="B151" s="20" t="s">
        <v>1528</v>
      </c>
      <c r="C151" s="20" t="n">
        <v>2</v>
      </c>
      <c r="D151" s="20" t="s">
        <v>1529</v>
      </c>
      <c r="E151" s="20" t="n">
        <v>2</v>
      </c>
      <c r="F151" s="21" t="n">
        <v>55436.29</v>
      </c>
      <c r="G151" s="21" t="n">
        <v>7613.48586</v>
      </c>
    </row>
    <row r="152" customFormat="false" ht="15" hidden="false" customHeight="false" outlineLevel="0" collapsed="false">
      <c r="B152" s="20" t="s">
        <v>1530</v>
      </c>
      <c r="C152" s="20" t="n">
        <v>5</v>
      </c>
      <c r="D152" s="20" t="s">
        <v>1531</v>
      </c>
      <c r="E152" s="20" t="n">
        <v>5</v>
      </c>
      <c r="F152" s="21" t="n">
        <v>55346.45</v>
      </c>
      <c r="G152" s="21" t="n">
        <v>1008.58604</v>
      </c>
    </row>
    <row r="153" customFormat="false" ht="15" hidden="false" customHeight="false" outlineLevel="0" collapsed="false">
      <c r="B153" s="20" t="s">
        <v>1532</v>
      </c>
      <c r="C153" s="20" t="n">
        <v>2</v>
      </c>
      <c r="D153" s="20" t="s">
        <v>1533</v>
      </c>
      <c r="E153" s="20" t="n">
        <v>2</v>
      </c>
      <c r="F153" s="21" t="n">
        <v>55346.43</v>
      </c>
      <c r="G153" s="21" t="n">
        <v>19356.60427</v>
      </c>
    </row>
    <row r="154" customFormat="false" ht="15" hidden="false" customHeight="false" outlineLevel="0" collapsed="false">
      <c r="B154" s="20" t="s">
        <v>575</v>
      </c>
      <c r="C154" s="20" t="n">
        <v>2</v>
      </c>
      <c r="D154" s="20" t="s">
        <v>1534</v>
      </c>
      <c r="E154" s="20" t="n">
        <v>4</v>
      </c>
      <c r="F154" s="21" t="n">
        <v>54962.14</v>
      </c>
      <c r="G154" s="21" t="n">
        <v>8928.52</v>
      </c>
    </row>
    <row r="155" customFormat="false" ht="15" hidden="false" customHeight="false" outlineLevel="0" collapsed="false">
      <c r="B155" s="20" t="s">
        <v>943</v>
      </c>
      <c r="C155" s="20" t="n">
        <v>3</v>
      </c>
      <c r="D155" s="20" t="s">
        <v>1535</v>
      </c>
      <c r="E155" s="20" t="n">
        <v>3</v>
      </c>
      <c r="F155" s="21" t="n">
        <v>54459.32</v>
      </c>
      <c r="G155" s="21" t="n">
        <v>9299.119315</v>
      </c>
    </row>
    <row r="156" customFormat="false" ht="15" hidden="false" customHeight="false" outlineLevel="0" collapsed="false">
      <c r="B156" s="20" t="s">
        <v>388</v>
      </c>
      <c r="C156" s="20" t="n">
        <v>2</v>
      </c>
      <c r="D156" s="20" t="s">
        <v>1328</v>
      </c>
      <c r="E156" s="20" t="n">
        <v>2</v>
      </c>
      <c r="F156" s="21" t="n">
        <v>54330.33</v>
      </c>
      <c r="G156" s="21" t="n">
        <v>18908.54097</v>
      </c>
    </row>
    <row r="157" customFormat="false" ht="15" hidden="false" customHeight="false" outlineLevel="0" collapsed="false">
      <c r="B157" s="20" t="s">
        <v>1536</v>
      </c>
      <c r="C157" s="20" t="n">
        <v>2</v>
      </c>
      <c r="D157" s="20" t="s">
        <v>1332</v>
      </c>
      <c r="E157" s="20" t="n">
        <v>2</v>
      </c>
      <c r="F157" s="21" t="n">
        <v>54294.41</v>
      </c>
      <c r="G157" s="21" t="n">
        <v>911.62554</v>
      </c>
    </row>
    <row r="158" customFormat="false" ht="15" hidden="false" customHeight="false" outlineLevel="0" collapsed="false">
      <c r="B158" s="20" t="s">
        <v>1537</v>
      </c>
      <c r="C158" s="20" t="n">
        <v>3</v>
      </c>
      <c r="D158" s="20" t="s">
        <v>1538</v>
      </c>
      <c r="E158" s="20" t="n">
        <v>3</v>
      </c>
      <c r="F158" s="21" t="n">
        <v>54074.37</v>
      </c>
      <c r="G158" s="21" t="n">
        <v>0</v>
      </c>
    </row>
    <row r="159" customFormat="false" ht="15" hidden="false" customHeight="false" outlineLevel="0" collapsed="false">
      <c r="B159" s="20" t="s">
        <v>1539</v>
      </c>
      <c r="C159" s="20" t="n">
        <v>2</v>
      </c>
      <c r="D159" s="20" t="s">
        <v>1527</v>
      </c>
      <c r="E159" s="20" t="n">
        <v>2</v>
      </c>
      <c r="F159" s="21" t="n">
        <v>54018.64</v>
      </c>
      <c r="G159" s="21" t="n">
        <v>3970.242075</v>
      </c>
    </row>
    <row r="160" customFormat="false" ht="15" hidden="false" customHeight="false" outlineLevel="0" collapsed="false">
      <c r="B160" s="20" t="s">
        <v>1540</v>
      </c>
      <c r="C160" s="20" t="n">
        <v>3</v>
      </c>
      <c r="D160" s="20" t="s">
        <v>1541</v>
      </c>
      <c r="E160" s="20" t="n">
        <v>6</v>
      </c>
      <c r="F160" s="21" t="n">
        <v>53124.73</v>
      </c>
      <c r="G160" s="21" t="n">
        <v>3989.77322</v>
      </c>
    </row>
    <row r="161" customFormat="false" ht="15" hidden="false" customHeight="false" outlineLevel="0" collapsed="false">
      <c r="B161" s="20" t="s">
        <v>611</v>
      </c>
      <c r="C161" s="20" t="n">
        <v>4</v>
      </c>
      <c r="D161" s="20" t="s">
        <v>1542</v>
      </c>
      <c r="E161" s="20" t="n">
        <v>4</v>
      </c>
      <c r="F161" s="21" t="n">
        <v>52763.78</v>
      </c>
      <c r="G161" s="21" t="n">
        <v>73023.57357</v>
      </c>
    </row>
    <row r="162" customFormat="false" ht="15" hidden="false" customHeight="false" outlineLevel="0" collapsed="false">
      <c r="B162" s="20" t="s">
        <v>1543</v>
      </c>
      <c r="C162" s="20" t="n">
        <v>3</v>
      </c>
      <c r="D162" s="20" t="s">
        <v>1544</v>
      </c>
      <c r="E162" s="20" t="n">
        <v>5</v>
      </c>
      <c r="F162" s="21" t="n">
        <v>52475.23</v>
      </c>
      <c r="G162" s="21" t="n">
        <v>2113.24915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45"/>
  </cols>
  <sheetData>
    <row r="2" customFormat="false" ht="18.55" hidden="false" customHeight="false" outlineLevel="0" collapsed="false">
      <c r="B2" s="7" t="s">
        <v>1545</v>
      </c>
    </row>
    <row r="4" customFormat="false" ht="15" hidden="false" customHeight="false" outlineLevel="0" collapsed="false">
      <c r="B4" s="9" t="s">
        <v>1546</v>
      </c>
    </row>
    <row r="5" customFormat="false" ht="15" hidden="false" customHeight="false" outlineLevel="0" collapsed="false">
      <c r="B5" s="10" t="s">
        <v>1547</v>
      </c>
      <c r="C5" s="27" t="s">
        <v>1548</v>
      </c>
    </row>
    <row r="6" customFormat="false" ht="15" hidden="false" customHeight="false" outlineLevel="0" collapsed="false">
      <c r="B6" s="10" t="s">
        <v>1549</v>
      </c>
      <c r="C6" s="28" t="n">
        <v>6800000</v>
      </c>
    </row>
    <row r="7" customFormat="false" ht="15" hidden="false" customHeight="false" outlineLevel="0" collapsed="false">
      <c r="B7" s="10" t="s">
        <v>1550</v>
      </c>
      <c r="C7" s="28" t="n">
        <v>6000904.68</v>
      </c>
    </row>
    <row r="8" customFormat="false" ht="15" hidden="false" customHeight="false" outlineLevel="0" collapsed="false">
      <c r="B8" s="10" t="s">
        <v>1551</v>
      </c>
      <c r="C8" s="29" t="n">
        <f aca="false">IF(C6=0,"",C7/C6)</f>
        <v>0.882485982352941</v>
      </c>
    </row>
    <row r="9" customFormat="false" ht="15" hidden="false" customHeight="false" outlineLevel="0" collapsed="false">
      <c r="B9" s="10" t="s">
        <v>1074</v>
      </c>
      <c r="C9" s="0" t="str">
        <f aca="false">IF(C6=0,"",IF(C8&gt;=1,"TRAVADO (100%)",IF(C8&gt;=0.7,"ALERTA (&gt;=70%)","OK")))</f>
        <v>ALERTA (&gt;=70%)</v>
      </c>
    </row>
    <row r="11" customFormat="false" ht="15" hidden="false" customHeight="false" outlineLevel="0" collapsed="false">
      <c r="B11" s="3" t="s">
        <v>1552</v>
      </c>
    </row>
    <row r="12" customFormat="false" ht="15" hidden="false" customHeight="false" outlineLevel="0" collapsed="false">
      <c r="B12" s="10" t="s">
        <v>1553</v>
      </c>
      <c r="C12" s="30" t="n">
        <v>1228551.75073445</v>
      </c>
    </row>
    <row r="13" customFormat="false" ht="15" hidden="false" customHeight="false" outlineLevel="0" collapsed="false">
      <c r="B13" s="10" t="s">
        <v>1554</v>
      </c>
      <c r="C13" s="31" t="n">
        <f aca="false">(C6-C7)-C12</f>
        <v>-429456.430734447</v>
      </c>
      <c r="D13" s="8" t="s">
        <v>1555</v>
      </c>
    </row>
    <row r="15" customFormat="false" ht="15" hidden="false" customHeight="false" outlineLevel="0" collapsed="false">
      <c r="B15" s="6" t="s">
        <v>1556</v>
      </c>
    </row>
    <row r="16" customFormat="false" ht="15" hidden="false" customHeight="false" outlineLevel="0" collapsed="false">
      <c r="B16" s="6" t="s">
        <v>1557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2026-09-04T12:21:04Z</dcterms:created>
  <dc:creator>openpyxl</dc:creator>
  <dc:description/>
  <dc:language>en-US</dc:language>
  <cp:lastModifiedBy/>
  <dcterms:modified xsi:type="dcterms:W3CDTF">2026-09-04T12:22:27Z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